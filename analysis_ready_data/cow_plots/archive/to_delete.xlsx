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stacey dixon.SNOHOMISHCD\Documents\PhD\browse_study\Browse_analysis\analysis_ready_data\cow_plots\"/>
    </mc:Choice>
  </mc:AlternateContent>
  <xr:revisionPtr revIDLastSave="0" documentId="8_{FDADB5FE-C9DB-4AC3-8B3A-2A9E3E53CBEF}" xr6:coauthVersionLast="47" xr6:coauthVersionMax="47" xr10:uidLastSave="{00000000-0000-0000-0000-000000000000}"/>
  <bookViews>
    <workbookView xWindow="-108" yWindow="-108" windowWidth="23256" windowHeight="12456" firstSheet="1" activeTab="2" xr2:uid="{00000000-000D-0000-FFFF-FFFF00000000}"/>
  </bookViews>
  <sheets>
    <sheet name="Export Summary" sheetId="1" r:id="rId1"/>
    <sheet name="Area 1 - Outside Fence - West" sheetId="2" r:id="rId2"/>
    <sheet name="Area 2 - Outside Fence - East" sheetId="4" r:id="rId3"/>
    <sheet name="Area 3 - Inside Fence - West" sheetId="5" r:id="rId4"/>
    <sheet name="Area 4 - Inside Fence - East"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6" l="1"/>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5" i="6"/>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5" i="4"/>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5" i="5"/>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6" i="2"/>
  <c r="G7" i="2"/>
  <c r="G8" i="2"/>
  <c r="G9" i="2"/>
  <c r="G10" i="2"/>
  <c r="G5" i="2"/>
</calcChain>
</file>

<file path=xl/sharedStrings.xml><?xml version="1.0" encoding="utf-8"?>
<sst xmlns="http://schemas.openxmlformats.org/spreadsheetml/2006/main" count="1371" uniqueCount="53">
  <si>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</si>
  <si>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</si>
  <si>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</si>
  <si>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</si>
  <si>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Area 1 - Outside Fence - West</t>
  </si>
  <si>
    <t>Table 1</t>
  </si>
  <si>
    <t>Location: Cow West (Planted Area 1 - Outside Fence: West)</t>
  </si>
  <si>
    <t>Plot #</t>
  </si>
  <si>
    <t>Species</t>
  </si>
  <si>
    <t>Browse (Y/N)</t>
  </si>
  <si>
    <t>Browse Severity (High/Low)</t>
  </si>
  <si>
    <t>Height (in)</t>
  </si>
  <si>
    <t>Diameter (mm)</t>
  </si>
  <si>
    <t>Notes</t>
  </si>
  <si>
    <t>RC</t>
  </si>
  <si>
    <t>Y</t>
  </si>
  <si>
    <t>Low</t>
  </si>
  <si>
    <t>High</t>
  </si>
  <si>
    <t>DF</t>
  </si>
  <si>
    <t>N</t>
  </si>
  <si>
    <t>n/a</t>
  </si>
  <si>
    <t>Dead</t>
  </si>
  <si>
    <t xml:space="preserve">High </t>
  </si>
  <si>
    <t xml:space="preserve">Medium </t>
  </si>
  <si>
    <t>-</t>
  </si>
  <si>
    <t xml:space="preserve">Dead </t>
  </si>
  <si>
    <t xml:space="preserve">Low </t>
  </si>
  <si>
    <t>Medium</t>
  </si>
  <si>
    <t xml:space="preserve">Missing </t>
  </si>
  <si>
    <t>Missing</t>
  </si>
  <si>
    <t xml:space="preserve">low </t>
  </si>
  <si>
    <t>Sheet 1</t>
  </si>
  <si>
    <t>Area 2 - Outside Fence - East</t>
  </si>
  <si>
    <t>Location: Cow West (Planted Area 2 - Outside Fence: East)</t>
  </si>
  <si>
    <t xml:space="preserve">Plot </t>
  </si>
  <si>
    <t xml:space="preserve">1 DF Nat. Regen </t>
  </si>
  <si>
    <t>Area 3 - Inside Fence - West</t>
  </si>
  <si>
    <t>Location: Cow West (Planted Area 3 - Inside Fence: West)</t>
  </si>
  <si>
    <t>Plot</t>
  </si>
  <si>
    <t>Height (cm)</t>
  </si>
  <si>
    <t>Almost dead</t>
  </si>
  <si>
    <t>Area 4 - Inside Fence - East</t>
  </si>
  <si>
    <t>Location: Cow West (Planted Area 4 - Inside Fence: East)</t>
  </si>
  <si>
    <t xml:space="preserve">Browse Severity (High/Low) </t>
  </si>
  <si>
    <t xml:space="preserve">Diameter (mm) </t>
  </si>
  <si>
    <t>ADDED</t>
  </si>
  <si>
    <t>tag #</t>
  </si>
  <si>
    <t>Tag #</t>
  </si>
  <si>
    <t xml:space="preserve">Dead/missing </t>
  </si>
  <si>
    <t>Dying</t>
  </si>
  <si>
    <t xml:space="preserve"> Forked below 1 inch mark  </t>
  </si>
  <si>
    <t>dead</t>
  </si>
  <si>
    <t>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</si>
</sst>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Calibri"/>
    </font>
    <font>
      <sz val="12"/>
      <color indexed="8"/>
      <name val="Calibri"/>
    </font>
    <font>
      <sz val="14"/>
      <color indexed="8"/>
      <name val="Calibri"/>
    </font>
    <font>
      <u/>
      <sz val="12"/>
      <color indexed="11"/>
      <name val="Calibri"/>
    </font>
    <font>
      <b/>
      <sz val="11"/>
      <color indexed="12"/>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21">
    <border>
      <left/>
      <right/>
      <top/>
      <bottom/>
      <diagonal/>
    </border>
    <border>
      <left style="thin">
        <color indexed="13"/>
      </left>
      <right style="thin">
        <color indexed="13"/>
      </right>
      <top style="thin">
        <color indexed="13"/>
      </top>
      <bottom/>
      <diagonal/>
    </border>
    <border>
      <left style="thin">
        <color indexed="13"/>
      </left>
      <right style="thin">
        <color indexed="13"/>
      </right>
      <top style="thin">
        <color indexed="13"/>
      </top>
      <bottom style="thin">
        <color indexed="13"/>
      </bottom>
      <diagonal/>
    </border>
    <border>
      <left style="thin">
        <color indexed="13"/>
      </left>
      <right/>
      <top/>
      <bottom/>
      <diagonal/>
    </border>
    <border>
      <left/>
      <right/>
      <top/>
      <bottom/>
      <diagonal/>
    </border>
    <border>
      <left/>
      <right style="thin">
        <color indexed="13"/>
      </right>
      <top style="thin">
        <color indexed="13"/>
      </top>
      <bottom style="thin">
        <color indexed="13"/>
      </bottom>
      <diagonal/>
    </border>
    <border>
      <left style="thin">
        <color indexed="13"/>
      </left>
      <right style="thin">
        <color indexed="13"/>
      </right>
      <top/>
      <bottom style="thin">
        <color indexed="14"/>
      </bottom>
      <diagonal/>
    </border>
    <border>
      <left style="thin">
        <color indexed="13"/>
      </left>
      <right style="thin">
        <color indexed="13"/>
      </right>
      <top style="thin">
        <color indexed="13"/>
      </top>
      <bottom style="thin">
        <color indexed="14"/>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4"/>
      </left>
      <right style="thin">
        <color indexed="13"/>
      </right>
      <top style="thin">
        <color indexed="14"/>
      </top>
      <bottom style="thin">
        <color indexed="14"/>
      </bottom>
      <diagonal/>
    </border>
    <border>
      <left style="thin">
        <color indexed="13"/>
      </left>
      <right style="thin">
        <color indexed="13"/>
      </right>
      <top style="thin">
        <color indexed="14"/>
      </top>
      <bottom style="thin">
        <color indexed="14"/>
      </bottom>
      <diagonal/>
    </border>
    <border>
      <left style="thin">
        <color indexed="13"/>
      </left>
      <right style="thin">
        <color indexed="14"/>
      </right>
      <top style="thin">
        <color indexed="14"/>
      </top>
      <bottom style="thin">
        <color indexed="14"/>
      </bottom>
      <diagonal/>
    </border>
    <border>
      <left style="thin">
        <color indexed="14"/>
      </left>
      <right style="thin">
        <color indexed="13"/>
      </right>
      <top style="thin">
        <color indexed="13"/>
      </top>
      <bottom style="thin">
        <color indexed="13"/>
      </bottom>
      <diagonal/>
    </border>
    <border>
      <left style="thin">
        <color indexed="14"/>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4"/>
      </top>
      <bottom style="thin">
        <color indexed="14"/>
      </bottom>
      <diagonal/>
    </border>
  </borders>
  <cellStyleXfs count="1">
    <xf numFmtId="0" fontId="0" fillId="0" borderId="0" applyNumberFormat="0" applyFill="0" applyBorder="0" applyProtection="0"/>
  </cellStyleXfs>
  <cellXfs count="66">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5" xfId="0" applyFill="1" applyBorder="1"/>
    <xf numFmtId="0" fontId="0" fillId="4" borderId="6" xfId="0" applyFill="1" applyBorder="1"/>
    <xf numFmtId="14" fontId="0" fillId="4" borderId="6" xfId="0" applyNumberFormat="1" applyFill="1" applyBorder="1" applyAlignment="1">
      <alignment horizontal="center"/>
    </xf>
    <xf numFmtId="14" fontId="0" fillId="4" borderId="7" xfId="0" applyNumberFormat="1" applyFill="1" applyBorder="1" applyAlignment="1">
      <alignment horizontal="center"/>
    </xf>
    <xf numFmtId="49" fontId="4" fillId="6" borderId="8" xfId="0" applyNumberFormat="1" applyFont="1" applyFill="1" applyBorder="1" applyAlignment="1">
      <alignment horizontal="center"/>
    </xf>
    <xf numFmtId="49" fontId="4" fillId="6" borderId="9" xfId="0" applyNumberFormat="1" applyFont="1" applyFill="1" applyBorder="1" applyAlignment="1">
      <alignment horizontal="center"/>
    </xf>
    <xf numFmtId="49" fontId="4" fillId="6" borderId="10" xfId="0" applyNumberFormat="1" applyFont="1" applyFill="1" applyBorder="1" applyAlignment="1">
      <alignment horizontal="center"/>
    </xf>
    <xf numFmtId="49" fontId="4" fillId="6" borderId="11" xfId="0" applyNumberFormat="1" applyFont="1" applyFill="1" applyBorder="1" applyAlignment="1">
      <alignment horizontal="center"/>
    </xf>
    <xf numFmtId="0" fontId="0" fillId="7" borderId="8" xfId="0" applyNumberFormat="1" applyFill="1" applyBorder="1" applyAlignment="1">
      <alignment horizontal="center"/>
    </xf>
    <xf numFmtId="49" fontId="0" fillId="7" borderId="9" xfId="0" applyNumberFormat="1" applyFill="1" applyBorder="1" applyAlignment="1">
      <alignment horizontal="center"/>
    </xf>
    <xf numFmtId="0" fontId="0" fillId="7" borderId="9" xfId="0" applyNumberFormat="1" applyFill="1" applyBorder="1" applyAlignment="1">
      <alignment horizontal="center"/>
    </xf>
    <xf numFmtId="0" fontId="0" fillId="7" borderId="10" xfId="0" applyNumberFormat="1" applyFill="1" applyBorder="1" applyAlignment="1">
      <alignment horizontal="center"/>
    </xf>
    <xf numFmtId="0" fontId="0" fillId="7" borderId="11" xfId="0" applyFill="1" applyBorder="1" applyAlignment="1">
      <alignment horizontal="center" vertical="top"/>
    </xf>
    <xf numFmtId="49" fontId="0" fillId="4" borderId="12" xfId="0" applyNumberFormat="1" applyFill="1" applyBorder="1"/>
    <xf numFmtId="49" fontId="0" fillId="4" borderId="13" xfId="0" applyNumberFormat="1" applyFill="1" applyBorder="1"/>
    <xf numFmtId="0" fontId="0" fillId="4" borderId="13" xfId="0" applyNumberFormat="1" applyFill="1" applyBorder="1"/>
    <xf numFmtId="0" fontId="0" fillId="4" borderId="14" xfId="0" applyNumberFormat="1" applyFill="1" applyBorder="1" applyAlignment="1">
      <alignment horizontal="center"/>
    </xf>
    <xf numFmtId="49" fontId="0" fillId="4" borderId="15" xfId="0" applyNumberFormat="1" applyFill="1" applyBorder="1" applyAlignment="1">
      <alignment horizontal="center"/>
    </xf>
    <xf numFmtId="0" fontId="0" fillId="4" borderId="15" xfId="0" applyNumberFormat="1" applyFill="1" applyBorder="1" applyAlignment="1">
      <alignment horizontal="center"/>
    </xf>
    <xf numFmtId="0" fontId="0" fillId="4" borderId="16" xfId="0" applyNumberFormat="1" applyFill="1" applyBorder="1" applyAlignment="1">
      <alignment horizontal="center"/>
    </xf>
    <xf numFmtId="0" fontId="0" fillId="4" borderId="11" xfId="0" applyFill="1" applyBorder="1" applyAlignment="1">
      <alignment horizontal="center" vertical="top"/>
    </xf>
    <xf numFmtId="49" fontId="0" fillId="4" borderId="17" xfId="0" applyNumberFormat="1" applyFill="1" applyBorder="1"/>
    <xf numFmtId="49" fontId="0" fillId="4" borderId="2" xfId="0" applyNumberFormat="1" applyFill="1" applyBorder="1"/>
    <xf numFmtId="0" fontId="0" fillId="4" borderId="2" xfId="0" applyNumberFormat="1" applyFill="1" applyBorder="1"/>
    <xf numFmtId="0" fontId="0" fillId="4" borderId="17" xfId="0" applyFill="1" applyBorder="1"/>
    <xf numFmtId="0" fontId="0" fillId="4" borderId="18" xfId="0" applyFill="1" applyBorder="1"/>
    <xf numFmtId="0" fontId="0" fillId="4" borderId="19" xfId="0" applyFill="1" applyBorder="1"/>
    <xf numFmtId="0" fontId="0" fillId="4" borderId="13" xfId="0" applyFill="1" applyBorder="1"/>
    <xf numFmtId="0" fontId="0" fillId="4" borderId="13" xfId="0" applyFill="1" applyBorder="1" applyAlignment="1">
      <alignment horizontal="center" vertical="top"/>
    </xf>
    <xf numFmtId="0" fontId="0" fillId="4" borderId="6" xfId="0" applyFill="1" applyBorder="1" applyAlignment="1">
      <alignment horizontal="center"/>
    </xf>
    <xf numFmtId="0" fontId="0" fillId="7" borderId="8" xfId="0" applyNumberFormat="1" applyFill="1" applyBorder="1" applyAlignment="1">
      <alignment horizontal="center" vertical="top"/>
    </xf>
    <xf numFmtId="49" fontId="0" fillId="7" borderId="9" xfId="0" applyNumberFormat="1" applyFill="1" applyBorder="1" applyAlignment="1">
      <alignment horizontal="center" vertical="top"/>
    </xf>
    <xf numFmtId="0" fontId="0" fillId="7" borderId="9" xfId="0" applyNumberFormat="1" applyFill="1" applyBorder="1" applyAlignment="1">
      <alignment horizontal="center" vertical="top"/>
    </xf>
    <xf numFmtId="0" fontId="0" fillId="7" borderId="10" xfId="0" applyFill="1" applyBorder="1" applyAlignment="1">
      <alignment horizontal="center" vertical="top"/>
    </xf>
    <xf numFmtId="0" fontId="0" fillId="4" borderId="12" xfId="0" applyFill="1" applyBorder="1"/>
    <xf numFmtId="0" fontId="0" fillId="4" borderId="14" xfId="0" applyNumberFormat="1" applyFill="1" applyBorder="1" applyAlignment="1">
      <alignment horizontal="center" vertical="top"/>
    </xf>
    <xf numFmtId="49" fontId="0" fillId="4" borderId="15" xfId="0" applyNumberFormat="1" applyFill="1" applyBorder="1" applyAlignment="1">
      <alignment horizontal="center" vertical="top"/>
    </xf>
    <xf numFmtId="0" fontId="0" fillId="4" borderId="15" xfId="0" applyNumberFormat="1" applyFill="1" applyBorder="1" applyAlignment="1">
      <alignment horizontal="center" vertical="top"/>
    </xf>
    <xf numFmtId="0" fontId="0" fillId="4" borderId="16" xfId="0" applyFill="1" applyBorder="1" applyAlignment="1">
      <alignment horizontal="center" vertical="top"/>
    </xf>
    <xf numFmtId="49" fontId="0" fillId="7" borderId="10" xfId="0" applyNumberFormat="1" applyFill="1" applyBorder="1" applyAlignment="1">
      <alignment horizontal="center" vertical="top"/>
    </xf>
    <xf numFmtId="0" fontId="0" fillId="4" borderId="14" xfId="0" applyFill="1" applyBorder="1" applyAlignment="1">
      <alignment horizontal="center" vertical="top"/>
    </xf>
    <xf numFmtId="0" fontId="0" fillId="4" borderId="15" xfId="0" applyFill="1" applyBorder="1" applyAlignment="1">
      <alignment horizontal="center" vertical="top"/>
    </xf>
    <xf numFmtId="0" fontId="0" fillId="4" borderId="13" xfId="0" applyFill="1" applyBorder="1" applyAlignment="1">
      <alignment horizontal="center"/>
    </xf>
    <xf numFmtId="0" fontId="0" fillId="7" borderId="10" xfId="0" applyFill="1" applyBorder="1" applyAlignment="1">
      <alignment horizontal="left"/>
    </xf>
    <xf numFmtId="49" fontId="0" fillId="4" borderId="12" xfId="0" applyNumberFormat="1" applyFill="1" applyBorder="1" applyAlignment="1">
      <alignment horizontal="center"/>
    </xf>
    <xf numFmtId="0" fontId="0" fillId="4" borderId="16" xfId="0" applyFill="1" applyBorder="1" applyAlignment="1">
      <alignment horizontal="left"/>
    </xf>
    <xf numFmtId="49" fontId="0" fillId="4" borderId="17" xfId="0" applyNumberFormat="1" applyFill="1" applyBorder="1" applyAlignment="1">
      <alignment horizontal="center"/>
    </xf>
    <xf numFmtId="0" fontId="0" fillId="4" borderId="17" xfId="0" applyFill="1" applyBorder="1" applyAlignment="1">
      <alignment horizontal="center"/>
    </xf>
    <xf numFmtId="49" fontId="0" fillId="7" borderId="10" xfId="0" applyNumberFormat="1" applyFill="1" applyBorder="1" applyAlignment="1">
      <alignment horizontal="left"/>
    </xf>
    <xf numFmtId="0" fontId="0" fillId="7" borderId="10" xfId="0" applyFill="1" applyBorder="1" applyAlignment="1">
      <alignment horizontal="center"/>
    </xf>
    <xf numFmtId="0" fontId="0" fillId="4" borderId="16" xfId="0" applyFill="1" applyBorder="1" applyAlignment="1">
      <alignment horizontal="center"/>
    </xf>
    <xf numFmtId="0" fontId="0" fillId="4" borderId="7" xfId="0" applyFill="1" applyBorder="1"/>
    <xf numFmtId="0" fontId="0" fillId="4" borderId="20" xfId="0" applyFill="1" applyBorder="1" applyAlignment="1">
      <alignment horizontal="center" vertical="top"/>
    </xf>
    <xf numFmtId="0" fontId="1" fillId="0" borderId="0" xfId="0" applyFont="1" applyAlignment="1">
      <alignment horizontal="left" wrapText="1"/>
    </xf>
    <xf numFmtId="0" fontId="0" fillId="0" borderId="0" xfId="0"/>
    <xf numFmtId="49" fontId="0" fillId="5" borderId="3" xfId="0" applyNumberFormat="1" applyFill="1" applyBorder="1" applyAlignment="1">
      <alignment horizontal="center"/>
    </xf>
    <xf numFmtId="49" fontId="0" fillId="5" borderId="4" xfId="0" applyNumberFormat="1" applyFill="1" applyBorder="1" applyAlignment="1">
      <alignment horizontal="center"/>
    </xf>
    <xf numFmtId="0" fontId="0" fillId="5" borderId="4" xfId="0" applyFill="1" applyBorder="1" applyAlignment="1">
      <alignment horizont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9CC2E5"/>
      <rgbColor rgb="FF5B9BD5"/>
      <rgbColor rgb="FFDEEAF6"/>
      <rgbColor rgb="FFBDC0BF"/>
      <rgbColor rgb="FFA5A5A5"/>
      <rgbColor rgb="FF3F3F3F"/>
      <rgbColor rgb="FFDBDBDB"/>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Helvetica"/>
            <a:ea typeface="Helvetica"/>
            <a:cs typeface="Helvetica"/>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8"/>
  <sheetViews>
    <sheetView showGridLines="0" workbookViewId="0"/>
  </sheetViews>
  <sheetFormatPr defaultColWidth="10" defaultRowHeight="12.9" customHeight="1" x14ac:dyDescent="0.3"/>
  <cols>
    <col min="1" max="1" width="2" customWidth="1"/>
    <col min="2" max="4" width="30.5546875" customWidth="1"/>
  </cols>
  <sheetData>
    <row r="3" spans="2:4" ht="50.1" customHeight="1" x14ac:dyDescent="0.3">
      <c r="B3" s="61" t="s">
        <v>0</v>
      </c>
      <c r="C3" s="62"/>
      <c r="D3" s="62"/>
    </row>
    <row r="7" spans="2:4" ht="18" x14ac:dyDescent="0.35">
      <c r="B7" s="1" t="s">
        <v>1</v>
      </c>
      <c r="C7" s="1" t="s">
        <v>2</v>
      </c>
      <c r="D7" s="1" t="s">
        <v>3</v>
      </c>
    </row>
    <row r="9" spans="2:4" ht="15.6" x14ac:dyDescent="0.3">
      <c r="B9" s="2" t="s">
        <v>4</v>
      </c>
      <c r="C9" s="2"/>
      <c r="D9" s="2"/>
    </row>
    <row r="10" spans="2:4" ht="15.6" x14ac:dyDescent="0.3">
      <c r="B10" s="3"/>
      <c r="C10" s="3" t="s">
        <v>5</v>
      </c>
      <c r="D10" s="4" t="s">
        <v>4</v>
      </c>
    </row>
    <row r="11" spans="2:4" ht="15.6" x14ac:dyDescent="0.3">
      <c r="B11" s="2" t="s">
        <v>31</v>
      </c>
      <c r="C11" s="2"/>
      <c r="D11" s="2"/>
    </row>
    <row r="12" spans="2:4" ht="15.6" x14ac:dyDescent="0.3">
      <c r="B12" s="3"/>
      <c r="C12" s="3" t="s">
        <v>5</v>
      </c>
      <c r="D12" s="4" t="s">
        <v>31</v>
      </c>
    </row>
    <row r="13" spans="2:4" ht="15.6" x14ac:dyDescent="0.3">
      <c r="B13" s="2" t="s">
        <v>32</v>
      </c>
      <c r="C13" s="2"/>
      <c r="D13" s="2"/>
    </row>
    <row r="14" spans="2:4" ht="15.6" x14ac:dyDescent="0.3">
      <c r="B14" s="3"/>
      <c r="C14" s="3" t="s">
        <v>5</v>
      </c>
      <c r="D14" s="4" t="s">
        <v>32</v>
      </c>
    </row>
    <row r="15" spans="2:4" ht="15.6" x14ac:dyDescent="0.3">
      <c r="B15" s="2" t="s">
        <v>36</v>
      </c>
      <c r="C15" s="2"/>
      <c r="D15" s="2"/>
    </row>
    <row r="16" spans="2:4" ht="15.6" x14ac:dyDescent="0.3">
      <c r="B16" s="3"/>
      <c r="C16" s="3" t="s">
        <v>5</v>
      </c>
      <c r="D16" s="4" t="s">
        <v>36</v>
      </c>
    </row>
    <row r="17" spans="2:4" ht="15.6" x14ac:dyDescent="0.3">
      <c r="B17" s="2" t="s">
        <v>41</v>
      </c>
      <c r="C17" s="2"/>
      <c r="D17" s="2"/>
    </row>
    <row r="18" spans="2:4" ht="15.6" x14ac:dyDescent="0.3">
      <c r="B18" s="3"/>
      <c r="C18" s="3" t="s">
        <v>5</v>
      </c>
      <c r="D18" s="4" t="s">
        <v>41</v>
      </c>
    </row>
  </sheetData>
  <mergeCells count="1">
    <mergeCell ref="B3:D3"/>
  </mergeCells>
  <hyperlinks>
    <hyperlink ref="D10" location="'Area 1 - Outside Fence - West'!R1C1" display="Area 1 - Outside Fence - West" xr:uid="{00000000-0004-0000-0000-000000000000}"/>
    <hyperlink ref="D12" location="'Sheet 1'!R1C1" display="Sheet 1" xr:uid="{00000000-0004-0000-0000-000001000000}"/>
    <hyperlink ref="D14" location="'Area 2 - Outside Fence - East'!R1C1" display="Area 2 - Outside Fence - East" xr:uid="{00000000-0004-0000-0000-000002000000}"/>
    <hyperlink ref="D16" location="'Area 3 - Inside Fence - West'!R1C1" display="Area 3 - Inside Fence - West" xr:uid="{00000000-0004-0000-0000-000003000000}"/>
    <hyperlink ref="D18" location="'Area 4 - Inside Fence - East'!R1C1" display="Area 4 - Inside Fence - East"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X79"/>
  <sheetViews>
    <sheetView showGridLines="0" topLeftCell="F1" workbookViewId="0">
      <selection activeCell="Q18" sqref="Q18"/>
    </sheetView>
  </sheetViews>
  <sheetFormatPr defaultColWidth="8.88671875" defaultRowHeight="14.1" customHeight="1" x14ac:dyDescent="0.3"/>
  <cols>
    <col min="1" max="2" width="8.33203125" style="5" customWidth="1"/>
    <col min="3" max="3" width="12.33203125" style="5" customWidth="1"/>
    <col min="4" max="4" width="17.44140625" style="5" customWidth="1"/>
    <col min="5" max="5" width="30.6640625" style="5" customWidth="1"/>
    <col min="6" max="7" width="14.88671875" style="5" customWidth="1"/>
    <col min="8" max="8" width="18.88671875" style="5" customWidth="1"/>
    <col min="9" max="9" width="10.6640625" style="5" customWidth="1"/>
    <col min="10" max="10" width="12.88671875" style="5" customWidth="1"/>
    <col min="11" max="11" width="26.109375" style="5" customWidth="1"/>
    <col min="12" max="12" width="10.44140625" style="5" customWidth="1"/>
    <col min="13" max="13" width="14.6640625" style="5" customWidth="1"/>
    <col min="14" max="14" width="9.6640625" style="5" customWidth="1"/>
    <col min="15" max="258" width="8.88671875" style="5" customWidth="1"/>
  </cols>
  <sheetData>
    <row r="1" spans="1:16" ht="14.1" customHeight="1" x14ac:dyDescent="0.3">
      <c r="A1" s="6"/>
      <c r="B1" s="6"/>
      <c r="C1" s="6"/>
      <c r="D1" s="6"/>
      <c r="E1" s="6"/>
      <c r="F1" s="6"/>
      <c r="G1" s="6"/>
      <c r="H1" s="6"/>
      <c r="I1" s="7"/>
      <c r="J1" s="7"/>
      <c r="K1" s="7"/>
      <c r="L1" s="7"/>
      <c r="M1" s="7"/>
      <c r="N1" s="7"/>
    </row>
    <row r="2" spans="1:16" ht="14.1" customHeight="1" x14ac:dyDescent="0.3">
      <c r="A2" s="63" t="s">
        <v>6</v>
      </c>
      <c r="B2" s="64"/>
      <c r="C2" s="65"/>
      <c r="D2" s="65"/>
      <c r="E2" s="65"/>
      <c r="F2" s="65"/>
      <c r="G2" s="65"/>
      <c r="H2" s="65"/>
      <c r="I2" s="8"/>
      <c r="J2" s="7"/>
      <c r="K2" s="7"/>
      <c r="L2" s="7"/>
      <c r="M2" s="7"/>
      <c r="N2" s="7"/>
    </row>
    <row r="3" spans="1:16" ht="14.1" customHeight="1" x14ac:dyDescent="0.3">
      <c r="A3" s="9"/>
      <c r="B3" s="9"/>
      <c r="C3" s="9"/>
      <c r="D3" s="10">
        <v>42467</v>
      </c>
      <c r="E3" s="10">
        <v>42467</v>
      </c>
      <c r="F3" s="10">
        <v>42467</v>
      </c>
      <c r="G3" s="10">
        <v>42467</v>
      </c>
      <c r="H3" s="10">
        <v>42467</v>
      </c>
      <c r="I3" s="11">
        <v>42467</v>
      </c>
      <c r="J3" s="11">
        <v>43314</v>
      </c>
      <c r="K3" s="11">
        <v>43314</v>
      </c>
      <c r="L3" s="11">
        <v>43314</v>
      </c>
      <c r="M3" s="11">
        <v>43314</v>
      </c>
      <c r="N3" s="11">
        <v>43314</v>
      </c>
    </row>
    <row r="4" spans="1:16" ht="14.1" customHeight="1" x14ac:dyDescent="0.3">
      <c r="A4" s="12" t="s">
        <v>7</v>
      </c>
      <c r="B4" s="18" t="s">
        <v>46</v>
      </c>
      <c r="C4" s="13" t="s">
        <v>8</v>
      </c>
      <c r="D4" s="13" t="s">
        <v>9</v>
      </c>
      <c r="E4" s="13" t="s">
        <v>10</v>
      </c>
      <c r="F4" s="13" t="s">
        <v>11</v>
      </c>
      <c r="G4" s="13" t="s">
        <v>39</v>
      </c>
      <c r="H4" s="14" t="s">
        <v>12</v>
      </c>
      <c r="I4" s="15" t="s">
        <v>13</v>
      </c>
      <c r="J4" s="12" t="s">
        <v>9</v>
      </c>
      <c r="K4" s="13" t="s">
        <v>10</v>
      </c>
      <c r="L4" s="13" t="s">
        <v>39</v>
      </c>
      <c r="M4" s="14" t="s">
        <v>12</v>
      </c>
      <c r="N4" s="15" t="s">
        <v>13</v>
      </c>
    </row>
    <row r="5" spans="1:16" ht="14.1" customHeight="1" x14ac:dyDescent="0.3">
      <c r="A5" s="16">
        <v>1</v>
      </c>
      <c r="B5" s="23">
        <v>1</v>
      </c>
      <c r="C5" s="17" t="s">
        <v>14</v>
      </c>
      <c r="D5" s="17" t="s">
        <v>15</v>
      </c>
      <c r="E5" s="17" t="s">
        <v>16</v>
      </c>
      <c r="F5" s="18">
        <v>16.5</v>
      </c>
      <c r="G5" s="18">
        <f>CONVERT(F5,"in","cm")</f>
        <v>41.91</v>
      </c>
      <c r="H5" s="19">
        <v>3.44</v>
      </c>
      <c r="I5" s="20"/>
      <c r="J5" s="21" t="s">
        <v>15</v>
      </c>
      <c r="K5" s="30" t="s">
        <v>23</v>
      </c>
      <c r="L5" s="31">
        <v>40.1</v>
      </c>
      <c r="M5" s="31">
        <v>9.2899999999999991</v>
      </c>
      <c r="N5" s="23"/>
    </row>
    <row r="6" spans="1:16" ht="14.1" customHeight="1" x14ac:dyDescent="0.3">
      <c r="A6" s="24">
        <v>1</v>
      </c>
      <c r="B6" s="31">
        <v>2</v>
      </c>
      <c r="C6" s="25" t="s">
        <v>14</v>
      </c>
      <c r="D6" s="25" t="s">
        <v>15</v>
      </c>
      <c r="E6" s="25" t="s">
        <v>17</v>
      </c>
      <c r="F6" s="26">
        <v>9</v>
      </c>
      <c r="G6" s="18">
        <f t="shared" ref="G6:G69" si="0">CONVERT(F6,"in","cm")</f>
        <v>22.86</v>
      </c>
      <c r="H6" s="27">
        <v>3.69</v>
      </c>
      <c r="I6" s="28"/>
      <c r="J6" s="29" t="s">
        <v>15</v>
      </c>
      <c r="K6" s="30" t="s">
        <v>16</v>
      </c>
      <c r="L6" s="31">
        <v>33.5</v>
      </c>
      <c r="M6" s="31">
        <v>5.23</v>
      </c>
      <c r="N6" s="31"/>
    </row>
    <row r="7" spans="1:16" ht="14.1" customHeight="1" x14ac:dyDescent="0.3">
      <c r="A7" s="16">
        <v>1</v>
      </c>
      <c r="B7" s="23">
        <v>3</v>
      </c>
      <c r="C7" s="17" t="s">
        <v>18</v>
      </c>
      <c r="D7" s="17" t="s">
        <v>19</v>
      </c>
      <c r="E7" s="17" t="s">
        <v>20</v>
      </c>
      <c r="F7" s="18">
        <v>16</v>
      </c>
      <c r="G7" s="18">
        <f t="shared" si="0"/>
        <v>40.64</v>
      </c>
      <c r="H7" s="19">
        <v>11.86</v>
      </c>
      <c r="I7" s="20"/>
      <c r="J7" s="32"/>
      <c r="K7" s="7"/>
      <c r="L7" s="7"/>
      <c r="M7" s="7"/>
      <c r="N7" s="30" t="s">
        <v>21</v>
      </c>
    </row>
    <row r="8" spans="1:16" ht="14.1" customHeight="1" x14ac:dyDescent="0.3">
      <c r="A8" s="24">
        <v>1</v>
      </c>
      <c r="B8" s="31">
        <v>4</v>
      </c>
      <c r="C8" s="25" t="s">
        <v>14</v>
      </c>
      <c r="D8" s="25" t="s">
        <v>15</v>
      </c>
      <c r="E8" s="25" t="s">
        <v>17</v>
      </c>
      <c r="F8" s="26">
        <v>14</v>
      </c>
      <c r="G8" s="18">
        <f t="shared" si="0"/>
        <v>35.56</v>
      </c>
      <c r="H8" s="27">
        <v>3.78</v>
      </c>
      <c r="I8" s="28"/>
      <c r="J8" s="29" t="s">
        <v>15</v>
      </c>
      <c r="K8" s="22" t="s">
        <v>17</v>
      </c>
      <c r="L8" s="23">
        <v>30.6</v>
      </c>
      <c r="M8" s="23">
        <v>7.11</v>
      </c>
      <c r="N8" s="31"/>
      <c r="O8" s="23"/>
      <c r="P8" s="23"/>
    </row>
    <row r="9" spans="1:16" ht="14.1" customHeight="1" x14ac:dyDescent="0.3">
      <c r="A9" s="16">
        <v>2</v>
      </c>
      <c r="B9" s="31">
        <v>1</v>
      </c>
      <c r="C9" s="17" t="s">
        <v>18</v>
      </c>
      <c r="D9" s="17" t="s">
        <v>19</v>
      </c>
      <c r="E9" s="17" t="s">
        <v>20</v>
      </c>
      <c r="F9" s="18">
        <v>17</v>
      </c>
      <c r="G9" s="18">
        <f t="shared" si="0"/>
        <v>43.18</v>
      </c>
      <c r="H9" s="19">
        <v>9.36</v>
      </c>
      <c r="I9" s="20"/>
      <c r="J9" s="29" t="s">
        <v>15</v>
      </c>
      <c r="K9" s="30" t="s">
        <v>22</v>
      </c>
      <c r="L9" s="31">
        <v>79.599999999999994</v>
      </c>
      <c r="M9" s="31">
        <v>20.05</v>
      </c>
      <c r="N9" s="31"/>
    </row>
    <row r="10" spans="1:16" ht="14.1" customHeight="1" x14ac:dyDescent="0.3">
      <c r="A10" s="24">
        <v>2</v>
      </c>
      <c r="B10" s="31">
        <v>2</v>
      </c>
      <c r="C10" s="25" t="s">
        <v>18</v>
      </c>
      <c r="D10" s="25" t="s">
        <v>19</v>
      </c>
      <c r="E10" s="25" t="s">
        <v>20</v>
      </c>
      <c r="F10" s="26">
        <v>17</v>
      </c>
      <c r="G10" s="18">
        <f t="shared" si="0"/>
        <v>43.18</v>
      </c>
      <c r="H10" s="27">
        <v>6.38</v>
      </c>
      <c r="I10" s="28"/>
      <c r="J10" s="29" t="s">
        <v>15</v>
      </c>
      <c r="K10" s="30" t="s">
        <v>22</v>
      </c>
      <c r="L10" s="31">
        <v>41.5</v>
      </c>
      <c r="M10" s="31">
        <v>10.91</v>
      </c>
      <c r="N10" s="31"/>
    </row>
    <row r="11" spans="1:16" ht="14.1" customHeight="1" x14ac:dyDescent="0.3">
      <c r="A11" s="16">
        <v>2</v>
      </c>
      <c r="B11" s="31">
        <v>3</v>
      </c>
      <c r="C11" s="17" t="s">
        <v>14</v>
      </c>
      <c r="D11" s="17" t="s">
        <v>15</v>
      </c>
      <c r="E11" s="17" t="s">
        <v>16</v>
      </c>
      <c r="F11" s="18">
        <v>9</v>
      </c>
      <c r="G11" s="18">
        <f t="shared" si="0"/>
        <v>22.86</v>
      </c>
      <c r="H11" s="19">
        <v>3.87</v>
      </c>
      <c r="I11" s="20"/>
      <c r="J11" s="29" t="s">
        <v>15</v>
      </c>
      <c r="K11" s="30" t="s">
        <v>23</v>
      </c>
      <c r="L11" s="31">
        <v>42</v>
      </c>
      <c r="M11" s="31">
        <v>13.9</v>
      </c>
      <c r="N11" s="31"/>
    </row>
    <row r="12" spans="1:16" ht="14.1" customHeight="1" x14ac:dyDescent="0.3">
      <c r="A12" s="24">
        <v>2</v>
      </c>
      <c r="B12" s="31">
        <v>4</v>
      </c>
      <c r="C12" s="25" t="s">
        <v>14</v>
      </c>
      <c r="D12" s="25" t="s">
        <v>15</v>
      </c>
      <c r="E12" s="25" t="s">
        <v>17</v>
      </c>
      <c r="F12" s="26">
        <v>9.5</v>
      </c>
      <c r="G12" s="18">
        <f t="shared" si="0"/>
        <v>24.13</v>
      </c>
      <c r="H12" s="27">
        <v>3.43</v>
      </c>
      <c r="I12" s="28"/>
      <c r="J12" s="29" t="s">
        <v>15</v>
      </c>
      <c r="K12" s="30" t="s">
        <v>23</v>
      </c>
      <c r="L12" s="31">
        <v>38.700000000000003</v>
      </c>
      <c r="M12" s="31">
        <v>10.77</v>
      </c>
      <c r="N12" s="31"/>
    </row>
    <row r="13" spans="1:16" ht="14.1" customHeight="1" x14ac:dyDescent="0.3">
      <c r="A13" s="16">
        <v>3</v>
      </c>
      <c r="B13" s="31">
        <v>1</v>
      </c>
      <c r="C13" s="17" t="s">
        <v>14</v>
      </c>
      <c r="D13" s="17" t="s">
        <v>19</v>
      </c>
      <c r="E13" s="17" t="s">
        <v>20</v>
      </c>
      <c r="F13" s="18">
        <v>17</v>
      </c>
      <c r="G13" s="18">
        <f t="shared" si="0"/>
        <v>43.18</v>
      </c>
      <c r="H13" s="19">
        <v>3.38</v>
      </c>
      <c r="I13" s="20"/>
      <c r="J13" s="29" t="s">
        <v>24</v>
      </c>
      <c r="K13" s="30" t="s">
        <v>24</v>
      </c>
      <c r="L13" s="30" t="s">
        <v>24</v>
      </c>
      <c r="M13" s="30" t="s">
        <v>24</v>
      </c>
      <c r="N13" s="30" t="s">
        <v>25</v>
      </c>
    </row>
    <row r="14" spans="1:16" ht="14.1" customHeight="1" x14ac:dyDescent="0.3">
      <c r="A14" s="24">
        <v>3</v>
      </c>
      <c r="B14" s="31">
        <v>2</v>
      </c>
      <c r="C14" s="25" t="s">
        <v>18</v>
      </c>
      <c r="D14" s="25" t="s">
        <v>19</v>
      </c>
      <c r="E14" s="25" t="s">
        <v>20</v>
      </c>
      <c r="F14" s="26">
        <v>20</v>
      </c>
      <c r="G14" s="18">
        <f t="shared" si="0"/>
        <v>50.8</v>
      </c>
      <c r="H14" s="27">
        <v>6.66</v>
      </c>
      <c r="I14" s="28"/>
      <c r="J14" s="29" t="s">
        <v>15</v>
      </c>
      <c r="K14" s="30" t="s">
        <v>17</v>
      </c>
      <c r="L14" s="31">
        <v>62.3</v>
      </c>
      <c r="M14" s="31">
        <v>10.1</v>
      </c>
      <c r="N14" s="31"/>
    </row>
    <row r="15" spans="1:16" ht="14.1" customHeight="1" x14ac:dyDescent="0.3">
      <c r="A15" s="16">
        <v>3</v>
      </c>
      <c r="B15" s="31">
        <v>3</v>
      </c>
      <c r="C15" s="17" t="s">
        <v>18</v>
      </c>
      <c r="D15" s="17" t="s">
        <v>19</v>
      </c>
      <c r="E15" s="17" t="s">
        <v>20</v>
      </c>
      <c r="F15" s="18">
        <v>16.5</v>
      </c>
      <c r="G15" s="18">
        <f t="shared" si="0"/>
        <v>41.91</v>
      </c>
      <c r="H15" s="19">
        <v>10.96</v>
      </c>
      <c r="I15" s="20"/>
      <c r="J15" s="29" t="s">
        <v>24</v>
      </c>
      <c r="K15" s="30" t="s">
        <v>24</v>
      </c>
      <c r="L15" s="30" t="s">
        <v>24</v>
      </c>
      <c r="M15" s="30" t="s">
        <v>24</v>
      </c>
      <c r="N15" s="30" t="s">
        <v>21</v>
      </c>
    </row>
    <row r="16" spans="1:16" ht="14.1" customHeight="1" x14ac:dyDescent="0.3">
      <c r="A16" s="24">
        <v>3</v>
      </c>
      <c r="B16" s="31">
        <v>4</v>
      </c>
      <c r="C16" s="25" t="s">
        <v>18</v>
      </c>
      <c r="D16" s="25" t="s">
        <v>19</v>
      </c>
      <c r="E16" s="25" t="s">
        <v>20</v>
      </c>
      <c r="F16" s="26">
        <v>17.5</v>
      </c>
      <c r="G16" s="18">
        <f t="shared" si="0"/>
        <v>44.45</v>
      </c>
      <c r="H16" s="27">
        <v>13.09</v>
      </c>
      <c r="I16" s="28"/>
      <c r="J16" s="29" t="s">
        <v>15</v>
      </c>
      <c r="K16" s="30" t="s">
        <v>23</v>
      </c>
      <c r="L16" s="31">
        <v>63.8</v>
      </c>
      <c r="M16" s="31">
        <v>18.690000000000001</v>
      </c>
      <c r="N16" s="31"/>
    </row>
    <row r="17" spans="1:14" ht="14.1" customHeight="1" x14ac:dyDescent="0.3">
      <c r="A17" s="16">
        <v>4</v>
      </c>
      <c r="B17" s="31">
        <v>1</v>
      </c>
      <c r="C17" s="17" t="s">
        <v>14</v>
      </c>
      <c r="D17" s="17" t="s">
        <v>19</v>
      </c>
      <c r="E17" s="17" t="s">
        <v>20</v>
      </c>
      <c r="F17" s="18">
        <v>19</v>
      </c>
      <c r="G17" s="18">
        <f t="shared" si="0"/>
        <v>48.26</v>
      </c>
      <c r="H17" s="19">
        <v>3.07</v>
      </c>
      <c r="I17" s="20"/>
      <c r="J17" s="29" t="s">
        <v>15</v>
      </c>
      <c r="K17" s="30" t="s">
        <v>22</v>
      </c>
      <c r="L17" s="31">
        <v>52.1</v>
      </c>
      <c r="M17" s="31">
        <v>9.52</v>
      </c>
      <c r="N17" s="31"/>
    </row>
    <row r="18" spans="1:14" ht="14.1" customHeight="1" x14ac:dyDescent="0.3">
      <c r="A18" s="24">
        <v>4</v>
      </c>
      <c r="B18" s="31">
        <v>2</v>
      </c>
      <c r="C18" s="25" t="s">
        <v>18</v>
      </c>
      <c r="D18" s="25" t="s">
        <v>19</v>
      </c>
      <c r="E18" s="25" t="s">
        <v>20</v>
      </c>
      <c r="F18" s="26">
        <v>20</v>
      </c>
      <c r="G18" s="18">
        <f t="shared" si="0"/>
        <v>50.8</v>
      </c>
      <c r="H18" s="27">
        <v>8.32</v>
      </c>
      <c r="I18" s="28"/>
      <c r="J18" s="29" t="s">
        <v>15</v>
      </c>
      <c r="K18" s="30" t="s">
        <v>22</v>
      </c>
      <c r="L18" s="31">
        <v>84.7</v>
      </c>
      <c r="M18" s="31">
        <v>22.09</v>
      </c>
      <c r="N18" s="31"/>
    </row>
    <row r="19" spans="1:14" ht="14.1" customHeight="1" x14ac:dyDescent="0.3">
      <c r="A19" s="16">
        <v>4</v>
      </c>
      <c r="B19" s="31">
        <v>3</v>
      </c>
      <c r="C19" s="17" t="s">
        <v>18</v>
      </c>
      <c r="D19" s="17" t="s">
        <v>19</v>
      </c>
      <c r="E19" s="17" t="s">
        <v>20</v>
      </c>
      <c r="F19" s="18">
        <v>19.5</v>
      </c>
      <c r="G19" s="18">
        <f t="shared" si="0"/>
        <v>49.53</v>
      </c>
      <c r="H19" s="19">
        <v>7.93</v>
      </c>
      <c r="I19" s="20"/>
      <c r="J19" s="29" t="s">
        <v>15</v>
      </c>
      <c r="K19" s="30" t="s">
        <v>22</v>
      </c>
      <c r="L19" s="31">
        <v>97.5</v>
      </c>
      <c r="M19" s="31">
        <v>21.25</v>
      </c>
      <c r="N19" s="31"/>
    </row>
    <row r="20" spans="1:14" ht="14.1" customHeight="1" x14ac:dyDescent="0.3">
      <c r="A20" s="24">
        <v>4</v>
      </c>
      <c r="B20" s="31">
        <v>4</v>
      </c>
      <c r="C20" s="25" t="s">
        <v>14</v>
      </c>
      <c r="D20" s="25" t="s">
        <v>19</v>
      </c>
      <c r="E20" s="25" t="s">
        <v>20</v>
      </c>
      <c r="F20" s="26">
        <v>19</v>
      </c>
      <c r="G20" s="18">
        <f t="shared" si="0"/>
        <v>48.26</v>
      </c>
      <c r="H20" s="27">
        <v>4.1500000000000004</v>
      </c>
      <c r="I20" s="28"/>
      <c r="J20" s="29" t="s">
        <v>15</v>
      </c>
      <c r="K20" s="30" t="s">
        <v>23</v>
      </c>
      <c r="L20" s="31">
        <v>51</v>
      </c>
      <c r="M20" s="31">
        <v>7.63</v>
      </c>
      <c r="N20" s="31"/>
    </row>
    <row r="21" spans="1:14" ht="14.1" customHeight="1" x14ac:dyDescent="0.3">
      <c r="A21" s="16">
        <v>4</v>
      </c>
      <c r="B21" s="31">
        <v>5</v>
      </c>
      <c r="C21" s="17" t="s">
        <v>18</v>
      </c>
      <c r="D21" s="17" t="s">
        <v>19</v>
      </c>
      <c r="E21" s="17" t="s">
        <v>20</v>
      </c>
      <c r="F21" s="18">
        <v>17</v>
      </c>
      <c r="G21" s="18">
        <f t="shared" si="0"/>
        <v>43.18</v>
      </c>
      <c r="H21" s="19">
        <v>8.09</v>
      </c>
      <c r="I21" s="20"/>
      <c r="J21" s="29" t="s">
        <v>15</v>
      </c>
      <c r="K21" s="30" t="s">
        <v>23</v>
      </c>
      <c r="L21" s="31">
        <v>82.7</v>
      </c>
      <c r="M21" s="31">
        <v>13.86</v>
      </c>
      <c r="N21" s="31"/>
    </row>
    <row r="22" spans="1:14" ht="14.1" customHeight="1" x14ac:dyDescent="0.3">
      <c r="A22" s="24">
        <v>5</v>
      </c>
      <c r="B22" s="31">
        <v>1</v>
      </c>
      <c r="C22" s="25" t="s">
        <v>18</v>
      </c>
      <c r="D22" s="25" t="s">
        <v>19</v>
      </c>
      <c r="E22" s="25" t="s">
        <v>20</v>
      </c>
      <c r="F22" s="26">
        <v>18.5</v>
      </c>
      <c r="G22" s="18">
        <f t="shared" si="0"/>
        <v>46.989999999999995</v>
      </c>
      <c r="H22" s="27">
        <v>5.66</v>
      </c>
      <c r="I22" s="28"/>
      <c r="J22" s="29" t="s">
        <v>24</v>
      </c>
      <c r="K22" s="30" t="s">
        <v>24</v>
      </c>
      <c r="L22" s="30" t="s">
        <v>24</v>
      </c>
      <c r="M22" s="30" t="s">
        <v>24</v>
      </c>
      <c r="N22" s="30" t="s">
        <v>25</v>
      </c>
    </row>
    <row r="23" spans="1:14" ht="14.1" customHeight="1" x14ac:dyDescent="0.3">
      <c r="A23" s="16">
        <v>5</v>
      </c>
      <c r="B23" s="31">
        <v>2</v>
      </c>
      <c r="C23" s="17" t="s">
        <v>14</v>
      </c>
      <c r="D23" s="17" t="s">
        <v>15</v>
      </c>
      <c r="E23" s="17" t="s">
        <v>17</v>
      </c>
      <c r="F23" s="18">
        <v>22</v>
      </c>
      <c r="G23" s="18">
        <f t="shared" si="0"/>
        <v>55.879999999999995</v>
      </c>
      <c r="H23" s="19">
        <v>5.58</v>
      </c>
      <c r="I23" s="20"/>
      <c r="J23" s="29" t="s">
        <v>15</v>
      </c>
      <c r="K23" s="30" t="s">
        <v>26</v>
      </c>
      <c r="L23" s="31">
        <v>57.3</v>
      </c>
      <c r="M23" s="31">
        <v>7.46</v>
      </c>
      <c r="N23" s="31"/>
    </row>
    <row r="24" spans="1:14" ht="14.1" customHeight="1" x14ac:dyDescent="0.3">
      <c r="A24" s="24">
        <v>5</v>
      </c>
      <c r="B24" s="31">
        <v>3</v>
      </c>
      <c r="C24" s="25" t="s">
        <v>14</v>
      </c>
      <c r="D24" s="25" t="s">
        <v>19</v>
      </c>
      <c r="E24" s="25" t="s">
        <v>20</v>
      </c>
      <c r="F24" s="26">
        <v>22</v>
      </c>
      <c r="G24" s="18">
        <f t="shared" si="0"/>
        <v>55.879999999999995</v>
      </c>
      <c r="H24" s="27">
        <v>3.88</v>
      </c>
      <c r="I24" s="28"/>
      <c r="J24" s="29" t="s">
        <v>15</v>
      </c>
      <c r="K24" s="30" t="s">
        <v>26</v>
      </c>
      <c r="L24" s="31">
        <v>56.3</v>
      </c>
      <c r="M24" s="31">
        <v>6.5</v>
      </c>
      <c r="N24" s="31"/>
    </row>
    <row r="25" spans="1:14" ht="14.1" customHeight="1" x14ac:dyDescent="0.3">
      <c r="A25" s="16">
        <v>5</v>
      </c>
      <c r="B25" s="31">
        <v>4</v>
      </c>
      <c r="C25" s="17" t="s">
        <v>18</v>
      </c>
      <c r="D25" s="17" t="s">
        <v>19</v>
      </c>
      <c r="E25" s="17" t="s">
        <v>20</v>
      </c>
      <c r="F25" s="18">
        <v>15</v>
      </c>
      <c r="G25" s="18">
        <f t="shared" si="0"/>
        <v>38.1</v>
      </c>
      <c r="H25" s="19">
        <v>4.99</v>
      </c>
      <c r="I25" s="20"/>
      <c r="J25" s="29" t="s">
        <v>15</v>
      </c>
      <c r="K25" s="30" t="s">
        <v>26</v>
      </c>
      <c r="L25" s="31">
        <v>76.400000000000006</v>
      </c>
      <c r="M25" s="31">
        <v>7.3</v>
      </c>
      <c r="N25" s="31"/>
    </row>
    <row r="26" spans="1:14" ht="14.1" customHeight="1" x14ac:dyDescent="0.3">
      <c r="A26" s="24">
        <v>5</v>
      </c>
      <c r="B26" s="31">
        <v>5</v>
      </c>
      <c r="C26" s="25" t="s">
        <v>18</v>
      </c>
      <c r="D26" s="25" t="s">
        <v>19</v>
      </c>
      <c r="E26" s="25" t="s">
        <v>20</v>
      </c>
      <c r="F26" s="26">
        <v>22.5</v>
      </c>
      <c r="G26" s="18">
        <f t="shared" si="0"/>
        <v>57.15</v>
      </c>
      <c r="H26" s="27">
        <v>10.63</v>
      </c>
      <c r="I26" s="28"/>
      <c r="J26" s="29" t="s">
        <v>24</v>
      </c>
      <c r="K26" s="30" t="s">
        <v>24</v>
      </c>
      <c r="L26" s="30" t="s">
        <v>24</v>
      </c>
      <c r="M26" s="30" t="s">
        <v>24</v>
      </c>
      <c r="N26" s="30" t="s">
        <v>25</v>
      </c>
    </row>
    <row r="27" spans="1:14" ht="14.1" customHeight="1" x14ac:dyDescent="0.3">
      <c r="A27" s="16">
        <v>5</v>
      </c>
      <c r="B27" s="31">
        <v>6</v>
      </c>
      <c r="C27" s="17" t="s">
        <v>18</v>
      </c>
      <c r="D27" s="17" t="s">
        <v>19</v>
      </c>
      <c r="E27" s="17" t="s">
        <v>20</v>
      </c>
      <c r="F27" s="18">
        <v>18.5</v>
      </c>
      <c r="G27" s="18">
        <f t="shared" si="0"/>
        <v>46.989999999999995</v>
      </c>
      <c r="H27" s="19">
        <v>9.1</v>
      </c>
      <c r="I27" s="20"/>
      <c r="J27" s="29" t="s">
        <v>15</v>
      </c>
      <c r="K27" s="30" t="s">
        <v>22</v>
      </c>
      <c r="L27" s="31">
        <v>41.5</v>
      </c>
      <c r="M27" s="31">
        <v>8.0299999999999994</v>
      </c>
      <c r="N27" s="31"/>
    </row>
    <row r="28" spans="1:14" ht="14.1" customHeight="1" x14ac:dyDescent="0.3">
      <c r="A28" s="24">
        <v>6</v>
      </c>
      <c r="B28" s="31">
        <v>1</v>
      </c>
      <c r="C28" s="25" t="s">
        <v>18</v>
      </c>
      <c r="D28" s="25" t="s">
        <v>19</v>
      </c>
      <c r="E28" s="25" t="s">
        <v>20</v>
      </c>
      <c r="F28" s="26">
        <v>12.5</v>
      </c>
      <c r="G28" s="18">
        <f t="shared" si="0"/>
        <v>31.75</v>
      </c>
      <c r="H28" s="27">
        <v>8.65</v>
      </c>
      <c r="I28" s="28"/>
      <c r="J28" s="29" t="s">
        <v>15</v>
      </c>
      <c r="K28" s="30" t="s">
        <v>26</v>
      </c>
      <c r="L28" s="31">
        <v>114</v>
      </c>
      <c r="M28" s="31">
        <v>13.05</v>
      </c>
      <c r="N28" s="31"/>
    </row>
    <row r="29" spans="1:14" ht="14.1" customHeight="1" x14ac:dyDescent="0.3">
      <c r="A29" s="16">
        <v>6</v>
      </c>
      <c r="B29" s="31">
        <v>2</v>
      </c>
      <c r="C29" s="17" t="s">
        <v>18</v>
      </c>
      <c r="D29" s="17" t="s">
        <v>19</v>
      </c>
      <c r="E29" s="17" t="s">
        <v>20</v>
      </c>
      <c r="F29" s="18">
        <v>14</v>
      </c>
      <c r="G29" s="18">
        <f t="shared" si="0"/>
        <v>35.56</v>
      </c>
      <c r="H29" s="19">
        <v>10.09</v>
      </c>
      <c r="I29" s="20"/>
      <c r="J29" s="29" t="s">
        <v>15</v>
      </c>
      <c r="K29" s="30" t="s">
        <v>23</v>
      </c>
      <c r="L29" s="31">
        <v>46.4</v>
      </c>
      <c r="M29" s="31">
        <v>10.61</v>
      </c>
      <c r="N29" s="31"/>
    </row>
    <row r="30" spans="1:14" ht="14.1" customHeight="1" x14ac:dyDescent="0.3">
      <c r="A30" s="24">
        <v>6</v>
      </c>
      <c r="B30" s="31">
        <v>3</v>
      </c>
      <c r="C30" s="25" t="s">
        <v>14</v>
      </c>
      <c r="D30" s="25" t="s">
        <v>19</v>
      </c>
      <c r="E30" s="25" t="s">
        <v>20</v>
      </c>
      <c r="F30" s="26">
        <v>19.5</v>
      </c>
      <c r="G30" s="18">
        <f t="shared" si="0"/>
        <v>49.53</v>
      </c>
      <c r="H30" s="27">
        <v>3.82</v>
      </c>
      <c r="I30" s="28"/>
      <c r="J30" s="29" t="s">
        <v>15</v>
      </c>
      <c r="K30" s="30" t="s">
        <v>22</v>
      </c>
      <c r="L30" s="31">
        <v>56.2</v>
      </c>
      <c r="M30" s="31">
        <v>7.33</v>
      </c>
      <c r="N30" s="31"/>
    </row>
    <row r="31" spans="1:14" ht="14.1" customHeight="1" x14ac:dyDescent="0.3">
      <c r="A31" s="16">
        <v>6</v>
      </c>
      <c r="B31" s="31">
        <v>4</v>
      </c>
      <c r="C31" s="17" t="s">
        <v>14</v>
      </c>
      <c r="D31" s="17" t="s">
        <v>19</v>
      </c>
      <c r="E31" s="17" t="s">
        <v>20</v>
      </c>
      <c r="F31" s="18">
        <v>18</v>
      </c>
      <c r="G31" s="18">
        <f t="shared" si="0"/>
        <v>45.72</v>
      </c>
      <c r="H31" s="19">
        <v>3.57</v>
      </c>
      <c r="I31" s="20"/>
      <c r="J31" s="29" t="s">
        <v>15</v>
      </c>
      <c r="K31" s="30" t="s">
        <v>22</v>
      </c>
      <c r="L31" s="31">
        <v>52</v>
      </c>
      <c r="M31" s="31">
        <v>5.53</v>
      </c>
      <c r="N31" s="31"/>
    </row>
    <row r="32" spans="1:14" ht="14.1" customHeight="1" x14ac:dyDescent="0.3">
      <c r="A32" s="24">
        <v>7</v>
      </c>
      <c r="B32" s="31">
        <v>1</v>
      </c>
      <c r="C32" s="25" t="s">
        <v>14</v>
      </c>
      <c r="D32" s="25" t="s">
        <v>19</v>
      </c>
      <c r="E32" s="25" t="s">
        <v>20</v>
      </c>
      <c r="F32" s="26">
        <v>11.5</v>
      </c>
      <c r="G32" s="18">
        <f t="shared" si="0"/>
        <v>29.21</v>
      </c>
      <c r="H32" s="27">
        <v>2.82</v>
      </c>
      <c r="I32" s="28"/>
      <c r="J32" s="29" t="s">
        <v>15</v>
      </c>
      <c r="K32" s="30" t="s">
        <v>22</v>
      </c>
      <c r="L32" s="31">
        <v>41.4</v>
      </c>
      <c r="M32" s="31">
        <v>7.72</v>
      </c>
      <c r="N32" s="31"/>
    </row>
    <row r="33" spans="1:14" ht="14.1" customHeight="1" x14ac:dyDescent="0.3">
      <c r="A33" s="16">
        <v>7</v>
      </c>
      <c r="B33" s="31">
        <v>2</v>
      </c>
      <c r="C33" s="17" t="s">
        <v>18</v>
      </c>
      <c r="D33" s="17" t="s">
        <v>19</v>
      </c>
      <c r="E33" s="17" t="s">
        <v>20</v>
      </c>
      <c r="F33" s="18">
        <v>12.5</v>
      </c>
      <c r="G33" s="18">
        <f t="shared" si="0"/>
        <v>31.75</v>
      </c>
      <c r="H33" s="19">
        <v>6.25</v>
      </c>
      <c r="I33" s="20"/>
      <c r="J33" s="29" t="s">
        <v>15</v>
      </c>
      <c r="K33" s="30" t="s">
        <v>26</v>
      </c>
      <c r="L33" s="31">
        <v>65.599999999999994</v>
      </c>
      <c r="M33" s="31">
        <v>14.83</v>
      </c>
      <c r="N33" s="31"/>
    </row>
    <row r="34" spans="1:14" ht="14.1" customHeight="1" x14ac:dyDescent="0.3">
      <c r="A34" s="24">
        <v>7</v>
      </c>
      <c r="B34" s="31">
        <v>3</v>
      </c>
      <c r="C34" s="25" t="s">
        <v>14</v>
      </c>
      <c r="D34" s="25" t="s">
        <v>19</v>
      </c>
      <c r="E34" s="25" t="s">
        <v>20</v>
      </c>
      <c r="F34" s="26">
        <v>14.5</v>
      </c>
      <c r="G34" s="18">
        <f t="shared" si="0"/>
        <v>36.83</v>
      </c>
      <c r="H34" s="27">
        <v>3.65</v>
      </c>
      <c r="I34" s="28"/>
      <c r="J34" s="29" t="s">
        <v>15</v>
      </c>
      <c r="K34" s="30" t="s">
        <v>26</v>
      </c>
      <c r="L34" s="31">
        <v>26</v>
      </c>
      <c r="M34" s="31">
        <v>9.83</v>
      </c>
      <c r="N34" s="31"/>
    </row>
    <row r="35" spans="1:14" ht="14.1" customHeight="1" x14ac:dyDescent="0.3">
      <c r="A35" s="16">
        <v>8</v>
      </c>
      <c r="B35" s="31">
        <v>1</v>
      </c>
      <c r="C35" s="17" t="s">
        <v>18</v>
      </c>
      <c r="D35" s="17" t="s">
        <v>19</v>
      </c>
      <c r="E35" s="17" t="s">
        <v>20</v>
      </c>
      <c r="F35" s="18">
        <v>15.5</v>
      </c>
      <c r="G35" s="18">
        <f t="shared" si="0"/>
        <v>39.369999999999997</v>
      </c>
      <c r="H35" s="19">
        <v>8.61</v>
      </c>
      <c r="I35" s="20"/>
      <c r="J35" s="29" t="s">
        <v>15</v>
      </c>
      <c r="K35" s="30" t="s">
        <v>23</v>
      </c>
      <c r="L35" s="31">
        <v>37.200000000000003</v>
      </c>
      <c r="M35" s="31">
        <v>14.36</v>
      </c>
      <c r="N35" s="31"/>
    </row>
    <row r="36" spans="1:14" ht="14.1" customHeight="1" x14ac:dyDescent="0.3">
      <c r="A36" s="24">
        <v>8</v>
      </c>
      <c r="B36" s="31">
        <v>2</v>
      </c>
      <c r="C36" s="25" t="s">
        <v>18</v>
      </c>
      <c r="D36" s="25" t="s">
        <v>19</v>
      </c>
      <c r="E36" s="25" t="s">
        <v>20</v>
      </c>
      <c r="F36" s="26">
        <v>11.5</v>
      </c>
      <c r="G36" s="18">
        <f t="shared" si="0"/>
        <v>29.21</v>
      </c>
      <c r="H36" s="27">
        <v>6.5</v>
      </c>
      <c r="I36" s="28"/>
      <c r="J36" s="32"/>
      <c r="K36" s="7"/>
      <c r="L36" s="7"/>
      <c r="M36" s="7"/>
      <c r="N36" s="30" t="s">
        <v>28</v>
      </c>
    </row>
    <row r="37" spans="1:14" ht="14.1" customHeight="1" x14ac:dyDescent="0.3">
      <c r="A37" s="16">
        <v>8</v>
      </c>
      <c r="B37" s="31">
        <v>3</v>
      </c>
      <c r="C37" s="17" t="s">
        <v>14</v>
      </c>
      <c r="D37" s="17" t="s">
        <v>19</v>
      </c>
      <c r="E37" s="17" t="s">
        <v>20</v>
      </c>
      <c r="F37" s="18">
        <v>12.5</v>
      </c>
      <c r="G37" s="18">
        <f t="shared" si="0"/>
        <v>31.75</v>
      </c>
      <c r="H37" s="19">
        <v>3.55</v>
      </c>
      <c r="I37" s="20"/>
      <c r="J37" s="32"/>
      <c r="K37" s="7"/>
      <c r="L37" s="7"/>
      <c r="M37" s="7"/>
      <c r="N37" s="30" t="s">
        <v>28</v>
      </c>
    </row>
    <row r="38" spans="1:14" ht="14.1" customHeight="1" x14ac:dyDescent="0.3">
      <c r="A38" s="24">
        <v>8</v>
      </c>
      <c r="B38" s="31">
        <v>4</v>
      </c>
      <c r="C38" s="25" t="s">
        <v>14</v>
      </c>
      <c r="D38" s="25" t="s">
        <v>19</v>
      </c>
      <c r="E38" s="25" t="s">
        <v>20</v>
      </c>
      <c r="F38" s="26">
        <v>16.5</v>
      </c>
      <c r="G38" s="18">
        <f t="shared" si="0"/>
        <v>41.91</v>
      </c>
      <c r="H38" s="27">
        <v>2.93</v>
      </c>
      <c r="I38" s="28"/>
      <c r="J38" s="29" t="s">
        <v>15</v>
      </c>
      <c r="K38" s="30" t="s">
        <v>26</v>
      </c>
      <c r="L38" s="31">
        <v>38.200000000000003</v>
      </c>
      <c r="M38" s="31">
        <v>7.14</v>
      </c>
      <c r="N38" s="31"/>
    </row>
    <row r="39" spans="1:14" ht="14.1" customHeight="1" x14ac:dyDescent="0.3">
      <c r="A39" s="16">
        <v>8</v>
      </c>
      <c r="B39" s="31">
        <v>5</v>
      </c>
      <c r="C39" s="17" t="s">
        <v>14</v>
      </c>
      <c r="D39" s="17" t="s">
        <v>15</v>
      </c>
      <c r="E39" s="17" t="s">
        <v>17</v>
      </c>
      <c r="F39" s="18">
        <v>17.5</v>
      </c>
      <c r="G39" s="18">
        <f t="shared" si="0"/>
        <v>44.45</v>
      </c>
      <c r="H39" s="19">
        <v>5.79</v>
      </c>
      <c r="I39" s="20"/>
      <c r="J39" s="32"/>
      <c r="K39" s="7"/>
      <c r="L39" s="7"/>
      <c r="M39" s="7"/>
      <c r="N39" s="31"/>
    </row>
    <row r="40" spans="1:14" ht="14.1" customHeight="1" x14ac:dyDescent="0.3">
      <c r="A40" s="24">
        <v>9</v>
      </c>
      <c r="B40" s="31">
        <v>1</v>
      </c>
      <c r="C40" s="25" t="s">
        <v>14</v>
      </c>
      <c r="D40" s="25" t="s">
        <v>15</v>
      </c>
      <c r="E40" s="25" t="s">
        <v>17</v>
      </c>
      <c r="F40" s="26">
        <v>5</v>
      </c>
      <c r="G40" s="18">
        <f t="shared" si="0"/>
        <v>12.7</v>
      </c>
      <c r="H40" s="27">
        <v>4.03</v>
      </c>
      <c r="I40" s="28"/>
      <c r="J40" s="29" t="s">
        <v>15</v>
      </c>
      <c r="K40" s="30" t="s">
        <v>26</v>
      </c>
      <c r="L40" s="31">
        <v>47.2</v>
      </c>
      <c r="M40" s="31">
        <v>8.32</v>
      </c>
      <c r="N40" s="31"/>
    </row>
    <row r="41" spans="1:14" ht="14.1" customHeight="1" x14ac:dyDescent="0.3">
      <c r="A41" s="16">
        <v>9</v>
      </c>
      <c r="B41" s="31">
        <v>2</v>
      </c>
      <c r="C41" s="17" t="s">
        <v>14</v>
      </c>
      <c r="D41" s="17" t="s">
        <v>15</v>
      </c>
      <c r="E41" s="17" t="s">
        <v>17</v>
      </c>
      <c r="F41" s="18">
        <v>20</v>
      </c>
      <c r="G41" s="18">
        <f t="shared" si="0"/>
        <v>50.8</v>
      </c>
      <c r="H41" s="19">
        <v>5.41</v>
      </c>
      <c r="I41" s="20"/>
      <c r="J41" s="29" t="s">
        <v>15</v>
      </c>
      <c r="K41" s="30" t="s">
        <v>22</v>
      </c>
      <c r="L41" s="31">
        <v>53.3</v>
      </c>
      <c r="M41" s="31">
        <v>9.39</v>
      </c>
      <c r="N41" s="31"/>
    </row>
    <row r="42" spans="1:14" ht="14.1" customHeight="1" x14ac:dyDescent="0.3">
      <c r="A42" s="24">
        <v>9</v>
      </c>
      <c r="B42" s="31">
        <v>3</v>
      </c>
      <c r="C42" s="25" t="s">
        <v>14</v>
      </c>
      <c r="D42" s="25" t="s">
        <v>19</v>
      </c>
      <c r="E42" s="25" t="s">
        <v>20</v>
      </c>
      <c r="F42" s="26">
        <v>20</v>
      </c>
      <c r="G42" s="18">
        <f t="shared" si="0"/>
        <v>50.8</v>
      </c>
      <c r="H42" s="27">
        <v>4.16</v>
      </c>
      <c r="I42" s="28"/>
      <c r="J42" s="29" t="s">
        <v>24</v>
      </c>
      <c r="K42" s="30" t="s">
        <v>24</v>
      </c>
      <c r="L42" s="30" t="s">
        <v>24</v>
      </c>
      <c r="M42" s="30" t="s">
        <v>24</v>
      </c>
      <c r="N42" s="30" t="s">
        <v>21</v>
      </c>
    </row>
    <row r="43" spans="1:14" ht="14.1" customHeight="1" x14ac:dyDescent="0.3">
      <c r="A43" s="16">
        <v>9</v>
      </c>
      <c r="B43" s="31">
        <v>4</v>
      </c>
      <c r="C43" s="17" t="s">
        <v>18</v>
      </c>
      <c r="D43" s="17" t="s">
        <v>19</v>
      </c>
      <c r="E43" s="17" t="s">
        <v>20</v>
      </c>
      <c r="F43" s="18">
        <v>20.5</v>
      </c>
      <c r="G43" s="18">
        <f t="shared" si="0"/>
        <v>52.070000000000007</v>
      </c>
      <c r="H43" s="19">
        <v>8.14</v>
      </c>
      <c r="I43" s="20"/>
      <c r="J43" s="29" t="s">
        <v>24</v>
      </c>
      <c r="K43" s="30" t="s">
        <v>24</v>
      </c>
      <c r="L43" s="30" t="s">
        <v>24</v>
      </c>
      <c r="M43" s="30" t="s">
        <v>24</v>
      </c>
      <c r="N43" s="30" t="s">
        <v>21</v>
      </c>
    </row>
    <row r="44" spans="1:14" ht="14.1" customHeight="1" x14ac:dyDescent="0.3">
      <c r="A44" s="24">
        <v>9</v>
      </c>
      <c r="B44" s="31">
        <v>5</v>
      </c>
      <c r="C44" s="25" t="s">
        <v>18</v>
      </c>
      <c r="D44" s="25" t="s">
        <v>19</v>
      </c>
      <c r="E44" s="25" t="s">
        <v>20</v>
      </c>
      <c r="F44" s="26">
        <v>16</v>
      </c>
      <c r="G44" s="18">
        <f t="shared" si="0"/>
        <v>40.64</v>
      </c>
      <c r="H44" s="27">
        <v>6.65</v>
      </c>
      <c r="I44" s="28"/>
      <c r="J44" s="29" t="s">
        <v>24</v>
      </c>
      <c r="K44" s="30" t="s">
        <v>24</v>
      </c>
      <c r="L44" s="30" t="s">
        <v>24</v>
      </c>
      <c r="M44" s="30" t="s">
        <v>24</v>
      </c>
      <c r="N44" s="30" t="s">
        <v>21</v>
      </c>
    </row>
    <row r="45" spans="1:14" ht="14.1" customHeight="1" x14ac:dyDescent="0.3">
      <c r="A45" s="16">
        <v>9</v>
      </c>
      <c r="B45" s="31">
        <v>6</v>
      </c>
      <c r="C45" s="17" t="s">
        <v>14</v>
      </c>
      <c r="D45" s="17" t="s">
        <v>15</v>
      </c>
      <c r="E45" s="17" t="s">
        <v>16</v>
      </c>
      <c r="F45" s="18">
        <v>20.5</v>
      </c>
      <c r="G45" s="18">
        <f t="shared" si="0"/>
        <v>52.070000000000007</v>
      </c>
      <c r="H45" s="19">
        <v>7.12</v>
      </c>
      <c r="I45" s="20"/>
      <c r="J45" s="29" t="s">
        <v>15</v>
      </c>
      <c r="K45" s="30" t="s">
        <v>22</v>
      </c>
      <c r="L45" s="31">
        <v>58.1</v>
      </c>
      <c r="M45" s="31">
        <v>13.57</v>
      </c>
      <c r="N45" s="31"/>
    </row>
    <row r="46" spans="1:14" ht="14.1" customHeight="1" x14ac:dyDescent="0.3">
      <c r="A46" s="24">
        <v>10</v>
      </c>
      <c r="B46" s="31">
        <v>1</v>
      </c>
      <c r="C46" s="25" t="s">
        <v>14</v>
      </c>
      <c r="D46" s="25" t="s">
        <v>19</v>
      </c>
      <c r="E46" s="25" t="s">
        <v>20</v>
      </c>
      <c r="F46" s="26">
        <v>16</v>
      </c>
      <c r="G46" s="18">
        <f t="shared" si="0"/>
        <v>40.64</v>
      </c>
      <c r="H46" s="27">
        <v>3.37</v>
      </c>
      <c r="I46" s="28"/>
      <c r="J46" s="29" t="s">
        <v>15</v>
      </c>
      <c r="K46" s="30" t="s">
        <v>23</v>
      </c>
      <c r="L46" s="31">
        <v>47.7</v>
      </c>
      <c r="M46" s="31">
        <v>8.6</v>
      </c>
      <c r="N46" s="31"/>
    </row>
    <row r="47" spans="1:14" ht="14.1" customHeight="1" x14ac:dyDescent="0.3">
      <c r="A47" s="16">
        <v>10</v>
      </c>
      <c r="B47" s="31">
        <v>2</v>
      </c>
      <c r="C47" s="17" t="s">
        <v>18</v>
      </c>
      <c r="D47" s="17" t="s">
        <v>19</v>
      </c>
      <c r="E47" s="17" t="s">
        <v>20</v>
      </c>
      <c r="F47" s="18">
        <v>15.5</v>
      </c>
      <c r="G47" s="18">
        <f t="shared" si="0"/>
        <v>39.369999999999997</v>
      </c>
      <c r="H47" s="19">
        <v>7.97</v>
      </c>
      <c r="I47" s="20"/>
      <c r="J47" s="29" t="s">
        <v>15</v>
      </c>
      <c r="K47" s="30" t="s">
        <v>22</v>
      </c>
      <c r="L47" s="31">
        <v>54</v>
      </c>
      <c r="M47" s="31">
        <v>11.37</v>
      </c>
      <c r="N47" s="31"/>
    </row>
    <row r="48" spans="1:14" ht="14.1" customHeight="1" x14ac:dyDescent="0.3">
      <c r="A48" s="24">
        <v>10</v>
      </c>
      <c r="B48" s="31">
        <v>3</v>
      </c>
      <c r="C48" s="25" t="s">
        <v>14</v>
      </c>
      <c r="D48" s="25" t="s">
        <v>19</v>
      </c>
      <c r="E48" s="25" t="s">
        <v>20</v>
      </c>
      <c r="F48" s="26">
        <v>14</v>
      </c>
      <c r="G48" s="18">
        <f t="shared" si="0"/>
        <v>35.56</v>
      </c>
      <c r="H48" s="27">
        <v>2.44</v>
      </c>
      <c r="I48" s="28"/>
      <c r="J48" s="29" t="s">
        <v>15</v>
      </c>
      <c r="K48" s="30" t="s">
        <v>23</v>
      </c>
      <c r="L48" s="31">
        <v>38.200000000000003</v>
      </c>
      <c r="M48" s="31">
        <v>6.98</v>
      </c>
      <c r="N48" s="31"/>
    </row>
    <row r="49" spans="1:14" ht="14.1" customHeight="1" x14ac:dyDescent="0.3">
      <c r="A49" s="16">
        <v>11</v>
      </c>
      <c r="B49" s="31">
        <v>1</v>
      </c>
      <c r="C49" s="17" t="s">
        <v>18</v>
      </c>
      <c r="D49" s="17" t="s">
        <v>19</v>
      </c>
      <c r="E49" s="17" t="s">
        <v>20</v>
      </c>
      <c r="F49" s="18">
        <v>22</v>
      </c>
      <c r="G49" s="18">
        <f t="shared" si="0"/>
        <v>55.879999999999995</v>
      </c>
      <c r="H49" s="19">
        <v>8.57</v>
      </c>
      <c r="I49" s="20"/>
      <c r="J49" s="29" t="s">
        <v>15</v>
      </c>
      <c r="K49" s="30" t="s">
        <v>22</v>
      </c>
      <c r="L49" s="31">
        <v>60.5</v>
      </c>
      <c r="M49" s="31">
        <v>10.28</v>
      </c>
      <c r="N49" s="31"/>
    </row>
    <row r="50" spans="1:14" ht="14.1" customHeight="1" x14ac:dyDescent="0.3">
      <c r="A50" s="24">
        <v>11</v>
      </c>
      <c r="B50" s="31">
        <v>2</v>
      </c>
      <c r="C50" s="25" t="s">
        <v>18</v>
      </c>
      <c r="D50" s="25" t="s">
        <v>19</v>
      </c>
      <c r="E50" s="25" t="s">
        <v>20</v>
      </c>
      <c r="F50" s="26">
        <v>18</v>
      </c>
      <c r="G50" s="18">
        <f t="shared" si="0"/>
        <v>45.72</v>
      </c>
      <c r="H50" s="27">
        <v>8.7899999999999991</v>
      </c>
      <c r="I50" s="28"/>
      <c r="J50" s="29" t="s">
        <v>15</v>
      </c>
      <c r="K50" s="30" t="s">
        <v>22</v>
      </c>
      <c r="L50" s="31">
        <v>87.6</v>
      </c>
      <c r="M50" s="31">
        <v>23.92</v>
      </c>
      <c r="N50" s="31"/>
    </row>
    <row r="51" spans="1:14" ht="14.1" customHeight="1" x14ac:dyDescent="0.3">
      <c r="A51" s="16">
        <v>11</v>
      </c>
      <c r="B51" s="31">
        <v>3</v>
      </c>
      <c r="C51" s="17" t="s">
        <v>14</v>
      </c>
      <c r="D51" s="17" t="s">
        <v>15</v>
      </c>
      <c r="E51" s="17" t="s">
        <v>17</v>
      </c>
      <c r="F51" s="18">
        <v>8</v>
      </c>
      <c r="G51" s="18">
        <f t="shared" si="0"/>
        <v>20.32</v>
      </c>
      <c r="H51" s="19">
        <v>3.18</v>
      </c>
      <c r="I51" s="20"/>
      <c r="J51" s="29" t="s">
        <v>15</v>
      </c>
      <c r="K51" s="30" t="s">
        <v>27</v>
      </c>
      <c r="L51" s="31">
        <v>40.200000000000003</v>
      </c>
      <c r="M51" s="31">
        <v>7.19</v>
      </c>
      <c r="N51" s="31"/>
    </row>
    <row r="52" spans="1:14" ht="14.1" customHeight="1" x14ac:dyDescent="0.3">
      <c r="A52" s="24">
        <v>11</v>
      </c>
      <c r="B52" s="31">
        <v>4</v>
      </c>
      <c r="C52" s="25" t="s">
        <v>14</v>
      </c>
      <c r="D52" s="25" t="s">
        <v>15</v>
      </c>
      <c r="E52" s="25" t="s">
        <v>17</v>
      </c>
      <c r="F52" s="26">
        <v>11.5</v>
      </c>
      <c r="G52" s="18">
        <f t="shared" si="0"/>
        <v>29.21</v>
      </c>
      <c r="H52" s="27">
        <v>3.65</v>
      </c>
      <c r="I52" s="28"/>
      <c r="J52" s="32"/>
      <c r="K52" s="7"/>
      <c r="L52" s="7"/>
      <c r="M52" s="7"/>
      <c r="N52" s="30" t="s">
        <v>28</v>
      </c>
    </row>
    <row r="53" spans="1:14" ht="14.1" customHeight="1" x14ac:dyDescent="0.3">
      <c r="A53" s="16">
        <v>12</v>
      </c>
      <c r="B53" s="31">
        <v>1</v>
      </c>
      <c r="C53" s="17" t="s">
        <v>18</v>
      </c>
      <c r="D53" s="17" t="s">
        <v>19</v>
      </c>
      <c r="E53" s="17" t="s">
        <v>20</v>
      </c>
      <c r="F53" s="18">
        <v>19.5</v>
      </c>
      <c r="G53" s="18">
        <f t="shared" si="0"/>
        <v>49.53</v>
      </c>
      <c r="H53" s="19">
        <v>9.6999999999999993</v>
      </c>
      <c r="I53" s="20"/>
      <c r="J53" s="29" t="s">
        <v>15</v>
      </c>
      <c r="K53" s="30" t="s">
        <v>22</v>
      </c>
      <c r="L53" s="31">
        <v>48.2</v>
      </c>
      <c r="M53" s="31">
        <v>10.75</v>
      </c>
      <c r="N53" s="30" t="s">
        <v>40</v>
      </c>
    </row>
    <row r="54" spans="1:14" ht="14.1" customHeight="1" x14ac:dyDescent="0.3">
      <c r="A54" s="24">
        <v>12</v>
      </c>
      <c r="B54" s="31">
        <v>2</v>
      </c>
      <c r="C54" s="25" t="s">
        <v>14</v>
      </c>
      <c r="D54" s="25" t="s">
        <v>19</v>
      </c>
      <c r="E54" s="25" t="s">
        <v>20</v>
      </c>
      <c r="F54" s="26">
        <v>13</v>
      </c>
      <c r="G54" s="18">
        <f t="shared" si="0"/>
        <v>33.019999999999996</v>
      </c>
      <c r="H54" s="27">
        <v>3.05</v>
      </c>
      <c r="I54" s="28"/>
      <c r="J54" s="29" t="s">
        <v>15</v>
      </c>
      <c r="K54" s="30" t="s">
        <v>27</v>
      </c>
      <c r="L54" s="31">
        <v>30</v>
      </c>
      <c r="M54" s="31">
        <v>9.4</v>
      </c>
      <c r="N54" s="31"/>
    </row>
    <row r="55" spans="1:14" ht="14.1" customHeight="1" x14ac:dyDescent="0.3">
      <c r="A55" s="16">
        <v>12</v>
      </c>
      <c r="B55" s="31">
        <v>3</v>
      </c>
      <c r="C55" s="17" t="s">
        <v>14</v>
      </c>
      <c r="D55" s="17" t="s">
        <v>19</v>
      </c>
      <c r="E55" s="17" t="s">
        <v>20</v>
      </c>
      <c r="F55" s="18">
        <v>14.5</v>
      </c>
      <c r="G55" s="18">
        <f t="shared" si="0"/>
        <v>36.83</v>
      </c>
      <c r="H55" s="19">
        <v>2.62</v>
      </c>
      <c r="I55" s="20"/>
      <c r="J55" s="29" t="s">
        <v>19</v>
      </c>
      <c r="K55" s="30" t="s">
        <v>20</v>
      </c>
      <c r="L55" s="31">
        <v>45.2</v>
      </c>
      <c r="M55" s="31">
        <v>4.79</v>
      </c>
      <c r="N55" s="31"/>
    </row>
    <row r="56" spans="1:14" ht="14.1" customHeight="1" x14ac:dyDescent="0.3">
      <c r="A56" s="24">
        <v>13</v>
      </c>
      <c r="B56" s="31">
        <v>1</v>
      </c>
      <c r="C56" s="25" t="s">
        <v>18</v>
      </c>
      <c r="D56" s="25" t="s">
        <v>19</v>
      </c>
      <c r="E56" s="25" t="s">
        <v>20</v>
      </c>
      <c r="F56" s="26">
        <v>18</v>
      </c>
      <c r="G56" s="18">
        <f t="shared" si="0"/>
        <v>45.72</v>
      </c>
      <c r="H56" s="27">
        <v>8.44</v>
      </c>
      <c r="I56" s="28"/>
      <c r="J56" s="32"/>
      <c r="K56" s="7"/>
      <c r="L56" s="7"/>
      <c r="M56" s="7"/>
      <c r="N56" s="30" t="s">
        <v>29</v>
      </c>
    </row>
    <row r="57" spans="1:14" ht="14.1" customHeight="1" x14ac:dyDescent="0.3">
      <c r="A57" s="16">
        <v>13</v>
      </c>
      <c r="B57" s="31">
        <v>2</v>
      </c>
      <c r="C57" s="17" t="s">
        <v>14</v>
      </c>
      <c r="D57" s="17" t="s">
        <v>19</v>
      </c>
      <c r="E57" s="17" t="s">
        <v>20</v>
      </c>
      <c r="F57" s="18">
        <v>17</v>
      </c>
      <c r="G57" s="18">
        <f t="shared" si="0"/>
        <v>43.18</v>
      </c>
      <c r="H57" s="19">
        <v>3.71</v>
      </c>
      <c r="I57" s="20"/>
      <c r="J57" s="29" t="s">
        <v>15</v>
      </c>
      <c r="K57" s="30" t="s">
        <v>26</v>
      </c>
      <c r="L57" s="31">
        <v>52.2</v>
      </c>
      <c r="M57" s="31">
        <v>10.41</v>
      </c>
      <c r="N57" s="31"/>
    </row>
    <row r="58" spans="1:14" ht="14.1" customHeight="1" x14ac:dyDescent="0.3">
      <c r="A58" s="24">
        <v>13</v>
      </c>
      <c r="B58" s="31">
        <v>3</v>
      </c>
      <c r="C58" s="25" t="s">
        <v>18</v>
      </c>
      <c r="D58" s="25" t="s">
        <v>19</v>
      </c>
      <c r="E58" s="25" t="s">
        <v>20</v>
      </c>
      <c r="F58" s="26">
        <v>11.5</v>
      </c>
      <c r="G58" s="18">
        <f t="shared" si="0"/>
        <v>29.21</v>
      </c>
      <c r="H58" s="27">
        <v>5.92</v>
      </c>
      <c r="I58" s="28"/>
      <c r="J58" s="29" t="s">
        <v>15</v>
      </c>
      <c r="K58" s="30" t="s">
        <v>26</v>
      </c>
      <c r="L58" s="31">
        <v>68.5</v>
      </c>
      <c r="M58" s="31">
        <v>12.47</v>
      </c>
      <c r="N58" s="31"/>
    </row>
    <row r="59" spans="1:14" ht="14.1" customHeight="1" x14ac:dyDescent="0.3">
      <c r="A59" s="16">
        <v>14</v>
      </c>
      <c r="B59" s="31">
        <v>1</v>
      </c>
      <c r="C59" s="17" t="s">
        <v>14</v>
      </c>
      <c r="D59" s="17" t="s">
        <v>19</v>
      </c>
      <c r="E59" s="17" t="s">
        <v>20</v>
      </c>
      <c r="F59" s="18">
        <v>14.5</v>
      </c>
      <c r="G59" s="18">
        <f t="shared" si="0"/>
        <v>36.83</v>
      </c>
      <c r="H59" s="19">
        <v>3.2</v>
      </c>
      <c r="I59" s="20"/>
      <c r="J59" s="29" t="s">
        <v>15</v>
      </c>
      <c r="K59" s="30" t="s">
        <v>26</v>
      </c>
      <c r="L59" s="31">
        <v>37.200000000000003</v>
      </c>
      <c r="M59" s="31">
        <v>5.96</v>
      </c>
      <c r="N59" s="31"/>
    </row>
    <row r="60" spans="1:14" ht="14.1" customHeight="1" x14ac:dyDescent="0.3">
      <c r="A60" s="24">
        <v>14</v>
      </c>
      <c r="B60" s="31">
        <v>2</v>
      </c>
      <c r="C60" s="25" t="s">
        <v>18</v>
      </c>
      <c r="D60" s="25" t="s">
        <v>19</v>
      </c>
      <c r="E60" s="25" t="s">
        <v>20</v>
      </c>
      <c r="F60" s="26">
        <v>17.5</v>
      </c>
      <c r="G60" s="18">
        <f t="shared" si="0"/>
        <v>44.45</v>
      </c>
      <c r="H60" s="27">
        <v>8.9499999999999993</v>
      </c>
      <c r="I60" s="28"/>
      <c r="J60" s="29" t="s">
        <v>24</v>
      </c>
      <c r="K60" s="30" t="s">
        <v>24</v>
      </c>
      <c r="L60" s="30" t="s">
        <v>24</v>
      </c>
      <c r="M60" s="30" t="s">
        <v>24</v>
      </c>
      <c r="N60" s="30" t="s">
        <v>25</v>
      </c>
    </row>
    <row r="61" spans="1:14" ht="14.1" customHeight="1" x14ac:dyDescent="0.3">
      <c r="A61" s="16">
        <v>14</v>
      </c>
      <c r="B61" s="31">
        <v>3</v>
      </c>
      <c r="C61" s="17" t="s">
        <v>18</v>
      </c>
      <c r="D61" s="17" t="s">
        <v>19</v>
      </c>
      <c r="E61" s="17" t="s">
        <v>20</v>
      </c>
      <c r="F61" s="18">
        <v>25</v>
      </c>
      <c r="G61" s="18">
        <f t="shared" si="0"/>
        <v>63.5</v>
      </c>
      <c r="H61" s="19">
        <v>9.4</v>
      </c>
      <c r="I61" s="20"/>
      <c r="J61" s="29" t="s">
        <v>24</v>
      </c>
      <c r="K61" s="30" t="s">
        <v>24</v>
      </c>
      <c r="L61" s="30" t="s">
        <v>24</v>
      </c>
      <c r="M61" s="30" t="s">
        <v>24</v>
      </c>
      <c r="N61" s="30" t="s">
        <v>21</v>
      </c>
    </row>
    <row r="62" spans="1:14" ht="14.1" customHeight="1" x14ac:dyDescent="0.3">
      <c r="A62" s="24">
        <v>14</v>
      </c>
      <c r="B62" s="31">
        <v>4</v>
      </c>
      <c r="C62" s="25" t="s">
        <v>14</v>
      </c>
      <c r="D62" s="25" t="s">
        <v>19</v>
      </c>
      <c r="E62" s="25" t="s">
        <v>20</v>
      </c>
      <c r="F62" s="26">
        <v>16</v>
      </c>
      <c r="G62" s="18">
        <f t="shared" si="0"/>
        <v>40.64</v>
      </c>
      <c r="H62" s="27">
        <v>4.17</v>
      </c>
      <c r="I62" s="28"/>
      <c r="J62" s="29" t="s">
        <v>15</v>
      </c>
      <c r="K62" s="30" t="s">
        <v>30</v>
      </c>
      <c r="L62" s="31">
        <v>48.1</v>
      </c>
      <c r="M62" s="31">
        <v>12.1</v>
      </c>
      <c r="N62" s="31"/>
    </row>
    <row r="63" spans="1:14" ht="14.1" customHeight="1" x14ac:dyDescent="0.3">
      <c r="A63" s="16">
        <v>14</v>
      </c>
      <c r="B63" s="31">
        <v>5</v>
      </c>
      <c r="C63" s="17" t="s">
        <v>14</v>
      </c>
      <c r="D63" s="17" t="s">
        <v>19</v>
      </c>
      <c r="E63" s="17" t="s">
        <v>20</v>
      </c>
      <c r="F63" s="18">
        <v>23.5</v>
      </c>
      <c r="G63" s="18">
        <f t="shared" si="0"/>
        <v>59.69</v>
      </c>
      <c r="H63" s="19">
        <v>3.26</v>
      </c>
      <c r="I63" s="20"/>
      <c r="J63" s="29" t="s">
        <v>15</v>
      </c>
      <c r="K63" s="30" t="s">
        <v>17</v>
      </c>
      <c r="L63" s="31">
        <v>30.5</v>
      </c>
      <c r="M63" s="31">
        <v>5.46</v>
      </c>
      <c r="N63" s="31"/>
    </row>
    <row r="64" spans="1:14" ht="14.1" customHeight="1" x14ac:dyDescent="0.3">
      <c r="A64" s="24">
        <v>14</v>
      </c>
      <c r="B64" s="31">
        <v>6</v>
      </c>
      <c r="C64" s="25" t="s">
        <v>14</v>
      </c>
      <c r="D64" s="25" t="s">
        <v>19</v>
      </c>
      <c r="E64" s="25" t="s">
        <v>20</v>
      </c>
      <c r="F64" s="26">
        <v>20.5</v>
      </c>
      <c r="G64" s="18">
        <f t="shared" si="0"/>
        <v>52.070000000000007</v>
      </c>
      <c r="H64" s="27">
        <v>4.33</v>
      </c>
      <c r="I64" s="28"/>
      <c r="J64" s="29" t="s">
        <v>15</v>
      </c>
      <c r="K64" s="30" t="s">
        <v>17</v>
      </c>
      <c r="L64" s="31">
        <v>54.1</v>
      </c>
      <c r="M64" s="31">
        <v>9.01</v>
      </c>
      <c r="N64" s="31"/>
    </row>
    <row r="65" spans="1:14" ht="14.1" customHeight="1" x14ac:dyDescent="0.3">
      <c r="A65" s="16">
        <v>14</v>
      </c>
      <c r="B65" s="31">
        <v>7</v>
      </c>
      <c r="C65" s="17" t="s">
        <v>18</v>
      </c>
      <c r="D65" s="17" t="s">
        <v>19</v>
      </c>
      <c r="E65" s="17" t="s">
        <v>20</v>
      </c>
      <c r="F65" s="18">
        <v>13</v>
      </c>
      <c r="G65" s="18">
        <f t="shared" si="0"/>
        <v>33.019999999999996</v>
      </c>
      <c r="H65" s="19">
        <v>5.03</v>
      </c>
      <c r="I65" s="20"/>
      <c r="J65" s="29" t="s">
        <v>15</v>
      </c>
      <c r="K65" s="30" t="s">
        <v>26</v>
      </c>
      <c r="L65" s="31">
        <v>52</v>
      </c>
      <c r="M65" s="31">
        <v>14.16</v>
      </c>
      <c r="N65" s="31"/>
    </row>
    <row r="66" spans="1:14" ht="14.1" customHeight="1" x14ac:dyDescent="0.3">
      <c r="A66" s="24">
        <v>15</v>
      </c>
      <c r="B66" s="31">
        <v>1</v>
      </c>
      <c r="C66" s="25" t="s">
        <v>14</v>
      </c>
      <c r="D66" s="25" t="s">
        <v>19</v>
      </c>
      <c r="E66" s="25" t="s">
        <v>20</v>
      </c>
      <c r="F66" s="26">
        <v>16.5</v>
      </c>
      <c r="G66" s="18">
        <f t="shared" si="0"/>
        <v>41.91</v>
      </c>
      <c r="H66" s="27">
        <v>3.53</v>
      </c>
      <c r="I66" s="28"/>
      <c r="J66" s="29" t="s">
        <v>19</v>
      </c>
      <c r="K66" s="30" t="s">
        <v>20</v>
      </c>
      <c r="L66" s="31">
        <v>52.3</v>
      </c>
      <c r="M66" s="31">
        <v>4.04</v>
      </c>
      <c r="N66" s="31"/>
    </row>
    <row r="67" spans="1:14" ht="14.1" customHeight="1" x14ac:dyDescent="0.3">
      <c r="A67" s="16">
        <v>15</v>
      </c>
      <c r="B67" s="31">
        <v>2</v>
      </c>
      <c r="C67" s="17" t="s">
        <v>14</v>
      </c>
      <c r="D67" s="17" t="s">
        <v>19</v>
      </c>
      <c r="E67" s="17" t="s">
        <v>20</v>
      </c>
      <c r="F67" s="18">
        <v>12</v>
      </c>
      <c r="G67" s="18">
        <f t="shared" si="0"/>
        <v>30.48</v>
      </c>
      <c r="H67" s="19">
        <v>2.36</v>
      </c>
      <c r="I67" s="20"/>
      <c r="J67" s="33"/>
      <c r="K67" s="34"/>
      <c r="L67" s="34"/>
      <c r="M67" s="8"/>
      <c r="N67" s="30" t="s">
        <v>29</v>
      </c>
    </row>
    <row r="68" spans="1:14" ht="14.1" customHeight="1" x14ac:dyDescent="0.3">
      <c r="A68" s="24">
        <v>15</v>
      </c>
      <c r="B68" s="31">
        <v>3</v>
      </c>
      <c r="C68" s="25" t="s">
        <v>18</v>
      </c>
      <c r="D68" s="25" t="s">
        <v>19</v>
      </c>
      <c r="E68" s="25" t="s">
        <v>20</v>
      </c>
      <c r="F68" s="26">
        <v>19.5</v>
      </c>
      <c r="G68" s="18">
        <f t="shared" si="0"/>
        <v>49.53</v>
      </c>
      <c r="H68" s="27">
        <v>8.36</v>
      </c>
      <c r="I68" s="28"/>
      <c r="J68" s="29" t="s">
        <v>15</v>
      </c>
      <c r="K68" s="30" t="s">
        <v>26</v>
      </c>
      <c r="L68" s="31">
        <v>68.099999999999994</v>
      </c>
      <c r="M68" s="31">
        <v>10.51</v>
      </c>
      <c r="N68" s="31"/>
    </row>
    <row r="69" spans="1:14" ht="14.1" customHeight="1" x14ac:dyDescent="0.3">
      <c r="A69" s="16">
        <v>15</v>
      </c>
      <c r="B69" s="31">
        <v>4</v>
      </c>
      <c r="C69" s="17" t="s">
        <v>14</v>
      </c>
      <c r="D69" s="17" t="s">
        <v>19</v>
      </c>
      <c r="E69" s="17" t="s">
        <v>20</v>
      </c>
      <c r="F69" s="18">
        <v>19</v>
      </c>
      <c r="G69" s="18">
        <f t="shared" si="0"/>
        <v>48.26</v>
      </c>
      <c r="H69" s="19">
        <v>3.77</v>
      </c>
      <c r="I69" s="20"/>
      <c r="J69" s="29" t="s">
        <v>19</v>
      </c>
      <c r="K69" s="30" t="s">
        <v>20</v>
      </c>
      <c r="L69" s="31">
        <v>54.1</v>
      </c>
      <c r="M69" s="31">
        <v>7.92</v>
      </c>
      <c r="N69" s="31"/>
    </row>
    <row r="70" spans="1:14" ht="14.1" customHeight="1" x14ac:dyDescent="0.3">
      <c r="A70" s="24">
        <v>15</v>
      </c>
      <c r="B70" s="31">
        <v>5</v>
      </c>
      <c r="C70" s="25" t="s">
        <v>18</v>
      </c>
      <c r="D70" s="25" t="s">
        <v>19</v>
      </c>
      <c r="E70" s="25" t="s">
        <v>20</v>
      </c>
      <c r="F70" s="26">
        <v>14.5</v>
      </c>
      <c r="G70" s="18">
        <f t="shared" ref="G70:G78" si="1">CONVERT(F70,"in","cm")</f>
        <v>36.83</v>
      </c>
      <c r="H70" s="27">
        <v>10.17</v>
      </c>
      <c r="I70" s="28"/>
      <c r="J70" s="29" t="s">
        <v>19</v>
      </c>
      <c r="K70" s="30" t="s">
        <v>20</v>
      </c>
      <c r="L70" s="31">
        <v>38.5</v>
      </c>
      <c r="M70" s="31">
        <v>2.06</v>
      </c>
      <c r="N70" s="30" t="s">
        <v>40</v>
      </c>
    </row>
    <row r="71" spans="1:14" ht="14.1" customHeight="1" x14ac:dyDescent="0.3">
      <c r="A71" s="16">
        <v>15</v>
      </c>
      <c r="B71" s="31">
        <v>6</v>
      </c>
      <c r="C71" s="17" t="s">
        <v>18</v>
      </c>
      <c r="D71" s="17" t="s">
        <v>19</v>
      </c>
      <c r="E71" s="17" t="s">
        <v>20</v>
      </c>
      <c r="F71" s="18">
        <v>16.5</v>
      </c>
      <c r="G71" s="18">
        <f t="shared" si="1"/>
        <v>41.91</v>
      </c>
      <c r="H71" s="19">
        <v>9.85</v>
      </c>
      <c r="I71" s="20"/>
      <c r="J71" s="29" t="s">
        <v>15</v>
      </c>
      <c r="K71" s="30" t="s">
        <v>16</v>
      </c>
      <c r="L71" s="31">
        <v>68</v>
      </c>
      <c r="M71" s="31">
        <v>10.9</v>
      </c>
      <c r="N71" s="31"/>
    </row>
    <row r="72" spans="1:14" ht="14.1" customHeight="1" x14ac:dyDescent="0.3">
      <c r="A72" s="24">
        <v>16</v>
      </c>
      <c r="B72" s="31">
        <v>1</v>
      </c>
      <c r="C72" s="25" t="s">
        <v>14</v>
      </c>
      <c r="D72" s="25" t="s">
        <v>19</v>
      </c>
      <c r="E72" s="25" t="s">
        <v>20</v>
      </c>
      <c r="F72" s="26">
        <v>14.5</v>
      </c>
      <c r="G72" s="18">
        <f t="shared" si="1"/>
        <v>36.83</v>
      </c>
      <c r="H72" s="27">
        <v>3.45</v>
      </c>
      <c r="I72" s="28"/>
      <c r="J72" s="29" t="s">
        <v>19</v>
      </c>
      <c r="K72" s="30" t="s">
        <v>20</v>
      </c>
      <c r="L72" s="31">
        <v>59.3</v>
      </c>
      <c r="M72" s="31">
        <v>4.63</v>
      </c>
      <c r="N72" s="31"/>
    </row>
    <row r="73" spans="1:14" ht="14.1" customHeight="1" x14ac:dyDescent="0.3">
      <c r="A73" s="16">
        <v>16</v>
      </c>
      <c r="B73" s="31">
        <v>2</v>
      </c>
      <c r="C73" s="17" t="s">
        <v>14</v>
      </c>
      <c r="D73" s="17" t="s">
        <v>19</v>
      </c>
      <c r="E73" s="17" t="s">
        <v>20</v>
      </c>
      <c r="F73" s="18">
        <v>16</v>
      </c>
      <c r="G73" s="18">
        <f t="shared" si="1"/>
        <v>40.64</v>
      </c>
      <c r="H73" s="19">
        <v>3.29</v>
      </c>
      <c r="I73" s="20"/>
      <c r="J73" s="29" t="s">
        <v>15</v>
      </c>
      <c r="K73" s="30" t="s">
        <v>16</v>
      </c>
      <c r="L73" s="31">
        <v>39</v>
      </c>
      <c r="M73" s="31">
        <v>3.53</v>
      </c>
      <c r="N73" s="31"/>
    </row>
    <row r="74" spans="1:14" ht="14.1" customHeight="1" x14ac:dyDescent="0.3">
      <c r="A74" s="24">
        <v>16</v>
      </c>
      <c r="B74" s="31">
        <v>3</v>
      </c>
      <c r="C74" s="25" t="s">
        <v>18</v>
      </c>
      <c r="D74" s="25" t="s">
        <v>19</v>
      </c>
      <c r="E74" s="25" t="s">
        <v>20</v>
      </c>
      <c r="F74" s="26">
        <v>19</v>
      </c>
      <c r="G74" s="18">
        <f t="shared" si="1"/>
        <v>48.26</v>
      </c>
      <c r="H74" s="27">
        <v>9.77</v>
      </c>
      <c r="I74" s="28"/>
      <c r="J74" s="29" t="s">
        <v>15</v>
      </c>
      <c r="K74" s="30" t="s">
        <v>16</v>
      </c>
      <c r="L74" s="31">
        <v>51.4</v>
      </c>
      <c r="M74" s="31">
        <v>6.24</v>
      </c>
      <c r="N74" s="31"/>
    </row>
    <row r="75" spans="1:14" ht="14.1" customHeight="1" x14ac:dyDescent="0.3">
      <c r="A75" s="16">
        <v>16</v>
      </c>
      <c r="B75" s="31">
        <v>4</v>
      </c>
      <c r="C75" s="17" t="s">
        <v>18</v>
      </c>
      <c r="D75" s="17" t="s">
        <v>19</v>
      </c>
      <c r="E75" s="17" t="s">
        <v>20</v>
      </c>
      <c r="F75" s="18">
        <v>22</v>
      </c>
      <c r="G75" s="18">
        <f t="shared" si="1"/>
        <v>55.879999999999995</v>
      </c>
      <c r="H75" s="19">
        <v>7.96</v>
      </c>
      <c r="I75" s="20"/>
      <c r="J75" s="29" t="s">
        <v>24</v>
      </c>
      <c r="K75" s="30" t="s">
        <v>24</v>
      </c>
      <c r="L75" s="30" t="s">
        <v>24</v>
      </c>
      <c r="M75" s="30" t="s">
        <v>24</v>
      </c>
      <c r="N75" s="30" t="s">
        <v>21</v>
      </c>
    </row>
    <row r="76" spans="1:14" ht="14.1" customHeight="1" x14ac:dyDescent="0.3">
      <c r="A76" s="24">
        <v>16</v>
      </c>
      <c r="B76" s="31">
        <v>5</v>
      </c>
      <c r="C76" s="25" t="s">
        <v>18</v>
      </c>
      <c r="D76" s="25" t="s">
        <v>19</v>
      </c>
      <c r="E76" s="25" t="s">
        <v>20</v>
      </c>
      <c r="F76" s="26">
        <v>18.5</v>
      </c>
      <c r="G76" s="18">
        <f t="shared" si="1"/>
        <v>46.989999999999995</v>
      </c>
      <c r="H76" s="27">
        <v>8.58</v>
      </c>
      <c r="I76" s="28"/>
      <c r="J76" s="29" t="s">
        <v>24</v>
      </c>
      <c r="K76" s="30" t="s">
        <v>24</v>
      </c>
      <c r="L76" s="30" t="s">
        <v>24</v>
      </c>
      <c r="M76" s="30" t="s">
        <v>24</v>
      </c>
      <c r="N76" s="30" t="s">
        <v>21</v>
      </c>
    </row>
    <row r="77" spans="1:14" ht="14.1" customHeight="1" x14ac:dyDescent="0.3">
      <c r="A77" s="16">
        <v>16</v>
      </c>
      <c r="B77" s="31">
        <v>6</v>
      </c>
      <c r="C77" s="17" t="s">
        <v>14</v>
      </c>
      <c r="D77" s="17" t="s">
        <v>19</v>
      </c>
      <c r="E77" s="17" t="s">
        <v>20</v>
      </c>
      <c r="F77" s="18">
        <v>12.5</v>
      </c>
      <c r="G77" s="18">
        <f t="shared" si="1"/>
        <v>31.75</v>
      </c>
      <c r="H77" s="19">
        <v>4.5599999999999996</v>
      </c>
      <c r="I77" s="20"/>
      <c r="J77" s="29" t="s">
        <v>15</v>
      </c>
      <c r="K77" s="30" t="s">
        <v>17</v>
      </c>
      <c r="L77" s="31">
        <v>47.3</v>
      </c>
      <c r="M77" s="31">
        <v>3.41</v>
      </c>
      <c r="N77" s="31"/>
    </row>
    <row r="78" spans="1:14" ht="14.1" customHeight="1" x14ac:dyDescent="0.3">
      <c r="A78" s="24">
        <v>16</v>
      </c>
      <c r="B78" s="31">
        <v>7</v>
      </c>
      <c r="C78" s="25" t="s">
        <v>18</v>
      </c>
      <c r="D78" s="25" t="s">
        <v>19</v>
      </c>
      <c r="E78" s="25" t="s">
        <v>20</v>
      </c>
      <c r="F78" s="26">
        <v>22.5</v>
      </c>
      <c r="G78" s="18">
        <f t="shared" si="1"/>
        <v>57.15</v>
      </c>
      <c r="H78" s="27">
        <v>6.96</v>
      </c>
      <c r="I78" s="28"/>
      <c r="J78" s="29" t="s">
        <v>19</v>
      </c>
      <c r="K78" s="30" t="s">
        <v>20</v>
      </c>
      <c r="L78" s="31">
        <v>61.1</v>
      </c>
      <c r="M78" s="31">
        <v>8.5</v>
      </c>
      <c r="N78" s="31"/>
    </row>
    <row r="79" spans="1:14" ht="14.1" customHeight="1" x14ac:dyDescent="0.3">
      <c r="A79" s="35"/>
      <c r="B79" s="7"/>
      <c r="C79" s="35"/>
      <c r="D79" s="35"/>
      <c r="E79" s="35"/>
      <c r="F79" s="35"/>
      <c r="G79" s="35"/>
      <c r="H79" s="35"/>
      <c r="I79" s="36"/>
      <c r="J79" s="7"/>
      <c r="K79" s="7"/>
      <c r="L79" s="7"/>
      <c r="M79" s="7"/>
      <c r="N79" s="7"/>
    </row>
  </sheetData>
  <mergeCells count="1">
    <mergeCell ref="A2:H2"/>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X83"/>
  <sheetViews>
    <sheetView showGridLines="0" tabSelected="1" workbookViewId="0">
      <selection sqref="A1:C1048576"/>
    </sheetView>
  </sheetViews>
  <sheetFormatPr defaultColWidth="8.88671875" defaultRowHeight="14.1" customHeight="1" x14ac:dyDescent="0.3"/>
  <cols>
    <col min="1" max="2" width="10.6640625" style="5" customWidth="1"/>
    <col min="3" max="3" width="12.33203125" style="5" customWidth="1"/>
    <col min="4" max="4" width="17.44140625" style="5" customWidth="1"/>
    <col min="5" max="5" width="29.88671875" style="5" customWidth="1"/>
    <col min="6" max="7" width="15.44140625" style="5" customWidth="1"/>
    <col min="8" max="8" width="18.33203125" style="5" customWidth="1"/>
    <col min="9" max="9" width="10.6640625" style="5" customWidth="1"/>
    <col min="10" max="10" width="12.88671875" style="5" customWidth="1"/>
    <col min="11" max="11" width="26.109375" style="5" customWidth="1"/>
    <col min="12" max="12" width="10.44140625" style="5" customWidth="1"/>
    <col min="13" max="13" width="14.6640625" style="5" customWidth="1"/>
    <col min="14" max="14" width="9.6640625" style="5" customWidth="1"/>
    <col min="15" max="258" width="8.88671875" style="5" customWidth="1"/>
  </cols>
  <sheetData>
    <row r="1" spans="1:14" ht="14.1" customHeight="1" x14ac:dyDescent="0.3">
      <c r="A1" s="6"/>
      <c r="B1" s="6"/>
      <c r="C1" s="6"/>
      <c r="D1" s="6"/>
      <c r="E1" s="6"/>
      <c r="F1" s="6"/>
      <c r="G1" s="6"/>
      <c r="H1" s="6"/>
      <c r="I1" s="7"/>
      <c r="J1" s="7"/>
      <c r="K1" s="7"/>
      <c r="L1" s="7"/>
      <c r="M1" s="7"/>
      <c r="N1" s="7"/>
    </row>
    <row r="2" spans="1:14" ht="14.1" customHeight="1" x14ac:dyDescent="0.3">
      <c r="A2" s="63" t="s">
        <v>33</v>
      </c>
      <c r="B2" s="64"/>
      <c r="C2" s="65"/>
      <c r="D2" s="65"/>
      <c r="E2" s="65"/>
      <c r="F2" s="65"/>
      <c r="G2" s="65"/>
      <c r="H2" s="65"/>
      <c r="I2" s="8"/>
      <c r="J2" s="7"/>
      <c r="K2" s="7"/>
      <c r="L2" s="7"/>
      <c r="M2" s="7"/>
      <c r="N2" s="7"/>
    </row>
    <row r="3" spans="1:14" ht="14.1" customHeight="1" x14ac:dyDescent="0.3">
      <c r="A3" s="37"/>
      <c r="B3" s="37"/>
      <c r="C3" s="37"/>
      <c r="D3" s="10">
        <v>42467</v>
      </c>
      <c r="E3" s="10">
        <v>42467</v>
      </c>
      <c r="F3" s="10">
        <v>42467</v>
      </c>
      <c r="G3" s="10"/>
      <c r="H3" s="10">
        <v>42467</v>
      </c>
      <c r="I3" s="11">
        <v>42467</v>
      </c>
      <c r="J3" s="11">
        <v>43314</v>
      </c>
      <c r="K3" s="11">
        <v>43314</v>
      </c>
      <c r="L3" s="11">
        <v>43314</v>
      </c>
      <c r="M3" s="11">
        <v>43314</v>
      </c>
      <c r="N3" s="11">
        <v>43314</v>
      </c>
    </row>
    <row r="4" spans="1:14" ht="14.1" customHeight="1" x14ac:dyDescent="0.3">
      <c r="A4" s="12" t="s">
        <v>34</v>
      </c>
      <c r="B4" s="13" t="s">
        <v>47</v>
      </c>
      <c r="C4" s="13" t="s">
        <v>8</v>
      </c>
      <c r="D4" s="13" t="s">
        <v>9</v>
      </c>
      <c r="E4" s="13" t="s">
        <v>10</v>
      </c>
      <c r="F4" s="13" t="s">
        <v>11</v>
      </c>
      <c r="G4" s="13" t="s">
        <v>39</v>
      </c>
      <c r="H4" s="13" t="s">
        <v>12</v>
      </c>
      <c r="I4" s="14" t="s">
        <v>13</v>
      </c>
      <c r="J4" s="12" t="s">
        <v>9</v>
      </c>
      <c r="K4" s="13" t="s">
        <v>10</v>
      </c>
      <c r="L4" s="13" t="s">
        <v>11</v>
      </c>
      <c r="M4" s="14" t="s">
        <v>12</v>
      </c>
      <c r="N4" s="15" t="s">
        <v>13</v>
      </c>
    </row>
    <row r="5" spans="1:14" ht="14.1" customHeight="1" x14ac:dyDescent="0.3">
      <c r="A5" s="38">
        <v>1</v>
      </c>
      <c r="B5" s="31">
        <v>1</v>
      </c>
      <c r="C5" s="39" t="s">
        <v>14</v>
      </c>
      <c r="D5" s="39" t="s">
        <v>15</v>
      </c>
      <c r="E5" s="39" t="s">
        <v>17</v>
      </c>
      <c r="F5" s="40">
        <v>12</v>
      </c>
      <c r="G5" s="40">
        <f>CONVERT(F5,"in","cm")</f>
        <v>30.48</v>
      </c>
      <c r="H5" s="40">
        <v>4.22</v>
      </c>
      <c r="I5" s="41"/>
      <c r="J5" s="42"/>
      <c r="K5" s="35"/>
      <c r="L5" s="35"/>
      <c r="M5" s="35"/>
      <c r="N5" s="22" t="s">
        <v>28</v>
      </c>
    </row>
    <row r="6" spans="1:14" ht="14.1" customHeight="1" x14ac:dyDescent="0.3">
      <c r="A6" s="43">
        <v>1</v>
      </c>
      <c r="B6" s="31">
        <v>2</v>
      </c>
      <c r="C6" s="44" t="s">
        <v>18</v>
      </c>
      <c r="D6" s="44" t="s">
        <v>19</v>
      </c>
      <c r="E6" s="44" t="s">
        <v>20</v>
      </c>
      <c r="F6" s="45">
        <v>17.5</v>
      </c>
      <c r="G6" s="40">
        <f t="shared" ref="G6:G69" si="0">CONVERT(F6,"in","cm")</f>
        <v>44.45</v>
      </c>
      <c r="H6" s="45">
        <v>6.26</v>
      </c>
      <c r="I6" s="46"/>
      <c r="J6" s="29" t="s">
        <v>19</v>
      </c>
      <c r="K6" s="30" t="s">
        <v>24</v>
      </c>
      <c r="L6" s="31">
        <v>50.8</v>
      </c>
      <c r="M6" s="31">
        <v>10.87</v>
      </c>
      <c r="N6" s="31"/>
    </row>
    <row r="7" spans="1:14" ht="14.1" customHeight="1" x14ac:dyDescent="0.3">
      <c r="A7" s="38">
        <v>1</v>
      </c>
      <c r="B7" s="31">
        <v>3</v>
      </c>
      <c r="C7" s="39" t="s">
        <v>18</v>
      </c>
      <c r="D7" s="39" t="s">
        <v>19</v>
      </c>
      <c r="E7" s="39" t="s">
        <v>20</v>
      </c>
      <c r="F7" s="40">
        <v>20</v>
      </c>
      <c r="G7" s="40">
        <f t="shared" si="0"/>
        <v>50.8</v>
      </c>
      <c r="H7" s="40">
        <v>10.08</v>
      </c>
      <c r="I7" s="41"/>
      <c r="J7" s="29" t="s">
        <v>15</v>
      </c>
      <c r="K7" s="30" t="s">
        <v>16</v>
      </c>
      <c r="L7" s="31">
        <v>60.3</v>
      </c>
      <c r="M7" s="31">
        <v>13.58</v>
      </c>
      <c r="N7" s="31"/>
    </row>
    <row r="8" spans="1:14" ht="14.1" customHeight="1" x14ac:dyDescent="0.3">
      <c r="A8" s="43">
        <v>1</v>
      </c>
      <c r="B8" s="31">
        <v>4</v>
      </c>
      <c r="C8" s="44" t="s">
        <v>14</v>
      </c>
      <c r="D8" s="44" t="s">
        <v>19</v>
      </c>
      <c r="E8" s="44" t="s">
        <v>20</v>
      </c>
      <c r="F8" s="45">
        <v>17</v>
      </c>
      <c r="G8" s="40">
        <f t="shared" si="0"/>
        <v>43.18</v>
      </c>
      <c r="H8" s="45">
        <v>3.76</v>
      </c>
      <c r="I8" s="46"/>
      <c r="J8" s="29" t="s">
        <v>19</v>
      </c>
      <c r="K8" s="7"/>
      <c r="L8" s="31">
        <v>50</v>
      </c>
      <c r="M8" s="31">
        <v>9.4499999999999993</v>
      </c>
      <c r="N8" s="31"/>
    </row>
    <row r="9" spans="1:14" ht="14.1" customHeight="1" x14ac:dyDescent="0.3">
      <c r="A9" s="38">
        <v>1</v>
      </c>
      <c r="B9" s="31">
        <v>5</v>
      </c>
      <c r="C9" s="39" t="s">
        <v>14</v>
      </c>
      <c r="D9" s="39" t="s">
        <v>19</v>
      </c>
      <c r="E9" s="39" t="s">
        <v>20</v>
      </c>
      <c r="F9" s="40">
        <v>17</v>
      </c>
      <c r="G9" s="40">
        <f t="shared" si="0"/>
        <v>43.18</v>
      </c>
      <c r="H9" s="40">
        <v>4.6399999999999997</v>
      </c>
      <c r="I9" s="41"/>
      <c r="J9" s="29" t="s">
        <v>15</v>
      </c>
      <c r="K9" s="30" t="s">
        <v>16</v>
      </c>
      <c r="L9" s="31">
        <v>30.65</v>
      </c>
      <c r="M9" s="31">
        <v>6.31</v>
      </c>
      <c r="N9" s="31"/>
    </row>
    <row r="10" spans="1:14" ht="14.1" customHeight="1" x14ac:dyDescent="0.3">
      <c r="A10" s="43">
        <v>1</v>
      </c>
      <c r="B10" s="31">
        <v>6</v>
      </c>
      <c r="C10" s="44" t="s">
        <v>14</v>
      </c>
      <c r="D10" s="44" t="s">
        <v>19</v>
      </c>
      <c r="E10" s="44" t="s">
        <v>20</v>
      </c>
      <c r="F10" s="45">
        <v>16.5</v>
      </c>
      <c r="G10" s="40">
        <f t="shared" si="0"/>
        <v>41.91</v>
      </c>
      <c r="H10" s="45">
        <v>4.0999999999999996</v>
      </c>
      <c r="I10" s="46"/>
      <c r="J10" s="32"/>
      <c r="K10" s="7"/>
      <c r="L10" s="7"/>
      <c r="M10" s="7"/>
      <c r="N10" s="30" t="s">
        <v>29</v>
      </c>
    </row>
    <row r="11" spans="1:14" ht="14.1" customHeight="1" x14ac:dyDescent="0.3">
      <c r="A11" s="38">
        <v>2</v>
      </c>
      <c r="B11" s="31">
        <v>1</v>
      </c>
      <c r="C11" s="39" t="s">
        <v>14</v>
      </c>
      <c r="D11" s="39" t="s">
        <v>19</v>
      </c>
      <c r="E11" s="39" t="s">
        <v>20</v>
      </c>
      <c r="F11" s="40">
        <v>13.5</v>
      </c>
      <c r="G11" s="40">
        <f t="shared" si="0"/>
        <v>34.29</v>
      </c>
      <c r="H11" s="40">
        <v>3.14</v>
      </c>
      <c r="I11" s="41"/>
      <c r="J11" s="29" t="s">
        <v>19</v>
      </c>
      <c r="K11" s="7"/>
      <c r="L11" s="31">
        <v>48.2</v>
      </c>
      <c r="M11" s="31">
        <v>7.92</v>
      </c>
      <c r="N11" s="31"/>
    </row>
    <row r="12" spans="1:14" ht="14.1" customHeight="1" x14ac:dyDescent="0.3">
      <c r="A12" s="43">
        <v>2</v>
      </c>
      <c r="B12" s="31">
        <v>2</v>
      </c>
      <c r="C12" s="44" t="s">
        <v>14</v>
      </c>
      <c r="D12" s="44" t="s">
        <v>19</v>
      </c>
      <c r="E12" s="44" t="s">
        <v>20</v>
      </c>
      <c r="F12" s="45">
        <v>13.5</v>
      </c>
      <c r="G12" s="40">
        <f t="shared" si="0"/>
        <v>34.29</v>
      </c>
      <c r="H12" s="45">
        <v>2.2400000000000002</v>
      </c>
      <c r="I12" s="46"/>
      <c r="J12" s="29" t="s">
        <v>15</v>
      </c>
      <c r="K12" s="30" t="s">
        <v>26</v>
      </c>
      <c r="L12" s="31">
        <v>45.5</v>
      </c>
      <c r="M12" s="31">
        <v>7.78</v>
      </c>
      <c r="N12" s="31"/>
    </row>
    <row r="13" spans="1:14" ht="14.1" customHeight="1" x14ac:dyDescent="0.3">
      <c r="A13" s="38">
        <v>2</v>
      </c>
      <c r="B13" s="31">
        <v>3</v>
      </c>
      <c r="C13" s="39" t="s">
        <v>14</v>
      </c>
      <c r="D13" s="39" t="s">
        <v>19</v>
      </c>
      <c r="E13" s="39" t="s">
        <v>20</v>
      </c>
      <c r="F13" s="40">
        <v>14</v>
      </c>
      <c r="G13" s="40">
        <f t="shared" si="0"/>
        <v>35.56</v>
      </c>
      <c r="H13" s="40">
        <v>3.05</v>
      </c>
      <c r="I13" s="41"/>
      <c r="J13" s="29" t="s">
        <v>19</v>
      </c>
      <c r="K13" s="7"/>
      <c r="L13" s="31">
        <v>65.5</v>
      </c>
      <c r="M13" s="31">
        <v>7.49</v>
      </c>
      <c r="N13" s="31"/>
    </row>
    <row r="14" spans="1:14" ht="14.1" customHeight="1" x14ac:dyDescent="0.3">
      <c r="A14" s="43">
        <v>2</v>
      </c>
      <c r="B14" s="31">
        <v>4</v>
      </c>
      <c r="C14" s="44" t="s">
        <v>14</v>
      </c>
      <c r="D14" s="44" t="s">
        <v>15</v>
      </c>
      <c r="E14" s="44" t="s">
        <v>17</v>
      </c>
      <c r="F14" s="45">
        <v>12</v>
      </c>
      <c r="G14" s="40">
        <f t="shared" si="0"/>
        <v>30.48</v>
      </c>
      <c r="H14" s="45">
        <v>4.74</v>
      </c>
      <c r="I14" s="46"/>
      <c r="J14" s="29" t="s">
        <v>15</v>
      </c>
      <c r="K14" s="30" t="s">
        <v>22</v>
      </c>
      <c r="L14" s="31">
        <v>34.6</v>
      </c>
      <c r="M14" s="31">
        <v>4.9800000000000004</v>
      </c>
      <c r="N14" s="31"/>
    </row>
    <row r="15" spans="1:14" ht="14.1" customHeight="1" x14ac:dyDescent="0.3">
      <c r="A15" s="38">
        <v>2</v>
      </c>
      <c r="B15" s="31">
        <v>5</v>
      </c>
      <c r="C15" s="39" t="s">
        <v>18</v>
      </c>
      <c r="D15" s="39" t="s">
        <v>19</v>
      </c>
      <c r="E15" s="39" t="s">
        <v>20</v>
      </c>
      <c r="F15" s="40">
        <v>18</v>
      </c>
      <c r="G15" s="40">
        <f t="shared" si="0"/>
        <v>45.72</v>
      </c>
      <c r="H15" s="40">
        <v>8.7100000000000009</v>
      </c>
      <c r="I15" s="41"/>
      <c r="J15" s="29" t="s">
        <v>19</v>
      </c>
      <c r="K15" s="7"/>
      <c r="L15" s="31">
        <v>63.9</v>
      </c>
      <c r="M15" s="31">
        <v>14.25</v>
      </c>
      <c r="N15" s="31"/>
    </row>
    <row r="16" spans="1:14" ht="14.1" customHeight="1" x14ac:dyDescent="0.3">
      <c r="A16" s="43">
        <v>2</v>
      </c>
      <c r="B16" s="31">
        <v>6</v>
      </c>
      <c r="C16" s="44" t="s">
        <v>18</v>
      </c>
      <c r="D16" s="44" t="s">
        <v>19</v>
      </c>
      <c r="E16" s="44" t="s">
        <v>20</v>
      </c>
      <c r="F16" s="45">
        <v>19.5</v>
      </c>
      <c r="G16" s="40">
        <f t="shared" si="0"/>
        <v>49.53</v>
      </c>
      <c r="H16" s="45">
        <v>9.98</v>
      </c>
      <c r="I16" s="46"/>
      <c r="J16" s="29" t="s">
        <v>19</v>
      </c>
      <c r="K16" s="7"/>
      <c r="L16" s="31">
        <v>106</v>
      </c>
      <c r="M16" s="31">
        <v>12.79</v>
      </c>
      <c r="N16" s="31"/>
    </row>
    <row r="17" spans="1:14" ht="14.1" customHeight="1" x14ac:dyDescent="0.3">
      <c r="A17" s="38">
        <v>3</v>
      </c>
      <c r="B17" s="31">
        <v>1</v>
      </c>
      <c r="C17" s="39" t="s">
        <v>18</v>
      </c>
      <c r="D17" s="39" t="s">
        <v>19</v>
      </c>
      <c r="E17" s="39" t="s">
        <v>20</v>
      </c>
      <c r="F17" s="40">
        <v>19</v>
      </c>
      <c r="G17" s="40">
        <f t="shared" si="0"/>
        <v>48.26</v>
      </c>
      <c r="H17" s="40">
        <v>7.31</v>
      </c>
      <c r="I17" s="41"/>
      <c r="J17" s="29" t="s">
        <v>15</v>
      </c>
      <c r="K17" s="30" t="s">
        <v>26</v>
      </c>
      <c r="L17" s="31">
        <v>82.6</v>
      </c>
      <c r="M17" s="31">
        <v>16.489999999999998</v>
      </c>
      <c r="N17" s="31"/>
    </row>
    <row r="18" spans="1:14" ht="14.1" customHeight="1" x14ac:dyDescent="0.3">
      <c r="A18" s="43">
        <v>3</v>
      </c>
      <c r="B18" s="31">
        <v>2</v>
      </c>
      <c r="C18" s="44" t="s">
        <v>18</v>
      </c>
      <c r="D18" s="44" t="s">
        <v>19</v>
      </c>
      <c r="E18" s="44" t="s">
        <v>20</v>
      </c>
      <c r="F18" s="45">
        <v>13</v>
      </c>
      <c r="G18" s="40">
        <f t="shared" si="0"/>
        <v>33.019999999999996</v>
      </c>
      <c r="H18" s="45">
        <v>6.35</v>
      </c>
      <c r="I18" s="46"/>
      <c r="J18" s="29" t="s">
        <v>15</v>
      </c>
      <c r="K18" s="30" t="s">
        <v>22</v>
      </c>
      <c r="L18" s="31">
        <v>75.5</v>
      </c>
      <c r="M18" s="31">
        <v>11.54</v>
      </c>
      <c r="N18" s="31"/>
    </row>
    <row r="19" spans="1:14" ht="14.1" customHeight="1" x14ac:dyDescent="0.3">
      <c r="A19" s="38">
        <v>3</v>
      </c>
      <c r="B19" s="31">
        <v>3</v>
      </c>
      <c r="C19" s="39" t="s">
        <v>18</v>
      </c>
      <c r="D19" s="39" t="s">
        <v>19</v>
      </c>
      <c r="E19" s="39" t="s">
        <v>20</v>
      </c>
      <c r="F19" s="40">
        <v>16</v>
      </c>
      <c r="G19" s="40">
        <f t="shared" si="0"/>
        <v>40.64</v>
      </c>
      <c r="H19" s="40">
        <v>8.59</v>
      </c>
      <c r="I19" s="41"/>
      <c r="J19" s="29" t="s">
        <v>19</v>
      </c>
      <c r="K19" s="7"/>
      <c r="L19" s="31">
        <v>61</v>
      </c>
      <c r="M19" s="31">
        <v>15.43</v>
      </c>
      <c r="N19" s="30" t="s">
        <v>49</v>
      </c>
    </row>
    <row r="20" spans="1:14" ht="14.1" customHeight="1" x14ac:dyDescent="0.3">
      <c r="A20" s="43">
        <v>3</v>
      </c>
      <c r="B20" s="31">
        <v>4</v>
      </c>
      <c r="C20" s="44" t="s">
        <v>18</v>
      </c>
      <c r="D20" s="44" t="s">
        <v>19</v>
      </c>
      <c r="E20" s="44" t="s">
        <v>20</v>
      </c>
      <c r="F20" s="45">
        <v>19.5</v>
      </c>
      <c r="G20" s="40">
        <f t="shared" si="0"/>
        <v>49.53</v>
      </c>
      <c r="H20" s="45">
        <v>10.91</v>
      </c>
      <c r="I20" s="46"/>
      <c r="J20" s="29" t="s">
        <v>15</v>
      </c>
      <c r="K20" s="30" t="s">
        <v>26</v>
      </c>
      <c r="L20" s="31">
        <v>106.4</v>
      </c>
      <c r="M20" s="31">
        <v>15.27</v>
      </c>
      <c r="N20" s="31"/>
    </row>
    <row r="21" spans="1:14" ht="14.1" customHeight="1" x14ac:dyDescent="0.3">
      <c r="A21" s="38">
        <v>3</v>
      </c>
      <c r="B21" s="31">
        <v>5</v>
      </c>
      <c r="C21" s="39" t="s">
        <v>18</v>
      </c>
      <c r="D21" s="39" t="s">
        <v>19</v>
      </c>
      <c r="E21" s="39" t="s">
        <v>20</v>
      </c>
      <c r="F21" s="40">
        <v>23.5</v>
      </c>
      <c r="G21" s="40">
        <f t="shared" si="0"/>
        <v>59.69</v>
      </c>
      <c r="H21" s="40">
        <v>8.8800000000000008</v>
      </c>
      <c r="I21" s="41"/>
      <c r="J21" s="29" t="s">
        <v>15</v>
      </c>
      <c r="K21" s="30" t="s">
        <v>22</v>
      </c>
      <c r="L21" s="31">
        <v>102.5</v>
      </c>
      <c r="M21" s="31">
        <v>28.8</v>
      </c>
      <c r="N21" s="30" t="s">
        <v>50</v>
      </c>
    </row>
    <row r="22" spans="1:14" ht="14.1" customHeight="1" x14ac:dyDescent="0.3">
      <c r="A22" s="43">
        <v>3</v>
      </c>
      <c r="B22" s="31">
        <v>6</v>
      </c>
      <c r="C22" s="44" t="s">
        <v>14</v>
      </c>
      <c r="D22" s="44" t="s">
        <v>19</v>
      </c>
      <c r="E22" s="44" t="s">
        <v>20</v>
      </c>
      <c r="F22" s="45">
        <v>19.5</v>
      </c>
      <c r="G22" s="40">
        <f t="shared" si="0"/>
        <v>49.53</v>
      </c>
      <c r="H22" s="45">
        <v>5.13</v>
      </c>
      <c r="I22" s="46"/>
      <c r="J22" s="32"/>
      <c r="K22" s="7"/>
      <c r="L22" s="7"/>
      <c r="M22" s="7"/>
      <c r="N22" s="30" t="s">
        <v>51</v>
      </c>
    </row>
    <row r="23" spans="1:14" ht="14.1" customHeight="1" x14ac:dyDescent="0.3">
      <c r="A23" s="38">
        <v>3</v>
      </c>
      <c r="B23" s="31">
        <v>7</v>
      </c>
      <c r="C23" s="39" t="s">
        <v>14</v>
      </c>
      <c r="D23" s="39" t="s">
        <v>19</v>
      </c>
      <c r="E23" s="39" t="s">
        <v>20</v>
      </c>
      <c r="F23" s="40">
        <v>18.5</v>
      </c>
      <c r="G23" s="40">
        <f t="shared" si="0"/>
        <v>46.989999999999995</v>
      </c>
      <c r="H23" s="40">
        <v>4.17</v>
      </c>
      <c r="I23" s="41"/>
      <c r="J23" s="29" t="s">
        <v>15</v>
      </c>
      <c r="K23" s="30" t="s">
        <v>22</v>
      </c>
      <c r="L23" s="31">
        <v>37.200000000000003</v>
      </c>
      <c r="M23" s="31">
        <v>8.14</v>
      </c>
      <c r="N23" s="31"/>
    </row>
    <row r="24" spans="1:14" ht="14.1" customHeight="1" x14ac:dyDescent="0.3">
      <c r="A24" s="43">
        <v>3</v>
      </c>
      <c r="B24" s="31">
        <v>8</v>
      </c>
      <c r="C24" s="44" t="s">
        <v>14</v>
      </c>
      <c r="D24" s="44" t="s">
        <v>19</v>
      </c>
      <c r="E24" s="44" t="s">
        <v>20</v>
      </c>
      <c r="F24" s="45">
        <v>9</v>
      </c>
      <c r="G24" s="40">
        <f t="shared" si="0"/>
        <v>22.86</v>
      </c>
      <c r="H24" s="45">
        <v>2.33</v>
      </c>
      <c r="I24" s="46"/>
      <c r="J24" s="29" t="s">
        <v>15</v>
      </c>
      <c r="K24" s="30" t="s">
        <v>22</v>
      </c>
      <c r="L24" s="31">
        <v>27.4</v>
      </c>
      <c r="M24" s="31">
        <v>6.5</v>
      </c>
      <c r="N24" s="31"/>
    </row>
    <row r="25" spans="1:14" ht="14.1" customHeight="1" x14ac:dyDescent="0.3">
      <c r="A25" s="38">
        <v>3</v>
      </c>
      <c r="B25" s="31">
        <v>9</v>
      </c>
      <c r="C25" s="39" t="s">
        <v>14</v>
      </c>
      <c r="D25" s="39" t="s">
        <v>19</v>
      </c>
      <c r="E25" s="39" t="s">
        <v>20</v>
      </c>
      <c r="F25" s="40">
        <v>13.5</v>
      </c>
      <c r="G25" s="40">
        <f t="shared" si="0"/>
        <v>34.29</v>
      </c>
      <c r="H25" s="40">
        <v>3.43</v>
      </c>
      <c r="I25" s="41"/>
      <c r="J25" s="29" t="s">
        <v>15</v>
      </c>
      <c r="K25" s="30" t="s">
        <v>16</v>
      </c>
      <c r="L25" s="31">
        <v>47.8</v>
      </c>
      <c r="M25" s="31">
        <v>7.07</v>
      </c>
      <c r="N25" s="31"/>
    </row>
    <row r="26" spans="1:14" ht="14.1" customHeight="1" x14ac:dyDescent="0.3">
      <c r="A26" s="43">
        <v>4</v>
      </c>
      <c r="B26" s="31">
        <v>1</v>
      </c>
      <c r="C26" s="44" t="s">
        <v>14</v>
      </c>
      <c r="D26" s="44" t="s">
        <v>19</v>
      </c>
      <c r="E26" s="44" t="s">
        <v>20</v>
      </c>
      <c r="F26" s="45">
        <v>17.5</v>
      </c>
      <c r="G26" s="40">
        <f t="shared" si="0"/>
        <v>44.45</v>
      </c>
      <c r="H26" s="45">
        <v>7.34</v>
      </c>
      <c r="I26" s="46"/>
      <c r="J26" s="29" t="s">
        <v>15</v>
      </c>
      <c r="K26" s="30" t="s">
        <v>26</v>
      </c>
      <c r="L26" s="31">
        <v>48.9</v>
      </c>
      <c r="M26" s="31">
        <v>6.96</v>
      </c>
      <c r="N26" s="31"/>
    </row>
    <row r="27" spans="1:14" ht="14.1" customHeight="1" x14ac:dyDescent="0.3">
      <c r="A27" s="38">
        <v>4</v>
      </c>
      <c r="B27" s="31">
        <v>2</v>
      </c>
      <c r="C27" s="39" t="s">
        <v>18</v>
      </c>
      <c r="D27" s="39" t="s">
        <v>19</v>
      </c>
      <c r="E27" s="39" t="s">
        <v>20</v>
      </c>
      <c r="F27" s="40">
        <v>14.5</v>
      </c>
      <c r="G27" s="40">
        <f t="shared" si="0"/>
        <v>36.83</v>
      </c>
      <c r="H27" s="40">
        <v>7.05</v>
      </c>
      <c r="I27" s="41"/>
      <c r="J27" s="32"/>
      <c r="K27" s="7"/>
      <c r="L27" s="7"/>
      <c r="M27" s="7"/>
      <c r="N27" s="30" t="s">
        <v>51</v>
      </c>
    </row>
    <row r="28" spans="1:14" ht="14.1" customHeight="1" x14ac:dyDescent="0.3">
      <c r="A28" s="43">
        <v>4</v>
      </c>
      <c r="B28" s="31">
        <v>3</v>
      </c>
      <c r="C28" s="44" t="s">
        <v>14</v>
      </c>
      <c r="D28" s="44" t="s">
        <v>19</v>
      </c>
      <c r="E28" s="44" t="s">
        <v>20</v>
      </c>
      <c r="F28" s="45">
        <v>17.5</v>
      </c>
      <c r="G28" s="40">
        <f t="shared" si="0"/>
        <v>44.45</v>
      </c>
      <c r="H28" s="45">
        <v>4.2699999999999996</v>
      </c>
      <c r="I28" s="46"/>
      <c r="J28" s="29" t="s">
        <v>15</v>
      </c>
      <c r="K28" s="30" t="s">
        <v>52</v>
      </c>
      <c r="L28" s="31">
        <v>71</v>
      </c>
      <c r="M28" s="31">
        <v>11.35</v>
      </c>
      <c r="N28" s="31"/>
    </row>
    <row r="29" spans="1:14" ht="14.1" customHeight="1" x14ac:dyDescent="0.3">
      <c r="A29" s="38">
        <v>4</v>
      </c>
      <c r="B29" s="31">
        <v>4</v>
      </c>
      <c r="C29" s="39" t="s">
        <v>18</v>
      </c>
      <c r="D29" s="39" t="s">
        <v>19</v>
      </c>
      <c r="E29" s="39" t="s">
        <v>20</v>
      </c>
      <c r="F29" s="40">
        <v>19</v>
      </c>
      <c r="G29" s="40">
        <f t="shared" si="0"/>
        <v>48.26</v>
      </c>
      <c r="H29" s="40">
        <v>9.43</v>
      </c>
      <c r="I29" s="41"/>
      <c r="J29" s="29" t="s">
        <v>19</v>
      </c>
      <c r="K29" s="7"/>
      <c r="L29" s="31">
        <v>95</v>
      </c>
      <c r="M29" s="31">
        <v>15.76</v>
      </c>
      <c r="N29" s="31"/>
    </row>
    <row r="30" spans="1:14" ht="14.1" customHeight="1" x14ac:dyDescent="0.3">
      <c r="A30" s="43">
        <v>4</v>
      </c>
      <c r="B30" s="31">
        <v>5</v>
      </c>
      <c r="C30" s="44" t="s">
        <v>18</v>
      </c>
      <c r="D30" s="44" t="s">
        <v>19</v>
      </c>
      <c r="E30" s="44" t="s">
        <v>20</v>
      </c>
      <c r="F30" s="45">
        <v>18</v>
      </c>
      <c r="G30" s="40">
        <f t="shared" si="0"/>
        <v>45.72</v>
      </c>
      <c r="H30" s="45">
        <v>7.69</v>
      </c>
      <c r="I30" s="46"/>
      <c r="J30" s="29" t="s">
        <v>19</v>
      </c>
      <c r="K30" s="7"/>
      <c r="L30" s="31">
        <v>122.1</v>
      </c>
      <c r="M30" s="31">
        <v>16.350000000000001</v>
      </c>
      <c r="N30" s="31"/>
    </row>
    <row r="31" spans="1:14" ht="14.1" customHeight="1" x14ac:dyDescent="0.3">
      <c r="A31" s="38">
        <v>5</v>
      </c>
      <c r="B31" s="31">
        <v>1</v>
      </c>
      <c r="C31" s="39" t="s">
        <v>14</v>
      </c>
      <c r="D31" s="39" t="s">
        <v>19</v>
      </c>
      <c r="E31" s="39" t="s">
        <v>20</v>
      </c>
      <c r="F31" s="40">
        <v>13.5</v>
      </c>
      <c r="G31" s="40">
        <f t="shared" si="0"/>
        <v>34.29</v>
      </c>
      <c r="H31" s="40">
        <v>2.5499999999999998</v>
      </c>
      <c r="I31" s="41"/>
      <c r="J31" s="29" t="s">
        <v>15</v>
      </c>
      <c r="K31" s="30" t="s">
        <v>22</v>
      </c>
      <c r="L31" s="31">
        <v>27.1</v>
      </c>
      <c r="M31" s="31">
        <v>3.87</v>
      </c>
      <c r="N31" s="31"/>
    </row>
    <row r="32" spans="1:14" ht="14.1" customHeight="1" x14ac:dyDescent="0.3">
      <c r="A32" s="43">
        <v>5</v>
      </c>
      <c r="B32" s="31">
        <v>2</v>
      </c>
      <c r="C32" s="44" t="s">
        <v>18</v>
      </c>
      <c r="D32" s="44" t="s">
        <v>19</v>
      </c>
      <c r="E32" s="44" t="s">
        <v>20</v>
      </c>
      <c r="F32" s="45">
        <v>16.5</v>
      </c>
      <c r="G32" s="40">
        <f t="shared" si="0"/>
        <v>41.91</v>
      </c>
      <c r="H32" s="45">
        <v>12.4</v>
      </c>
      <c r="I32" s="46"/>
      <c r="J32" s="32"/>
      <c r="K32" s="7"/>
      <c r="L32" s="7"/>
      <c r="M32" s="7"/>
      <c r="N32" s="30" t="s">
        <v>51</v>
      </c>
    </row>
    <row r="33" spans="1:14" ht="14.1" customHeight="1" x14ac:dyDescent="0.3">
      <c r="A33" s="38">
        <v>5</v>
      </c>
      <c r="B33" s="31">
        <v>3</v>
      </c>
      <c r="C33" s="39" t="s">
        <v>14</v>
      </c>
      <c r="D33" s="39" t="s">
        <v>19</v>
      </c>
      <c r="E33" s="39" t="s">
        <v>20</v>
      </c>
      <c r="F33" s="40">
        <v>19</v>
      </c>
      <c r="G33" s="40">
        <f t="shared" si="0"/>
        <v>48.26</v>
      </c>
      <c r="H33" s="40">
        <v>4.6100000000000003</v>
      </c>
      <c r="I33" s="41"/>
      <c r="J33" s="29" t="s">
        <v>15</v>
      </c>
      <c r="K33" s="30" t="s">
        <v>22</v>
      </c>
      <c r="L33" s="31">
        <v>39</v>
      </c>
      <c r="M33" s="31">
        <v>6.87</v>
      </c>
      <c r="N33" s="31"/>
    </row>
    <row r="34" spans="1:14" ht="14.1" customHeight="1" x14ac:dyDescent="0.3">
      <c r="A34" s="43">
        <v>6</v>
      </c>
      <c r="B34" s="31">
        <v>1</v>
      </c>
      <c r="C34" s="44" t="s">
        <v>18</v>
      </c>
      <c r="D34" s="44" t="s">
        <v>19</v>
      </c>
      <c r="E34" s="44" t="s">
        <v>20</v>
      </c>
      <c r="F34" s="45">
        <v>19</v>
      </c>
      <c r="G34" s="40">
        <f t="shared" si="0"/>
        <v>48.26</v>
      </c>
      <c r="H34" s="45">
        <v>9.85</v>
      </c>
      <c r="I34" s="46"/>
      <c r="J34" s="29" t="s">
        <v>19</v>
      </c>
      <c r="K34" s="7"/>
      <c r="L34" s="31">
        <v>48.3</v>
      </c>
      <c r="M34" s="31">
        <v>16.600000000000001</v>
      </c>
      <c r="N34" s="31"/>
    </row>
    <row r="35" spans="1:14" ht="14.1" customHeight="1" x14ac:dyDescent="0.3">
      <c r="A35" s="38">
        <v>6</v>
      </c>
      <c r="B35" s="31">
        <v>2</v>
      </c>
      <c r="C35" s="39" t="s">
        <v>14</v>
      </c>
      <c r="D35" s="39" t="s">
        <v>15</v>
      </c>
      <c r="E35" s="39" t="s">
        <v>20</v>
      </c>
      <c r="F35" s="40">
        <v>10</v>
      </c>
      <c r="G35" s="40">
        <f t="shared" si="0"/>
        <v>25.4</v>
      </c>
      <c r="H35" s="40">
        <v>5.56</v>
      </c>
      <c r="I35" s="41"/>
      <c r="J35" s="29" t="s">
        <v>15</v>
      </c>
      <c r="K35" s="30" t="s">
        <v>26</v>
      </c>
      <c r="L35" s="31">
        <v>47</v>
      </c>
      <c r="M35" s="31">
        <v>11.72</v>
      </c>
      <c r="N35" s="31"/>
    </row>
    <row r="36" spans="1:14" ht="14.1" customHeight="1" x14ac:dyDescent="0.3">
      <c r="A36" s="43">
        <v>6</v>
      </c>
      <c r="B36" s="31">
        <v>3</v>
      </c>
      <c r="C36" s="44" t="s">
        <v>18</v>
      </c>
      <c r="D36" s="44" t="s">
        <v>19</v>
      </c>
      <c r="E36" s="44" t="s">
        <v>20</v>
      </c>
      <c r="F36" s="45">
        <v>17.5</v>
      </c>
      <c r="G36" s="40">
        <f t="shared" si="0"/>
        <v>44.45</v>
      </c>
      <c r="H36" s="45">
        <v>9.02</v>
      </c>
      <c r="I36" s="46"/>
      <c r="J36" s="29" t="s">
        <v>19</v>
      </c>
      <c r="K36" s="7"/>
      <c r="L36" s="31">
        <v>52.3</v>
      </c>
      <c r="M36" s="31">
        <v>13.27</v>
      </c>
      <c r="N36" s="31"/>
    </row>
    <row r="37" spans="1:14" ht="14.1" customHeight="1" x14ac:dyDescent="0.3">
      <c r="A37" s="38">
        <v>6</v>
      </c>
      <c r="B37" s="31">
        <v>4</v>
      </c>
      <c r="C37" s="39" t="s">
        <v>18</v>
      </c>
      <c r="D37" s="39" t="s">
        <v>19</v>
      </c>
      <c r="E37" s="39" t="s">
        <v>20</v>
      </c>
      <c r="F37" s="40">
        <v>27</v>
      </c>
      <c r="G37" s="40">
        <f t="shared" si="0"/>
        <v>68.58</v>
      </c>
      <c r="H37" s="40">
        <v>14.34</v>
      </c>
      <c r="I37" s="41"/>
      <c r="J37" s="29" t="s">
        <v>15</v>
      </c>
      <c r="K37" s="30" t="s">
        <v>22</v>
      </c>
      <c r="L37" s="31">
        <v>66.099999999999994</v>
      </c>
      <c r="M37" s="31">
        <v>21.16</v>
      </c>
      <c r="N37" s="31"/>
    </row>
    <row r="38" spans="1:14" ht="14.1" customHeight="1" x14ac:dyDescent="0.3">
      <c r="A38" s="43">
        <v>7</v>
      </c>
      <c r="B38" s="31">
        <v>1</v>
      </c>
      <c r="C38" s="44" t="s">
        <v>14</v>
      </c>
      <c r="D38" s="44" t="s">
        <v>15</v>
      </c>
      <c r="E38" s="44" t="s">
        <v>17</v>
      </c>
      <c r="F38" s="45">
        <v>11.5</v>
      </c>
      <c r="G38" s="40">
        <f t="shared" si="0"/>
        <v>29.21</v>
      </c>
      <c r="H38" s="45">
        <v>4.82</v>
      </c>
      <c r="I38" s="46"/>
      <c r="J38" s="29" t="s">
        <v>15</v>
      </c>
      <c r="K38" s="7"/>
      <c r="L38" s="31">
        <v>34.299999999999997</v>
      </c>
      <c r="M38" s="31">
        <v>8.1</v>
      </c>
      <c r="N38" s="31"/>
    </row>
    <row r="39" spans="1:14" ht="14.1" customHeight="1" x14ac:dyDescent="0.3">
      <c r="A39" s="38">
        <v>7</v>
      </c>
      <c r="B39" s="31">
        <v>2</v>
      </c>
      <c r="C39" s="39" t="s">
        <v>14</v>
      </c>
      <c r="D39" s="39" t="s">
        <v>15</v>
      </c>
      <c r="E39" s="39" t="s">
        <v>17</v>
      </c>
      <c r="F39" s="40">
        <v>13.5</v>
      </c>
      <c r="G39" s="40">
        <f t="shared" si="0"/>
        <v>34.29</v>
      </c>
      <c r="H39" s="40">
        <v>4.6500000000000004</v>
      </c>
      <c r="I39" s="41"/>
      <c r="J39" s="29" t="s">
        <v>15</v>
      </c>
      <c r="K39" s="30" t="s">
        <v>16</v>
      </c>
      <c r="L39" s="31">
        <v>36</v>
      </c>
      <c r="M39" s="31">
        <v>8.6</v>
      </c>
      <c r="N39" s="31"/>
    </row>
    <row r="40" spans="1:14" ht="14.1" customHeight="1" x14ac:dyDescent="0.3">
      <c r="A40" s="43">
        <v>7</v>
      </c>
      <c r="B40" s="31">
        <v>3</v>
      </c>
      <c r="C40" s="44" t="s">
        <v>18</v>
      </c>
      <c r="D40" s="44" t="s">
        <v>19</v>
      </c>
      <c r="E40" s="44" t="s">
        <v>20</v>
      </c>
      <c r="F40" s="45">
        <v>19.5</v>
      </c>
      <c r="G40" s="40">
        <f t="shared" si="0"/>
        <v>49.53</v>
      </c>
      <c r="H40" s="45">
        <v>6.83</v>
      </c>
      <c r="I40" s="46"/>
      <c r="J40" s="29" t="s">
        <v>19</v>
      </c>
      <c r="K40" s="7"/>
      <c r="L40" s="31">
        <v>55.8</v>
      </c>
      <c r="M40" s="31">
        <v>13.2</v>
      </c>
      <c r="N40" s="31"/>
    </row>
    <row r="41" spans="1:14" ht="14.1" customHeight="1" x14ac:dyDescent="0.3">
      <c r="A41" s="38">
        <v>8</v>
      </c>
      <c r="B41" s="31">
        <v>1</v>
      </c>
      <c r="C41" s="39" t="s">
        <v>18</v>
      </c>
      <c r="D41" s="39" t="s">
        <v>19</v>
      </c>
      <c r="E41" s="39" t="s">
        <v>20</v>
      </c>
      <c r="F41" s="40">
        <v>18</v>
      </c>
      <c r="G41" s="40">
        <f t="shared" si="0"/>
        <v>45.72</v>
      </c>
      <c r="H41" s="40">
        <v>10.88</v>
      </c>
      <c r="I41" s="41"/>
      <c r="J41" s="29" t="s">
        <v>15</v>
      </c>
      <c r="K41" s="31" t="s">
        <v>16</v>
      </c>
      <c r="L41" s="31">
        <v>56</v>
      </c>
      <c r="M41" s="31">
        <v>21.96</v>
      </c>
      <c r="N41" s="31"/>
    </row>
    <row r="42" spans="1:14" ht="14.1" customHeight="1" x14ac:dyDescent="0.3">
      <c r="A42" s="43">
        <v>8</v>
      </c>
      <c r="B42" s="31">
        <v>2</v>
      </c>
      <c r="C42" s="44" t="s">
        <v>18</v>
      </c>
      <c r="D42" s="44" t="s">
        <v>19</v>
      </c>
      <c r="E42" s="44" t="s">
        <v>20</v>
      </c>
      <c r="F42" s="45">
        <v>19</v>
      </c>
      <c r="G42" s="40">
        <f t="shared" si="0"/>
        <v>48.26</v>
      </c>
      <c r="H42" s="45">
        <v>8.56</v>
      </c>
      <c r="I42" s="46"/>
      <c r="J42" s="32"/>
      <c r="K42" s="7"/>
      <c r="L42" s="31">
        <v>70.400000000000006</v>
      </c>
      <c r="M42" s="31">
        <v>21.06</v>
      </c>
      <c r="N42" s="31"/>
    </row>
    <row r="43" spans="1:14" ht="14.1" customHeight="1" x14ac:dyDescent="0.3">
      <c r="A43" s="38">
        <v>8</v>
      </c>
      <c r="B43" s="31">
        <v>3</v>
      </c>
      <c r="C43" s="39" t="s">
        <v>18</v>
      </c>
      <c r="D43" s="39" t="s">
        <v>19</v>
      </c>
      <c r="E43" s="39" t="s">
        <v>20</v>
      </c>
      <c r="F43" s="40">
        <v>18.5</v>
      </c>
      <c r="G43" s="40">
        <f t="shared" si="0"/>
        <v>46.989999999999995</v>
      </c>
      <c r="H43" s="40">
        <v>9.2799999999999994</v>
      </c>
      <c r="I43" s="41"/>
      <c r="J43" s="29" t="s">
        <v>15</v>
      </c>
      <c r="K43" s="30" t="s">
        <v>16</v>
      </c>
      <c r="L43" s="7"/>
      <c r="M43" s="30"/>
      <c r="N43" s="30" t="s">
        <v>21</v>
      </c>
    </row>
    <row r="44" spans="1:14" ht="14.1" customHeight="1" x14ac:dyDescent="0.3">
      <c r="A44" s="43">
        <v>8</v>
      </c>
      <c r="B44" s="31">
        <v>4</v>
      </c>
      <c r="C44" s="44" t="s">
        <v>14</v>
      </c>
      <c r="D44" s="44" t="s">
        <v>19</v>
      </c>
      <c r="E44" s="44" t="s">
        <v>20</v>
      </c>
      <c r="F44" s="45">
        <v>14</v>
      </c>
      <c r="G44" s="40">
        <f t="shared" si="0"/>
        <v>35.56</v>
      </c>
      <c r="H44" s="45">
        <v>3.73</v>
      </c>
      <c r="I44" s="46"/>
      <c r="J44" s="29" t="s">
        <v>15</v>
      </c>
      <c r="K44" s="30" t="s">
        <v>17</v>
      </c>
      <c r="L44" s="31">
        <v>26</v>
      </c>
      <c r="M44" s="31">
        <v>5.49</v>
      </c>
      <c r="N44" s="31"/>
    </row>
    <row r="45" spans="1:14" ht="14.1" customHeight="1" x14ac:dyDescent="0.3">
      <c r="A45" s="38">
        <v>8</v>
      </c>
      <c r="B45" s="31">
        <v>5</v>
      </c>
      <c r="C45" s="39" t="s">
        <v>18</v>
      </c>
      <c r="D45" s="39" t="s">
        <v>19</v>
      </c>
      <c r="E45" s="39" t="s">
        <v>20</v>
      </c>
      <c r="F45" s="40">
        <v>20</v>
      </c>
      <c r="G45" s="40">
        <f t="shared" si="0"/>
        <v>50.8</v>
      </c>
      <c r="H45" s="40">
        <v>10.31</v>
      </c>
      <c r="I45" s="41"/>
      <c r="J45" s="29" t="s">
        <v>19</v>
      </c>
      <c r="K45" s="7"/>
      <c r="L45" s="31">
        <v>74.900000000000006</v>
      </c>
      <c r="M45" s="31">
        <v>15</v>
      </c>
      <c r="N45" s="31"/>
    </row>
    <row r="46" spans="1:14" ht="14.1" customHeight="1" x14ac:dyDescent="0.3">
      <c r="A46" s="43">
        <v>9</v>
      </c>
      <c r="B46" s="31">
        <v>1</v>
      </c>
      <c r="C46" s="44" t="s">
        <v>18</v>
      </c>
      <c r="D46" s="44" t="s">
        <v>19</v>
      </c>
      <c r="E46" s="44" t="s">
        <v>20</v>
      </c>
      <c r="F46" s="45">
        <v>17</v>
      </c>
      <c r="G46" s="40">
        <f t="shared" si="0"/>
        <v>43.18</v>
      </c>
      <c r="H46" s="45">
        <v>9.67</v>
      </c>
      <c r="I46" s="46"/>
      <c r="J46" s="29" t="s">
        <v>15</v>
      </c>
      <c r="K46" s="30" t="s">
        <v>17</v>
      </c>
      <c r="L46" s="31">
        <v>57</v>
      </c>
      <c r="M46" s="31">
        <v>13.4</v>
      </c>
      <c r="N46" s="31"/>
    </row>
    <row r="47" spans="1:14" ht="14.1" customHeight="1" x14ac:dyDescent="0.3">
      <c r="A47" s="38">
        <v>9</v>
      </c>
      <c r="B47" s="31">
        <v>2</v>
      </c>
      <c r="C47" s="39" t="s">
        <v>14</v>
      </c>
      <c r="D47" s="39" t="s">
        <v>15</v>
      </c>
      <c r="E47" s="39" t="s">
        <v>17</v>
      </c>
      <c r="F47" s="40">
        <v>11.5</v>
      </c>
      <c r="G47" s="40">
        <f t="shared" si="0"/>
        <v>29.21</v>
      </c>
      <c r="H47" s="40">
        <v>3.68</v>
      </c>
      <c r="I47" s="41"/>
      <c r="J47" s="29" t="s">
        <v>15</v>
      </c>
      <c r="K47" s="30" t="s">
        <v>17</v>
      </c>
      <c r="L47" s="31">
        <v>35.200000000000003</v>
      </c>
      <c r="M47" s="31">
        <v>6.12</v>
      </c>
      <c r="N47" s="31"/>
    </row>
    <row r="48" spans="1:14" ht="14.1" customHeight="1" x14ac:dyDescent="0.3">
      <c r="A48" s="43">
        <v>9</v>
      </c>
      <c r="B48" s="31">
        <v>3</v>
      </c>
      <c r="C48" s="44" t="s">
        <v>14</v>
      </c>
      <c r="D48" s="44" t="s">
        <v>15</v>
      </c>
      <c r="E48" s="44" t="s">
        <v>16</v>
      </c>
      <c r="F48" s="45">
        <v>12.5</v>
      </c>
      <c r="G48" s="40">
        <f t="shared" si="0"/>
        <v>31.75</v>
      </c>
      <c r="H48" s="45">
        <v>5.2</v>
      </c>
      <c r="I48" s="46"/>
      <c r="J48" s="29" t="s">
        <v>15</v>
      </c>
      <c r="K48" s="30" t="s">
        <v>16</v>
      </c>
      <c r="L48" s="31">
        <v>36</v>
      </c>
      <c r="M48" s="31">
        <v>6.1</v>
      </c>
      <c r="N48" s="31"/>
    </row>
    <row r="49" spans="1:14" ht="14.1" customHeight="1" x14ac:dyDescent="0.3">
      <c r="A49" s="38">
        <v>9</v>
      </c>
      <c r="B49" s="31">
        <v>4</v>
      </c>
      <c r="C49" s="39" t="s">
        <v>14</v>
      </c>
      <c r="D49" s="39" t="s">
        <v>15</v>
      </c>
      <c r="E49" s="39" t="s">
        <v>17</v>
      </c>
      <c r="F49" s="40">
        <v>10.5</v>
      </c>
      <c r="G49" s="40">
        <f t="shared" si="0"/>
        <v>26.669999999999998</v>
      </c>
      <c r="H49" s="40">
        <v>4.29</v>
      </c>
      <c r="I49" s="41"/>
      <c r="J49" s="29" t="s">
        <v>15</v>
      </c>
      <c r="K49" s="30" t="s">
        <v>16</v>
      </c>
      <c r="L49" s="31">
        <v>38.4</v>
      </c>
      <c r="M49" s="31">
        <v>7.71</v>
      </c>
      <c r="N49" s="31"/>
    </row>
    <row r="50" spans="1:14" ht="14.1" customHeight="1" x14ac:dyDescent="0.3">
      <c r="A50" s="43">
        <v>10</v>
      </c>
      <c r="B50" s="31">
        <v>1</v>
      </c>
      <c r="C50" s="44" t="s">
        <v>14</v>
      </c>
      <c r="D50" s="44" t="s">
        <v>15</v>
      </c>
      <c r="E50" s="44" t="s">
        <v>17</v>
      </c>
      <c r="F50" s="45">
        <v>10</v>
      </c>
      <c r="G50" s="40">
        <f t="shared" si="0"/>
        <v>25.4</v>
      </c>
      <c r="H50" s="45">
        <v>3.84</v>
      </c>
      <c r="I50" s="46"/>
      <c r="J50" s="29" t="s">
        <v>15</v>
      </c>
      <c r="K50" s="30" t="s">
        <v>17</v>
      </c>
      <c r="L50" s="31">
        <v>32.200000000000003</v>
      </c>
      <c r="M50" s="31">
        <v>9.15</v>
      </c>
      <c r="N50" s="31"/>
    </row>
    <row r="51" spans="1:14" ht="14.1" customHeight="1" x14ac:dyDescent="0.3">
      <c r="A51" s="38">
        <v>10</v>
      </c>
      <c r="B51" s="31">
        <v>2</v>
      </c>
      <c r="C51" s="39" t="s">
        <v>18</v>
      </c>
      <c r="D51" s="39" t="s">
        <v>19</v>
      </c>
      <c r="E51" s="39" t="s">
        <v>20</v>
      </c>
      <c r="F51" s="40">
        <v>19</v>
      </c>
      <c r="G51" s="40">
        <f t="shared" si="0"/>
        <v>48.26</v>
      </c>
      <c r="H51" s="40">
        <v>11.12</v>
      </c>
      <c r="I51" s="41"/>
      <c r="J51" s="29" t="s">
        <v>15</v>
      </c>
      <c r="K51" s="30" t="s">
        <v>17</v>
      </c>
      <c r="L51" s="31">
        <v>70</v>
      </c>
      <c r="M51" s="31">
        <v>17.22</v>
      </c>
      <c r="N51" s="31"/>
    </row>
    <row r="52" spans="1:14" ht="14.1" customHeight="1" x14ac:dyDescent="0.3">
      <c r="A52" s="43">
        <v>10</v>
      </c>
      <c r="B52" s="31">
        <v>3</v>
      </c>
      <c r="C52" s="44" t="s">
        <v>14</v>
      </c>
      <c r="D52" s="44" t="s">
        <v>15</v>
      </c>
      <c r="E52" s="44" t="s">
        <v>16</v>
      </c>
      <c r="F52" s="45">
        <v>5</v>
      </c>
      <c r="G52" s="40">
        <f t="shared" si="0"/>
        <v>12.7</v>
      </c>
      <c r="H52" s="45">
        <v>3.02</v>
      </c>
      <c r="I52" s="46"/>
      <c r="J52" s="29" t="s">
        <v>15</v>
      </c>
      <c r="K52" s="30" t="s">
        <v>16</v>
      </c>
      <c r="L52" s="31">
        <v>37.4</v>
      </c>
      <c r="M52" s="31">
        <v>7.95</v>
      </c>
      <c r="N52" s="31"/>
    </row>
    <row r="53" spans="1:14" ht="14.1" customHeight="1" x14ac:dyDescent="0.3">
      <c r="A53" s="38">
        <v>10</v>
      </c>
      <c r="B53" s="31">
        <v>4</v>
      </c>
      <c r="C53" s="39" t="s">
        <v>14</v>
      </c>
      <c r="D53" s="39" t="s">
        <v>15</v>
      </c>
      <c r="E53" s="39" t="s">
        <v>16</v>
      </c>
      <c r="F53" s="40">
        <v>10.5</v>
      </c>
      <c r="G53" s="40">
        <f t="shared" si="0"/>
        <v>26.669999999999998</v>
      </c>
      <c r="H53" s="40">
        <v>4.17</v>
      </c>
      <c r="I53" s="41"/>
      <c r="J53" s="32"/>
      <c r="K53" s="7"/>
      <c r="L53" s="7"/>
      <c r="N53" s="30" t="s">
        <v>29</v>
      </c>
    </row>
    <row r="54" spans="1:14" ht="14.1" customHeight="1" x14ac:dyDescent="0.3">
      <c r="A54" s="43">
        <v>11</v>
      </c>
      <c r="B54" s="31">
        <v>1</v>
      </c>
      <c r="C54" s="44" t="s">
        <v>14</v>
      </c>
      <c r="D54" s="44" t="s">
        <v>15</v>
      </c>
      <c r="E54" s="44" t="s">
        <v>17</v>
      </c>
      <c r="F54" s="45">
        <v>13</v>
      </c>
      <c r="G54" s="40">
        <f t="shared" si="0"/>
        <v>33.019999999999996</v>
      </c>
      <c r="H54" s="45">
        <v>3.71</v>
      </c>
      <c r="I54" s="46"/>
      <c r="J54" s="29" t="s">
        <v>15</v>
      </c>
      <c r="K54" s="30" t="s">
        <v>16</v>
      </c>
      <c r="L54" s="31">
        <v>45.1</v>
      </c>
      <c r="M54" s="31">
        <v>7.12</v>
      </c>
      <c r="N54" s="31"/>
    </row>
    <row r="55" spans="1:14" ht="14.1" customHeight="1" x14ac:dyDescent="0.3">
      <c r="A55" s="38">
        <v>11</v>
      </c>
      <c r="B55" s="31">
        <v>2</v>
      </c>
      <c r="C55" s="39" t="s">
        <v>14</v>
      </c>
      <c r="D55" s="39" t="s">
        <v>15</v>
      </c>
      <c r="E55" s="39" t="s">
        <v>16</v>
      </c>
      <c r="F55" s="40">
        <v>10.5</v>
      </c>
      <c r="G55" s="40">
        <f t="shared" si="0"/>
        <v>26.669999999999998</v>
      </c>
      <c r="H55" s="40">
        <v>4.29</v>
      </c>
      <c r="I55" s="41"/>
      <c r="J55" s="29" t="s">
        <v>15</v>
      </c>
      <c r="K55" s="30" t="s">
        <v>16</v>
      </c>
      <c r="L55" s="31">
        <v>69.5</v>
      </c>
      <c r="M55" s="31">
        <v>13.29</v>
      </c>
      <c r="N55" s="31"/>
    </row>
    <row r="56" spans="1:14" ht="14.1" customHeight="1" x14ac:dyDescent="0.3">
      <c r="A56" s="43">
        <v>11</v>
      </c>
      <c r="B56" s="31">
        <v>3</v>
      </c>
      <c r="C56" s="44" t="s">
        <v>18</v>
      </c>
      <c r="D56" s="44" t="s">
        <v>19</v>
      </c>
      <c r="E56" s="44" t="s">
        <v>20</v>
      </c>
      <c r="F56" s="45">
        <v>22.5</v>
      </c>
      <c r="G56" s="40">
        <f t="shared" si="0"/>
        <v>57.15</v>
      </c>
      <c r="H56" s="45">
        <v>11.5</v>
      </c>
      <c r="I56" s="46"/>
      <c r="J56" s="29" t="s">
        <v>15</v>
      </c>
      <c r="K56" s="30" t="s">
        <v>17</v>
      </c>
      <c r="L56" s="31">
        <v>74.2</v>
      </c>
      <c r="M56" s="31">
        <v>17.03</v>
      </c>
      <c r="N56" s="31"/>
    </row>
    <row r="57" spans="1:14" ht="14.1" customHeight="1" x14ac:dyDescent="0.3">
      <c r="A57" s="38">
        <v>11</v>
      </c>
      <c r="B57" s="31">
        <v>4</v>
      </c>
      <c r="C57" s="39" t="s">
        <v>18</v>
      </c>
      <c r="D57" s="39" t="s">
        <v>19</v>
      </c>
      <c r="E57" s="39" t="s">
        <v>20</v>
      </c>
      <c r="F57" s="40">
        <v>31.5</v>
      </c>
      <c r="G57" s="40">
        <f t="shared" si="0"/>
        <v>80.010000000000005</v>
      </c>
      <c r="H57" s="40">
        <v>13.99</v>
      </c>
      <c r="I57" s="41"/>
      <c r="J57" s="29" t="s">
        <v>15</v>
      </c>
      <c r="K57" s="30" t="s">
        <v>17</v>
      </c>
      <c r="L57" s="31">
        <v>80.2</v>
      </c>
      <c r="M57" s="31">
        <v>21.68</v>
      </c>
      <c r="N57" s="31"/>
    </row>
    <row r="58" spans="1:14" ht="14.1" customHeight="1" x14ac:dyDescent="0.3">
      <c r="A58" s="43">
        <v>11</v>
      </c>
      <c r="B58" s="31">
        <v>5</v>
      </c>
      <c r="C58" s="44" t="s">
        <v>14</v>
      </c>
      <c r="D58" s="44" t="s">
        <v>15</v>
      </c>
      <c r="E58" s="44" t="s">
        <v>17</v>
      </c>
      <c r="F58" s="45">
        <v>7</v>
      </c>
      <c r="G58" s="40">
        <f t="shared" si="0"/>
        <v>17.78</v>
      </c>
      <c r="H58" s="45">
        <v>2.89</v>
      </c>
      <c r="I58" s="46"/>
      <c r="J58" s="29" t="s">
        <v>15</v>
      </c>
      <c r="K58" s="30" t="s">
        <v>17</v>
      </c>
      <c r="L58" s="31">
        <v>33.200000000000003</v>
      </c>
      <c r="M58" s="31">
        <v>6.57</v>
      </c>
      <c r="N58" s="31"/>
    </row>
    <row r="59" spans="1:14" ht="14.1" customHeight="1" x14ac:dyDescent="0.3">
      <c r="A59" s="38">
        <v>11</v>
      </c>
      <c r="B59" s="31">
        <v>6</v>
      </c>
      <c r="C59" s="39" t="s">
        <v>14</v>
      </c>
      <c r="D59" s="39" t="s">
        <v>19</v>
      </c>
      <c r="E59" s="39" t="s">
        <v>20</v>
      </c>
      <c r="F59" s="40">
        <v>17.5</v>
      </c>
      <c r="G59" s="40">
        <f t="shared" si="0"/>
        <v>44.45</v>
      </c>
      <c r="H59" s="40">
        <v>3.76</v>
      </c>
      <c r="I59" s="47" t="s">
        <v>35</v>
      </c>
      <c r="J59" s="29" t="s">
        <v>15</v>
      </c>
      <c r="K59" s="30" t="s">
        <v>17</v>
      </c>
      <c r="L59" s="31">
        <v>49</v>
      </c>
      <c r="M59" s="31">
        <v>11.2</v>
      </c>
      <c r="N59" s="31"/>
    </row>
    <row r="60" spans="1:14" ht="14.1" customHeight="1" x14ac:dyDescent="0.3">
      <c r="A60" s="43">
        <v>11</v>
      </c>
      <c r="B60" s="31">
        <v>7</v>
      </c>
      <c r="C60" s="44" t="s">
        <v>18</v>
      </c>
      <c r="D60" s="44" t="s">
        <v>19</v>
      </c>
      <c r="E60" s="44" t="s">
        <v>20</v>
      </c>
      <c r="F60" s="45">
        <v>17.5</v>
      </c>
      <c r="G60" s="40">
        <f t="shared" si="0"/>
        <v>44.45</v>
      </c>
      <c r="H60" s="45">
        <v>10.48</v>
      </c>
      <c r="I60" s="46"/>
      <c r="J60" s="29" t="s">
        <v>15</v>
      </c>
      <c r="K60" s="30" t="s">
        <v>17</v>
      </c>
      <c r="L60" s="31">
        <v>53.7</v>
      </c>
      <c r="M60" s="31">
        <v>13.68</v>
      </c>
      <c r="N60" s="31"/>
    </row>
    <row r="61" spans="1:14" ht="14.1" customHeight="1" x14ac:dyDescent="0.3">
      <c r="A61" s="38">
        <v>12</v>
      </c>
      <c r="B61" s="31">
        <v>1</v>
      </c>
      <c r="C61" s="39" t="s">
        <v>18</v>
      </c>
      <c r="D61" s="39" t="s">
        <v>19</v>
      </c>
      <c r="E61" s="39" t="s">
        <v>20</v>
      </c>
      <c r="F61" s="40">
        <v>13.5</v>
      </c>
      <c r="G61" s="40">
        <f t="shared" si="0"/>
        <v>34.29</v>
      </c>
      <c r="H61" s="40">
        <v>8.31</v>
      </c>
      <c r="I61" s="41"/>
      <c r="J61" s="29" t="s">
        <v>15</v>
      </c>
      <c r="K61" s="30" t="s">
        <v>17</v>
      </c>
      <c r="L61" s="31">
        <v>51</v>
      </c>
      <c r="M61" s="31">
        <v>15.45</v>
      </c>
      <c r="N61" s="31"/>
    </row>
    <row r="62" spans="1:14" ht="14.1" customHeight="1" x14ac:dyDescent="0.3">
      <c r="A62" s="43">
        <v>12</v>
      </c>
      <c r="B62" s="31">
        <v>2</v>
      </c>
      <c r="C62" s="44" t="s">
        <v>18</v>
      </c>
      <c r="D62" s="44" t="s">
        <v>19</v>
      </c>
      <c r="E62" s="44" t="s">
        <v>20</v>
      </c>
      <c r="F62" s="45">
        <v>18</v>
      </c>
      <c r="G62" s="40">
        <f t="shared" si="0"/>
        <v>45.72</v>
      </c>
      <c r="H62" s="45">
        <v>10.4</v>
      </c>
      <c r="I62" s="46"/>
      <c r="J62" s="29" t="s">
        <v>15</v>
      </c>
      <c r="K62" s="30" t="s">
        <v>16</v>
      </c>
      <c r="L62" s="31">
        <v>67.3</v>
      </c>
      <c r="M62" s="31">
        <v>18.64</v>
      </c>
      <c r="N62" s="31"/>
    </row>
    <row r="63" spans="1:14" ht="14.1" customHeight="1" x14ac:dyDescent="0.3">
      <c r="A63" s="38">
        <v>12</v>
      </c>
      <c r="B63" s="31">
        <v>3</v>
      </c>
      <c r="C63" s="39" t="s">
        <v>18</v>
      </c>
      <c r="D63" s="39" t="s">
        <v>19</v>
      </c>
      <c r="E63" s="39" t="s">
        <v>20</v>
      </c>
      <c r="F63" s="40">
        <v>22</v>
      </c>
      <c r="G63" s="40">
        <f t="shared" si="0"/>
        <v>55.879999999999995</v>
      </c>
      <c r="H63" s="40">
        <v>11.14</v>
      </c>
      <c r="I63" s="41"/>
      <c r="J63" s="29" t="s">
        <v>15</v>
      </c>
      <c r="K63" s="30" t="s">
        <v>16</v>
      </c>
      <c r="L63" s="31">
        <v>51.7</v>
      </c>
      <c r="M63" s="31">
        <v>11.27</v>
      </c>
      <c r="N63" s="31"/>
    </row>
    <row r="64" spans="1:14" ht="14.1" customHeight="1" x14ac:dyDescent="0.3">
      <c r="A64" s="43">
        <v>12</v>
      </c>
      <c r="B64" s="31">
        <v>4</v>
      </c>
      <c r="C64" s="44" t="s">
        <v>14</v>
      </c>
      <c r="D64" s="44" t="s">
        <v>19</v>
      </c>
      <c r="E64" s="44" t="s">
        <v>20</v>
      </c>
      <c r="F64" s="45">
        <v>16</v>
      </c>
      <c r="G64" s="40">
        <f t="shared" si="0"/>
        <v>40.64</v>
      </c>
      <c r="H64" s="45">
        <v>5.93</v>
      </c>
      <c r="I64" s="46"/>
      <c r="J64" s="29" t="s">
        <v>15</v>
      </c>
      <c r="K64" s="30" t="s">
        <v>17</v>
      </c>
      <c r="L64" s="31">
        <v>43.8</v>
      </c>
      <c r="M64" s="31">
        <v>7.73</v>
      </c>
      <c r="N64" s="31"/>
    </row>
    <row r="65" spans="1:14" ht="14.1" customHeight="1" x14ac:dyDescent="0.3">
      <c r="A65" s="38">
        <v>13</v>
      </c>
      <c r="B65" s="31">
        <v>1</v>
      </c>
      <c r="C65" s="39" t="s">
        <v>14</v>
      </c>
      <c r="D65" s="39" t="s">
        <v>15</v>
      </c>
      <c r="E65" s="39" t="s">
        <v>16</v>
      </c>
      <c r="F65" s="40">
        <v>7.5</v>
      </c>
      <c r="G65" s="40">
        <f t="shared" si="0"/>
        <v>19.05</v>
      </c>
      <c r="H65" s="40">
        <v>4.5</v>
      </c>
      <c r="I65" s="41"/>
      <c r="J65" s="29" t="s">
        <v>19</v>
      </c>
      <c r="K65" s="30" t="s">
        <v>24</v>
      </c>
      <c r="L65" s="31">
        <v>50.7</v>
      </c>
      <c r="M65" s="31">
        <v>11.34</v>
      </c>
      <c r="N65" s="31"/>
    </row>
    <row r="66" spans="1:14" ht="14.1" customHeight="1" x14ac:dyDescent="0.3">
      <c r="A66" s="43">
        <v>13</v>
      </c>
      <c r="B66" s="31">
        <v>2</v>
      </c>
      <c r="C66" s="44" t="s">
        <v>18</v>
      </c>
      <c r="D66" s="44" t="s">
        <v>19</v>
      </c>
      <c r="E66" s="44" t="s">
        <v>20</v>
      </c>
      <c r="F66" s="45">
        <v>16.5</v>
      </c>
      <c r="G66" s="40">
        <f t="shared" si="0"/>
        <v>41.91</v>
      </c>
      <c r="H66" s="45">
        <v>11.11</v>
      </c>
      <c r="I66" s="46"/>
      <c r="J66" s="29" t="s">
        <v>19</v>
      </c>
      <c r="K66" s="30" t="s">
        <v>24</v>
      </c>
      <c r="L66" s="31">
        <v>80.099999999999994</v>
      </c>
      <c r="M66" s="31">
        <v>20.36</v>
      </c>
      <c r="N66" s="31"/>
    </row>
    <row r="67" spans="1:14" ht="14.1" customHeight="1" x14ac:dyDescent="0.3">
      <c r="A67" s="38">
        <v>13</v>
      </c>
      <c r="B67" s="31">
        <v>3</v>
      </c>
      <c r="C67" s="39" t="s">
        <v>14</v>
      </c>
      <c r="D67" s="39" t="s">
        <v>15</v>
      </c>
      <c r="E67" s="39" t="s">
        <v>17</v>
      </c>
      <c r="F67" s="40">
        <v>11</v>
      </c>
      <c r="G67" s="40">
        <f t="shared" si="0"/>
        <v>27.939999999999998</v>
      </c>
      <c r="H67" s="40">
        <v>4.7</v>
      </c>
      <c r="I67" s="41"/>
      <c r="J67" s="29" t="s">
        <v>24</v>
      </c>
      <c r="K67" s="30" t="s">
        <v>24</v>
      </c>
      <c r="L67" s="30" t="s">
        <v>24</v>
      </c>
      <c r="M67" s="30" t="s">
        <v>24</v>
      </c>
      <c r="N67" s="30" t="s">
        <v>48</v>
      </c>
    </row>
    <row r="68" spans="1:14" ht="14.1" customHeight="1" x14ac:dyDescent="0.3">
      <c r="A68" s="43">
        <v>13</v>
      </c>
      <c r="B68" s="31">
        <v>4</v>
      </c>
      <c r="C68" s="44" t="s">
        <v>14</v>
      </c>
      <c r="D68" s="44" t="s">
        <v>15</v>
      </c>
      <c r="E68" s="44" t="s">
        <v>17</v>
      </c>
      <c r="F68" s="45">
        <v>11</v>
      </c>
      <c r="G68" s="40">
        <f t="shared" si="0"/>
        <v>27.939999999999998</v>
      </c>
      <c r="H68" s="45">
        <v>4.28</v>
      </c>
      <c r="I68" s="46"/>
      <c r="J68" s="29" t="s">
        <v>24</v>
      </c>
      <c r="K68" s="30" t="s">
        <v>24</v>
      </c>
      <c r="L68" s="30" t="s">
        <v>24</v>
      </c>
      <c r="M68" s="30" t="s">
        <v>24</v>
      </c>
      <c r="N68" s="30" t="s">
        <v>21</v>
      </c>
    </row>
    <row r="69" spans="1:14" ht="14.1" customHeight="1" x14ac:dyDescent="0.3">
      <c r="A69" s="38">
        <v>13</v>
      </c>
      <c r="B69" s="31">
        <v>5</v>
      </c>
      <c r="C69" s="39" t="s">
        <v>14</v>
      </c>
      <c r="D69" s="39" t="s">
        <v>15</v>
      </c>
      <c r="E69" s="39" t="s">
        <v>16</v>
      </c>
      <c r="F69" s="40">
        <v>5.5</v>
      </c>
      <c r="G69" s="40">
        <f t="shared" si="0"/>
        <v>13.969999999999999</v>
      </c>
      <c r="H69" s="40">
        <v>2.79</v>
      </c>
      <c r="I69" s="41"/>
      <c r="J69" s="29" t="s">
        <v>15</v>
      </c>
      <c r="K69" s="30" t="s">
        <v>17</v>
      </c>
      <c r="L69" s="31">
        <v>30.02</v>
      </c>
      <c r="M69" s="31">
        <v>7.4</v>
      </c>
      <c r="N69" s="31"/>
    </row>
    <row r="70" spans="1:14" ht="14.1" customHeight="1" x14ac:dyDescent="0.3">
      <c r="A70" s="43">
        <v>14</v>
      </c>
      <c r="B70" s="31">
        <v>1</v>
      </c>
      <c r="C70" s="44" t="s">
        <v>14</v>
      </c>
      <c r="D70" s="44" t="s">
        <v>19</v>
      </c>
      <c r="E70" s="44" t="s">
        <v>20</v>
      </c>
      <c r="F70" s="45">
        <v>12.5</v>
      </c>
      <c r="G70" s="40">
        <f t="shared" ref="G70:G81" si="1">CONVERT(F70,"in","cm")</f>
        <v>31.75</v>
      </c>
      <c r="H70" s="45">
        <v>4.2300000000000004</v>
      </c>
      <c r="I70" s="46"/>
      <c r="J70" s="29" t="s">
        <v>19</v>
      </c>
      <c r="K70" s="7"/>
      <c r="L70" s="31">
        <v>70.5</v>
      </c>
      <c r="M70" s="31">
        <v>9.24</v>
      </c>
      <c r="N70" s="31"/>
    </row>
    <row r="71" spans="1:14" ht="14.1" customHeight="1" x14ac:dyDescent="0.3">
      <c r="A71" s="38">
        <v>14</v>
      </c>
      <c r="B71" s="31">
        <v>2</v>
      </c>
      <c r="C71" s="39" t="s">
        <v>18</v>
      </c>
      <c r="D71" s="39" t="s">
        <v>19</v>
      </c>
      <c r="E71" s="39" t="s">
        <v>20</v>
      </c>
      <c r="F71" s="40">
        <v>20.5</v>
      </c>
      <c r="G71" s="40">
        <f t="shared" si="1"/>
        <v>52.070000000000007</v>
      </c>
      <c r="H71" s="40">
        <v>8.2799999999999994</v>
      </c>
      <c r="I71" s="41"/>
      <c r="J71" s="29" t="s">
        <v>15</v>
      </c>
      <c r="K71" s="30" t="s">
        <v>17</v>
      </c>
      <c r="L71" s="31">
        <v>75.5</v>
      </c>
      <c r="M71" s="31">
        <v>15.75</v>
      </c>
      <c r="N71" s="31"/>
    </row>
    <row r="72" spans="1:14" ht="14.1" customHeight="1" x14ac:dyDescent="0.3">
      <c r="A72" s="43">
        <v>14</v>
      </c>
      <c r="B72" s="31">
        <v>3</v>
      </c>
      <c r="C72" s="44" t="s">
        <v>18</v>
      </c>
      <c r="D72" s="44" t="s">
        <v>19</v>
      </c>
      <c r="E72" s="44" t="s">
        <v>20</v>
      </c>
      <c r="F72" s="45">
        <v>15.5</v>
      </c>
      <c r="G72" s="40">
        <f t="shared" si="1"/>
        <v>39.369999999999997</v>
      </c>
      <c r="H72" s="45">
        <v>7.57</v>
      </c>
      <c r="I72" s="46"/>
      <c r="J72" s="29" t="s">
        <v>19</v>
      </c>
      <c r="K72" s="7"/>
      <c r="L72" s="31">
        <v>79.099999999999994</v>
      </c>
      <c r="M72" s="31">
        <v>12.44</v>
      </c>
      <c r="N72" s="31"/>
    </row>
    <row r="73" spans="1:14" ht="14.1" customHeight="1" x14ac:dyDescent="0.3">
      <c r="A73" s="38">
        <v>14</v>
      </c>
      <c r="B73" s="31">
        <v>4</v>
      </c>
      <c r="C73" s="39" t="s">
        <v>14</v>
      </c>
      <c r="D73" s="39" t="s">
        <v>19</v>
      </c>
      <c r="E73" s="39" t="s">
        <v>20</v>
      </c>
      <c r="F73" s="40">
        <v>9</v>
      </c>
      <c r="G73" s="40">
        <f t="shared" si="1"/>
        <v>22.86</v>
      </c>
      <c r="H73" s="40">
        <v>3.03</v>
      </c>
      <c r="I73" s="41"/>
      <c r="J73" s="32"/>
      <c r="K73" s="7"/>
      <c r="L73" s="7"/>
      <c r="N73" s="30" t="s">
        <v>29</v>
      </c>
    </row>
    <row r="74" spans="1:14" ht="14.1" customHeight="1" x14ac:dyDescent="0.3">
      <c r="A74" s="43">
        <v>15</v>
      </c>
      <c r="B74" s="31">
        <v>1</v>
      </c>
      <c r="C74" s="44" t="s">
        <v>14</v>
      </c>
      <c r="D74" s="44" t="s">
        <v>19</v>
      </c>
      <c r="E74" s="44" t="s">
        <v>20</v>
      </c>
      <c r="F74" s="45">
        <v>14</v>
      </c>
      <c r="G74" s="40">
        <f t="shared" si="1"/>
        <v>35.56</v>
      </c>
      <c r="H74" s="45">
        <v>3.82</v>
      </c>
      <c r="I74" s="46"/>
      <c r="J74" s="29" t="s">
        <v>19</v>
      </c>
      <c r="K74" s="7"/>
      <c r="L74" s="31">
        <v>38.9</v>
      </c>
      <c r="M74" s="31">
        <v>8.43</v>
      </c>
      <c r="N74" s="31"/>
    </row>
    <row r="75" spans="1:14" ht="14.1" customHeight="1" x14ac:dyDescent="0.3">
      <c r="A75" s="38">
        <v>15</v>
      </c>
      <c r="B75" s="31">
        <v>2</v>
      </c>
      <c r="C75" s="39" t="s">
        <v>18</v>
      </c>
      <c r="D75" s="39" t="s">
        <v>19</v>
      </c>
      <c r="E75" s="39" t="s">
        <v>20</v>
      </c>
      <c r="F75" s="40">
        <v>24</v>
      </c>
      <c r="G75" s="40">
        <f t="shared" si="1"/>
        <v>60.96</v>
      </c>
      <c r="H75" s="40">
        <v>10.16</v>
      </c>
      <c r="I75" s="41"/>
      <c r="J75" s="29" t="s">
        <v>15</v>
      </c>
      <c r="K75" s="30" t="s">
        <v>17</v>
      </c>
      <c r="L75" s="31">
        <v>58.9</v>
      </c>
      <c r="M75" s="31">
        <v>13.35</v>
      </c>
      <c r="N75" s="31"/>
    </row>
    <row r="76" spans="1:14" ht="14.1" customHeight="1" x14ac:dyDescent="0.3">
      <c r="A76" s="43">
        <v>15</v>
      </c>
      <c r="B76" s="31">
        <v>3</v>
      </c>
      <c r="C76" s="44" t="s">
        <v>14</v>
      </c>
      <c r="D76" s="44" t="s">
        <v>15</v>
      </c>
      <c r="E76" s="44" t="s">
        <v>17</v>
      </c>
      <c r="F76" s="45">
        <v>9</v>
      </c>
      <c r="G76" s="40">
        <f t="shared" si="1"/>
        <v>22.86</v>
      </c>
      <c r="H76" s="45">
        <v>3.28</v>
      </c>
      <c r="I76" s="46"/>
      <c r="J76" s="29" t="s">
        <v>15</v>
      </c>
      <c r="K76" s="30" t="s">
        <v>17</v>
      </c>
      <c r="L76" s="31">
        <v>30.7</v>
      </c>
      <c r="M76" s="31">
        <v>8.36</v>
      </c>
      <c r="N76" s="31"/>
    </row>
    <row r="77" spans="1:14" ht="14.1" customHeight="1" x14ac:dyDescent="0.3">
      <c r="A77" s="38">
        <v>15</v>
      </c>
      <c r="B77" s="31">
        <v>4</v>
      </c>
      <c r="C77" s="39" t="s">
        <v>14</v>
      </c>
      <c r="D77" s="39" t="s">
        <v>19</v>
      </c>
      <c r="E77" s="39" t="s">
        <v>20</v>
      </c>
      <c r="F77" s="40">
        <v>17</v>
      </c>
      <c r="G77" s="40">
        <f t="shared" si="1"/>
        <v>43.18</v>
      </c>
      <c r="H77" s="40">
        <v>3.53</v>
      </c>
      <c r="I77" s="41"/>
      <c r="J77" s="29" t="s">
        <v>15</v>
      </c>
      <c r="K77" s="30" t="s">
        <v>16</v>
      </c>
      <c r="L77" s="31">
        <v>62.8</v>
      </c>
      <c r="M77" s="31">
        <v>9.0500000000000007</v>
      </c>
      <c r="N77" s="31"/>
    </row>
    <row r="78" spans="1:14" ht="14.1" customHeight="1" x14ac:dyDescent="0.3">
      <c r="A78" s="43">
        <v>16</v>
      </c>
      <c r="B78" s="31">
        <v>1</v>
      </c>
      <c r="C78" s="44" t="s">
        <v>14</v>
      </c>
      <c r="D78" s="44" t="s">
        <v>19</v>
      </c>
      <c r="E78" s="44" t="s">
        <v>20</v>
      </c>
      <c r="F78" s="45">
        <v>15</v>
      </c>
      <c r="G78" s="40">
        <f t="shared" si="1"/>
        <v>38.1</v>
      </c>
      <c r="H78" s="45">
        <v>3.71</v>
      </c>
      <c r="I78" s="46"/>
      <c r="J78" s="29" t="s">
        <v>15</v>
      </c>
      <c r="K78" s="30" t="s">
        <v>16</v>
      </c>
      <c r="L78" s="31">
        <v>43.4</v>
      </c>
      <c r="M78" s="31">
        <v>8.69</v>
      </c>
      <c r="N78" s="31"/>
    </row>
    <row r="79" spans="1:14" ht="14.1" customHeight="1" x14ac:dyDescent="0.3">
      <c r="A79" s="38">
        <v>16</v>
      </c>
      <c r="B79" s="31">
        <v>2</v>
      </c>
      <c r="C79" s="39" t="s">
        <v>18</v>
      </c>
      <c r="D79" s="39" t="s">
        <v>19</v>
      </c>
      <c r="E79" s="39" t="s">
        <v>20</v>
      </c>
      <c r="F79" s="40">
        <v>19.5</v>
      </c>
      <c r="G79" s="40">
        <f t="shared" si="1"/>
        <v>49.53</v>
      </c>
      <c r="H79" s="40">
        <v>8.0299999999999994</v>
      </c>
      <c r="I79" s="41"/>
      <c r="J79" s="29" t="s">
        <v>15</v>
      </c>
      <c r="K79" s="30" t="s">
        <v>17</v>
      </c>
      <c r="L79" s="31">
        <v>65.3</v>
      </c>
      <c r="M79" s="31">
        <v>20.58</v>
      </c>
      <c r="N79" s="31"/>
    </row>
    <row r="80" spans="1:14" ht="14.1" customHeight="1" x14ac:dyDescent="0.3">
      <c r="A80" s="43">
        <v>16</v>
      </c>
      <c r="B80" s="31">
        <v>3</v>
      </c>
      <c r="C80" s="44" t="s">
        <v>18</v>
      </c>
      <c r="D80" s="44" t="s">
        <v>19</v>
      </c>
      <c r="E80" s="44" t="s">
        <v>20</v>
      </c>
      <c r="F80" s="45">
        <v>19</v>
      </c>
      <c r="G80" s="40">
        <f t="shared" si="1"/>
        <v>48.26</v>
      </c>
      <c r="H80" s="45">
        <v>8.01</v>
      </c>
      <c r="I80" s="46"/>
      <c r="J80" s="29" t="s">
        <v>15</v>
      </c>
      <c r="K80" s="30" t="s">
        <v>17</v>
      </c>
      <c r="L80" s="31">
        <v>64.599999999999994</v>
      </c>
      <c r="M80" s="31">
        <v>13.05</v>
      </c>
      <c r="N80" s="31"/>
    </row>
    <row r="81" spans="1:14" ht="14.1" customHeight="1" x14ac:dyDescent="0.3">
      <c r="A81" s="38">
        <v>16</v>
      </c>
      <c r="B81" s="31">
        <v>4</v>
      </c>
      <c r="C81" s="39" t="s">
        <v>14</v>
      </c>
      <c r="D81" s="39" t="s">
        <v>15</v>
      </c>
      <c r="E81" s="39" t="s">
        <v>17</v>
      </c>
      <c r="F81" s="40">
        <v>10</v>
      </c>
      <c r="G81" s="40">
        <f t="shared" si="1"/>
        <v>25.4</v>
      </c>
      <c r="H81" s="40">
        <v>3.26</v>
      </c>
      <c r="I81" s="41"/>
      <c r="J81" s="29" t="s">
        <v>15</v>
      </c>
      <c r="K81" s="30" t="s">
        <v>17</v>
      </c>
      <c r="L81" s="31">
        <v>27</v>
      </c>
      <c r="M81" s="31">
        <v>6.42</v>
      </c>
      <c r="N81" s="31"/>
    </row>
    <row r="82" spans="1:14" ht="14.1" customHeight="1" x14ac:dyDescent="0.3">
      <c r="A82" s="48"/>
      <c r="B82" s="60"/>
      <c r="C82" s="49"/>
      <c r="D82" s="49"/>
      <c r="E82" s="49"/>
      <c r="F82" s="49"/>
      <c r="G82" s="49"/>
      <c r="H82" s="49"/>
      <c r="I82" s="46"/>
      <c r="L82" s="7"/>
      <c r="M82" s="7"/>
      <c r="N82" s="7"/>
    </row>
    <row r="83" spans="1:14" ht="14.1" customHeight="1" x14ac:dyDescent="0.3">
      <c r="A83" s="50"/>
      <c r="B83" s="50"/>
      <c r="C83" s="50"/>
      <c r="D83" s="50"/>
      <c r="E83" s="50"/>
      <c r="F83" s="50"/>
      <c r="G83" s="50"/>
      <c r="H83" s="50"/>
      <c r="I83" s="35"/>
      <c r="J83" s="7"/>
      <c r="K83" s="7"/>
      <c r="L83" s="7"/>
      <c r="M83" s="7"/>
      <c r="N83" s="7"/>
    </row>
  </sheetData>
  <mergeCells count="1">
    <mergeCell ref="A2:H2"/>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62"/>
  <sheetViews>
    <sheetView showGridLines="0" topLeftCell="C1" workbookViewId="0">
      <selection activeCell="O9" sqref="O9"/>
    </sheetView>
  </sheetViews>
  <sheetFormatPr defaultColWidth="8.88671875" defaultRowHeight="14.1" customHeight="1" x14ac:dyDescent="0.3"/>
  <cols>
    <col min="1" max="2" width="9.44140625" style="5" customWidth="1"/>
    <col min="3" max="3" width="12.88671875" style="5" customWidth="1"/>
    <col min="4" max="4" width="17" style="5" customWidth="1"/>
    <col min="5" max="5" width="22.109375" style="5" customWidth="1"/>
    <col min="6" max="7" width="15.109375" style="5" customWidth="1"/>
    <col min="8" max="8" width="19" style="5" customWidth="1"/>
    <col min="9" max="9" width="11" style="5" customWidth="1"/>
    <col min="10" max="10" width="12.88671875" style="5" customWidth="1"/>
    <col min="11" max="11" width="13.33203125" style="5" customWidth="1"/>
    <col min="12" max="12" width="10.44140625" style="5" customWidth="1"/>
    <col min="13" max="13" width="13.6640625" style="5" customWidth="1"/>
    <col min="14" max="14" width="9.6640625" style="5" customWidth="1"/>
    <col min="15" max="257" width="8.88671875" style="5" customWidth="1"/>
  </cols>
  <sheetData>
    <row r="1" spans="1:14" ht="14.1" customHeight="1" x14ac:dyDescent="0.3">
      <c r="A1" s="6"/>
      <c r="B1" s="6"/>
      <c r="C1" s="6"/>
      <c r="D1" s="6"/>
      <c r="E1" s="6"/>
      <c r="F1" s="6"/>
      <c r="G1" s="6"/>
      <c r="H1" s="6"/>
      <c r="I1" s="7"/>
      <c r="J1" s="7"/>
      <c r="K1" s="7"/>
      <c r="L1" s="7"/>
      <c r="M1" s="7"/>
      <c r="N1" s="7"/>
    </row>
    <row r="2" spans="1:14" ht="14.1" customHeight="1" x14ac:dyDescent="0.3">
      <c r="A2" s="63" t="s">
        <v>37</v>
      </c>
      <c r="B2" s="64"/>
      <c r="C2" s="65"/>
      <c r="D2" s="65"/>
      <c r="E2" s="65"/>
      <c r="F2" s="65"/>
      <c r="G2" s="65"/>
      <c r="H2" s="65"/>
      <c r="I2" s="8"/>
      <c r="J2" s="7"/>
      <c r="K2" s="7"/>
      <c r="L2" s="7"/>
      <c r="M2" s="7"/>
      <c r="N2" s="7"/>
    </row>
    <row r="3" spans="1:14" ht="14.1" customHeight="1" x14ac:dyDescent="0.3">
      <c r="A3" s="9"/>
      <c r="B3" s="9"/>
      <c r="C3" s="9"/>
      <c r="D3" s="10">
        <v>42467</v>
      </c>
      <c r="E3" s="10">
        <v>42467</v>
      </c>
      <c r="F3" s="10">
        <v>42467</v>
      </c>
      <c r="G3" s="10">
        <v>42467</v>
      </c>
      <c r="H3" s="10">
        <v>42467</v>
      </c>
      <c r="I3" s="11">
        <v>42467</v>
      </c>
      <c r="J3" s="11">
        <v>43314</v>
      </c>
      <c r="K3" s="11">
        <v>43314</v>
      </c>
      <c r="L3" s="11">
        <v>43314</v>
      </c>
      <c r="M3" s="11">
        <v>43314</v>
      </c>
      <c r="N3" s="11">
        <v>43314</v>
      </c>
    </row>
    <row r="4" spans="1:14" ht="14.1" customHeight="1" x14ac:dyDescent="0.3">
      <c r="A4" s="12" t="s">
        <v>38</v>
      </c>
      <c r="B4" s="13" t="s">
        <v>47</v>
      </c>
      <c r="C4" s="13" t="s">
        <v>8</v>
      </c>
      <c r="D4" s="13" t="s">
        <v>9</v>
      </c>
      <c r="E4" s="13" t="s">
        <v>10</v>
      </c>
      <c r="F4" s="13" t="s">
        <v>11</v>
      </c>
      <c r="G4" s="13" t="s">
        <v>39</v>
      </c>
      <c r="H4" s="13" t="s">
        <v>12</v>
      </c>
      <c r="I4" s="14" t="s">
        <v>13</v>
      </c>
      <c r="J4" s="12" t="s">
        <v>9</v>
      </c>
      <c r="K4" s="13" t="s">
        <v>10</v>
      </c>
      <c r="L4" s="13" t="s">
        <v>39</v>
      </c>
      <c r="M4" s="14" t="s">
        <v>12</v>
      </c>
      <c r="N4" s="15" t="s">
        <v>13</v>
      </c>
    </row>
    <row r="5" spans="1:14" ht="14.1" customHeight="1" x14ac:dyDescent="0.3">
      <c r="A5" s="16">
        <v>1</v>
      </c>
      <c r="B5" s="23">
        <v>1</v>
      </c>
      <c r="C5" s="17" t="s">
        <v>14</v>
      </c>
      <c r="D5" s="17" t="s">
        <v>19</v>
      </c>
      <c r="E5" s="17" t="s">
        <v>20</v>
      </c>
      <c r="F5" s="18">
        <v>16.5</v>
      </c>
      <c r="G5" s="18">
        <f>CONVERT(F5,"in","cm")</f>
        <v>41.91</v>
      </c>
      <c r="H5" s="18">
        <v>4.1100000000000003</v>
      </c>
      <c r="I5" s="51"/>
      <c r="J5" s="52" t="s">
        <v>19</v>
      </c>
      <c r="K5" s="35"/>
      <c r="L5" s="23">
        <v>116.5</v>
      </c>
      <c r="M5" s="23">
        <v>13.54</v>
      </c>
      <c r="N5" s="23"/>
    </row>
    <row r="6" spans="1:14" ht="14.1" customHeight="1" x14ac:dyDescent="0.3">
      <c r="A6" s="24">
        <v>1</v>
      </c>
      <c r="B6" s="31">
        <v>2</v>
      </c>
      <c r="C6" s="25" t="s">
        <v>18</v>
      </c>
      <c r="D6" s="25" t="s">
        <v>19</v>
      </c>
      <c r="E6" s="25" t="s">
        <v>20</v>
      </c>
      <c r="F6" s="26">
        <v>16.5</v>
      </c>
      <c r="G6" s="18">
        <f t="shared" ref="G6:G61" si="0">CONVERT(F6,"in","cm")</f>
        <v>41.91</v>
      </c>
      <c r="H6" s="26">
        <v>10.23</v>
      </c>
      <c r="I6" s="53"/>
      <c r="J6" s="54" t="s">
        <v>24</v>
      </c>
      <c r="K6" s="7"/>
      <c r="L6" s="30" t="s">
        <v>24</v>
      </c>
      <c r="M6" s="30" t="s">
        <v>24</v>
      </c>
      <c r="N6" s="30" t="s">
        <v>21</v>
      </c>
    </row>
    <row r="7" spans="1:14" ht="14.1" customHeight="1" x14ac:dyDescent="0.3">
      <c r="A7" s="16">
        <v>1</v>
      </c>
      <c r="B7" s="31">
        <v>3</v>
      </c>
      <c r="C7" s="17" t="s">
        <v>18</v>
      </c>
      <c r="D7" s="17" t="s">
        <v>19</v>
      </c>
      <c r="E7" s="17" t="s">
        <v>20</v>
      </c>
      <c r="F7" s="18">
        <v>18.5</v>
      </c>
      <c r="G7" s="18">
        <f t="shared" si="0"/>
        <v>46.989999999999995</v>
      </c>
      <c r="H7" s="18">
        <v>11.73</v>
      </c>
      <c r="I7" s="51"/>
      <c r="J7" s="54" t="s">
        <v>19</v>
      </c>
      <c r="K7" s="7"/>
      <c r="L7" s="31">
        <v>133.4</v>
      </c>
      <c r="M7" s="31">
        <v>20.37</v>
      </c>
      <c r="N7" s="7"/>
    </row>
    <row r="8" spans="1:14" ht="14.1" customHeight="1" x14ac:dyDescent="0.3">
      <c r="A8" s="24">
        <v>2</v>
      </c>
      <c r="B8" s="31">
        <v>1</v>
      </c>
      <c r="C8" s="25" t="s">
        <v>14</v>
      </c>
      <c r="D8" s="25" t="s">
        <v>19</v>
      </c>
      <c r="E8" s="25" t="s">
        <v>20</v>
      </c>
      <c r="F8" s="26">
        <v>14</v>
      </c>
      <c r="G8" s="18">
        <f t="shared" si="0"/>
        <v>35.56</v>
      </c>
      <c r="H8" s="26">
        <v>3.06</v>
      </c>
      <c r="I8" s="53"/>
      <c r="J8" s="54" t="s">
        <v>19</v>
      </c>
      <c r="K8" s="7"/>
      <c r="L8" s="31">
        <v>129.19999999999999</v>
      </c>
      <c r="M8" s="31">
        <v>15.54</v>
      </c>
      <c r="N8" s="30"/>
    </row>
    <row r="9" spans="1:14" ht="14.1" customHeight="1" x14ac:dyDescent="0.3">
      <c r="A9" s="16">
        <v>2</v>
      </c>
      <c r="B9" s="31">
        <v>2</v>
      </c>
      <c r="C9" s="17" t="s">
        <v>14</v>
      </c>
      <c r="D9" s="17" t="s">
        <v>19</v>
      </c>
      <c r="E9" s="17" t="s">
        <v>20</v>
      </c>
      <c r="F9" s="18">
        <v>10</v>
      </c>
      <c r="G9" s="18">
        <f t="shared" si="0"/>
        <v>25.4</v>
      </c>
      <c r="H9" s="18">
        <v>2.81</v>
      </c>
      <c r="I9" s="51"/>
      <c r="J9" s="54" t="s">
        <v>19</v>
      </c>
      <c r="K9" s="7"/>
      <c r="L9" s="31">
        <v>87.4</v>
      </c>
      <c r="M9" s="31">
        <v>11.7</v>
      </c>
      <c r="N9" s="30"/>
    </row>
    <row r="10" spans="1:14" ht="14.1" customHeight="1" x14ac:dyDescent="0.3">
      <c r="A10" s="24">
        <v>2</v>
      </c>
      <c r="B10" s="31">
        <v>3</v>
      </c>
      <c r="C10" s="25" t="s">
        <v>18</v>
      </c>
      <c r="D10" s="25" t="s">
        <v>19</v>
      </c>
      <c r="E10" s="25" t="s">
        <v>20</v>
      </c>
      <c r="F10" s="26">
        <v>12</v>
      </c>
      <c r="G10" s="18">
        <f t="shared" si="0"/>
        <v>30.48</v>
      </c>
      <c r="H10" s="26">
        <v>7.7</v>
      </c>
      <c r="I10" s="53"/>
      <c r="J10" s="54" t="s">
        <v>19</v>
      </c>
      <c r="K10" s="7"/>
      <c r="L10" s="7"/>
      <c r="M10" s="7"/>
      <c r="N10" s="30" t="s">
        <v>29</v>
      </c>
    </row>
    <row r="11" spans="1:14" ht="14.1" customHeight="1" x14ac:dyDescent="0.3">
      <c r="A11" s="16">
        <v>3</v>
      </c>
      <c r="B11" s="31">
        <v>1</v>
      </c>
      <c r="C11" s="17" t="s">
        <v>14</v>
      </c>
      <c r="D11" s="17" t="s">
        <v>19</v>
      </c>
      <c r="E11" s="17" t="s">
        <v>20</v>
      </c>
      <c r="F11" s="18">
        <v>15.5</v>
      </c>
      <c r="G11" s="18">
        <f t="shared" si="0"/>
        <v>39.369999999999997</v>
      </c>
      <c r="H11" s="18">
        <v>2.8</v>
      </c>
      <c r="I11" s="51"/>
      <c r="J11" s="54" t="s">
        <v>19</v>
      </c>
      <c r="K11" s="7"/>
      <c r="L11" s="31">
        <v>105</v>
      </c>
      <c r="M11" s="31">
        <v>11.82</v>
      </c>
      <c r="N11" s="7"/>
    </row>
    <row r="12" spans="1:14" ht="14.1" customHeight="1" x14ac:dyDescent="0.3">
      <c r="A12" s="24">
        <v>3</v>
      </c>
      <c r="B12" s="31">
        <v>2</v>
      </c>
      <c r="C12" s="25" t="s">
        <v>18</v>
      </c>
      <c r="D12" s="25" t="s">
        <v>19</v>
      </c>
      <c r="E12" s="25" t="s">
        <v>20</v>
      </c>
      <c r="F12" s="26">
        <v>13.5</v>
      </c>
      <c r="G12" s="18">
        <f t="shared" si="0"/>
        <v>34.29</v>
      </c>
      <c r="H12" s="26">
        <v>9.26</v>
      </c>
      <c r="I12" s="53"/>
      <c r="J12" s="54" t="s">
        <v>19</v>
      </c>
      <c r="K12" s="7"/>
      <c r="L12" s="31">
        <v>99.3</v>
      </c>
      <c r="M12" s="31">
        <v>14.43</v>
      </c>
      <c r="N12" s="7"/>
    </row>
    <row r="13" spans="1:14" ht="14.1" customHeight="1" x14ac:dyDescent="0.3">
      <c r="A13" s="16">
        <v>3</v>
      </c>
      <c r="B13" s="31">
        <v>3</v>
      </c>
      <c r="C13" s="17" t="s">
        <v>14</v>
      </c>
      <c r="D13" s="17" t="s">
        <v>19</v>
      </c>
      <c r="E13" s="17" t="s">
        <v>20</v>
      </c>
      <c r="F13" s="18">
        <v>19.5</v>
      </c>
      <c r="G13" s="18">
        <f t="shared" si="0"/>
        <v>49.53</v>
      </c>
      <c r="H13" s="18">
        <v>4.03</v>
      </c>
      <c r="I13" s="51"/>
      <c r="J13" s="54" t="s">
        <v>19</v>
      </c>
      <c r="K13" s="7"/>
      <c r="L13" s="31">
        <v>67.599999999999994</v>
      </c>
      <c r="M13" s="31">
        <v>7.1</v>
      </c>
      <c r="N13" s="7"/>
    </row>
    <row r="14" spans="1:14" ht="14.1" customHeight="1" x14ac:dyDescent="0.3">
      <c r="A14" s="24">
        <v>4</v>
      </c>
      <c r="B14" s="31">
        <v>1</v>
      </c>
      <c r="C14" s="25" t="s">
        <v>18</v>
      </c>
      <c r="D14" s="25" t="s">
        <v>19</v>
      </c>
      <c r="E14" s="25" t="s">
        <v>20</v>
      </c>
      <c r="F14" s="26">
        <v>17.5</v>
      </c>
      <c r="G14" s="18">
        <f t="shared" si="0"/>
        <v>44.45</v>
      </c>
      <c r="H14" s="26">
        <v>8.7200000000000006</v>
      </c>
      <c r="I14" s="53"/>
      <c r="J14" s="54" t="s">
        <v>19</v>
      </c>
      <c r="K14" s="7"/>
      <c r="L14" s="31">
        <v>91.5</v>
      </c>
      <c r="M14" s="31">
        <v>2.06</v>
      </c>
      <c r="N14" s="7"/>
    </row>
    <row r="15" spans="1:14" ht="14.1" customHeight="1" x14ac:dyDescent="0.3">
      <c r="A15" s="16">
        <v>4</v>
      </c>
      <c r="B15" s="31">
        <v>2</v>
      </c>
      <c r="C15" s="17" t="s">
        <v>14</v>
      </c>
      <c r="D15" s="17" t="s">
        <v>19</v>
      </c>
      <c r="E15" s="17" t="s">
        <v>20</v>
      </c>
      <c r="F15" s="18">
        <v>16</v>
      </c>
      <c r="G15" s="18">
        <f t="shared" si="0"/>
        <v>40.64</v>
      </c>
      <c r="H15" s="18">
        <v>3.72</v>
      </c>
      <c r="I15" s="51"/>
      <c r="J15" s="54" t="s">
        <v>19</v>
      </c>
      <c r="K15" s="7"/>
      <c r="L15" s="31">
        <v>94</v>
      </c>
      <c r="M15" s="31">
        <v>13.89</v>
      </c>
      <c r="N15" s="7"/>
    </row>
    <row r="16" spans="1:14" ht="14.1" customHeight="1" x14ac:dyDescent="0.3">
      <c r="A16" s="24">
        <v>4</v>
      </c>
      <c r="B16" s="31">
        <v>3</v>
      </c>
      <c r="C16" s="25" t="s">
        <v>14</v>
      </c>
      <c r="D16" s="25" t="s">
        <v>19</v>
      </c>
      <c r="E16" s="25" t="s">
        <v>20</v>
      </c>
      <c r="F16" s="26">
        <v>16</v>
      </c>
      <c r="G16" s="18">
        <f t="shared" si="0"/>
        <v>40.64</v>
      </c>
      <c r="H16" s="26">
        <v>4.34</v>
      </c>
      <c r="I16" s="53"/>
      <c r="J16" s="54" t="s">
        <v>19</v>
      </c>
      <c r="K16" s="7"/>
      <c r="L16" s="31">
        <v>94</v>
      </c>
      <c r="M16" s="31">
        <v>13.05</v>
      </c>
      <c r="N16" s="7"/>
    </row>
    <row r="17" spans="1:14" ht="14.1" customHeight="1" x14ac:dyDescent="0.3">
      <c r="A17" s="16">
        <v>5</v>
      </c>
      <c r="B17" s="31">
        <v>1</v>
      </c>
      <c r="C17" s="17" t="s">
        <v>14</v>
      </c>
      <c r="D17" s="17" t="s">
        <v>19</v>
      </c>
      <c r="E17" s="17" t="s">
        <v>20</v>
      </c>
      <c r="F17" s="18">
        <v>17.5</v>
      </c>
      <c r="G17" s="18">
        <f t="shared" si="0"/>
        <v>44.45</v>
      </c>
      <c r="H17" s="18">
        <v>3.99</v>
      </c>
      <c r="I17" s="51"/>
      <c r="J17" s="54" t="s">
        <v>19</v>
      </c>
      <c r="K17" s="7"/>
      <c r="L17" s="31">
        <v>152</v>
      </c>
      <c r="M17" s="31">
        <v>22.5</v>
      </c>
      <c r="N17" s="7"/>
    </row>
    <row r="18" spans="1:14" ht="14.1" customHeight="1" x14ac:dyDescent="0.3">
      <c r="A18" s="24">
        <v>5</v>
      </c>
      <c r="B18" s="31">
        <v>2</v>
      </c>
      <c r="C18" s="25" t="s">
        <v>18</v>
      </c>
      <c r="D18" s="25" t="s">
        <v>19</v>
      </c>
      <c r="E18" s="25" t="s">
        <v>20</v>
      </c>
      <c r="F18" s="26">
        <v>25.5</v>
      </c>
      <c r="G18" s="18">
        <f t="shared" si="0"/>
        <v>64.77000000000001</v>
      </c>
      <c r="H18" s="26">
        <v>10.51</v>
      </c>
      <c r="I18" s="53"/>
      <c r="J18" s="54" t="s">
        <v>19</v>
      </c>
      <c r="K18" s="7"/>
      <c r="L18" s="31">
        <v>99.5</v>
      </c>
      <c r="M18" s="31">
        <v>15.76</v>
      </c>
      <c r="N18" s="7"/>
    </row>
    <row r="19" spans="1:14" ht="14.1" customHeight="1" x14ac:dyDescent="0.3">
      <c r="A19" s="16">
        <v>5</v>
      </c>
      <c r="B19" s="31">
        <v>3</v>
      </c>
      <c r="C19" s="17" t="s">
        <v>14</v>
      </c>
      <c r="D19" s="17" t="s">
        <v>19</v>
      </c>
      <c r="E19" s="17" t="s">
        <v>20</v>
      </c>
      <c r="F19" s="18">
        <v>17.5</v>
      </c>
      <c r="G19" s="18">
        <f t="shared" si="0"/>
        <v>44.45</v>
      </c>
      <c r="H19" s="18">
        <v>4.6900000000000004</v>
      </c>
      <c r="I19" s="51"/>
      <c r="J19" s="54" t="s">
        <v>19</v>
      </c>
      <c r="K19" s="7"/>
      <c r="L19" s="31">
        <v>55.5</v>
      </c>
      <c r="M19" s="31">
        <v>8.0299999999999994</v>
      </c>
      <c r="N19" s="7"/>
    </row>
    <row r="20" spans="1:14" ht="14.1" customHeight="1" x14ac:dyDescent="0.3">
      <c r="A20" s="24">
        <v>6</v>
      </c>
      <c r="B20" s="31">
        <v>1</v>
      </c>
      <c r="C20" s="25" t="s">
        <v>18</v>
      </c>
      <c r="D20" s="25" t="s">
        <v>19</v>
      </c>
      <c r="E20" s="25" t="s">
        <v>20</v>
      </c>
      <c r="F20" s="26">
        <v>15.5</v>
      </c>
      <c r="G20" s="18">
        <f t="shared" si="0"/>
        <v>39.369999999999997</v>
      </c>
      <c r="H20" s="26">
        <v>7.95</v>
      </c>
      <c r="I20" s="53"/>
      <c r="J20" s="54" t="s">
        <v>19</v>
      </c>
      <c r="K20" s="7"/>
      <c r="L20" s="31">
        <v>83.4</v>
      </c>
      <c r="M20" s="31">
        <v>13.46</v>
      </c>
      <c r="N20" s="7"/>
    </row>
    <row r="21" spans="1:14" ht="14.1" customHeight="1" x14ac:dyDescent="0.3">
      <c r="A21" s="16">
        <v>6</v>
      </c>
      <c r="B21" s="31">
        <v>2</v>
      </c>
      <c r="C21" s="17" t="s">
        <v>14</v>
      </c>
      <c r="D21" s="17" t="s">
        <v>19</v>
      </c>
      <c r="E21" s="17" t="s">
        <v>20</v>
      </c>
      <c r="F21" s="18">
        <v>17</v>
      </c>
      <c r="G21" s="18">
        <f t="shared" si="0"/>
        <v>43.18</v>
      </c>
      <c r="H21" s="18">
        <v>3.63</v>
      </c>
      <c r="I21" s="51"/>
      <c r="J21" s="54" t="s">
        <v>19</v>
      </c>
      <c r="K21" s="7"/>
      <c r="L21" s="31">
        <v>91.5</v>
      </c>
      <c r="M21" s="31">
        <v>11.2</v>
      </c>
      <c r="N21" s="7"/>
    </row>
    <row r="22" spans="1:14" ht="14.1" customHeight="1" x14ac:dyDescent="0.3">
      <c r="A22" s="24">
        <v>6</v>
      </c>
      <c r="B22" s="31">
        <v>3</v>
      </c>
      <c r="C22" s="25" t="s">
        <v>14</v>
      </c>
      <c r="D22" s="25" t="s">
        <v>19</v>
      </c>
      <c r="E22" s="25" t="s">
        <v>20</v>
      </c>
      <c r="F22" s="26">
        <v>12</v>
      </c>
      <c r="G22" s="18">
        <f t="shared" si="0"/>
        <v>30.48</v>
      </c>
      <c r="H22" s="26">
        <v>3.87</v>
      </c>
      <c r="I22" s="53"/>
      <c r="J22" s="54" t="s">
        <v>19</v>
      </c>
      <c r="K22" s="7"/>
      <c r="L22" s="31">
        <v>125</v>
      </c>
      <c r="M22" s="31">
        <v>15.63</v>
      </c>
      <c r="N22" s="7"/>
    </row>
    <row r="23" spans="1:14" ht="14.1" customHeight="1" x14ac:dyDescent="0.3">
      <c r="A23" s="16">
        <v>6</v>
      </c>
      <c r="B23" s="31">
        <v>4</v>
      </c>
      <c r="C23" s="17" t="s">
        <v>14</v>
      </c>
      <c r="D23" s="17" t="s">
        <v>19</v>
      </c>
      <c r="E23" s="17" t="s">
        <v>20</v>
      </c>
      <c r="F23" s="18">
        <v>18</v>
      </c>
      <c r="G23" s="18">
        <f t="shared" si="0"/>
        <v>45.72</v>
      </c>
      <c r="H23" s="18">
        <v>3.88</v>
      </c>
      <c r="I23" s="51"/>
      <c r="J23" s="54" t="s">
        <v>19</v>
      </c>
      <c r="K23" s="7"/>
      <c r="L23" s="31">
        <v>77</v>
      </c>
      <c r="M23" s="31">
        <v>10.43</v>
      </c>
      <c r="N23" s="7"/>
    </row>
    <row r="24" spans="1:14" ht="14.1" customHeight="1" x14ac:dyDescent="0.3">
      <c r="A24" s="24">
        <v>7</v>
      </c>
      <c r="B24" s="31">
        <v>1</v>
      </c>
      <c r="C24" s="25" t="s">
        <v>18</v>
      </c>
      <c r="D24" s="25" t="s">
        <v>19</v>
      </c>
      <c r="E24" s="25" t="s">
        <v>20</v>
      </c>
      <c r="F24" s="26">
        <v>14.5</v>
      </c>
      <c r="G24" s="18">
        <f t="shared" si="0"/>
        <v>36.83</v>
      </c>
      <c r="H24" s="26">
        <v>9.35</v>
      </c>
      <c r="I24" s="53"/>
      <c r="J24" s="54" t="s">
        <v>19</v>
      </c>
      <c r="K24" s="7"/>
      <c r="L24" s="31">
        <v>99</v>
      </c>
      <c r="M24" s="31">
        <v>15.6</v>
      </c>
      <c r="N24" s="7"/>
    </row>
    <row r="25" spans="1:14" ht="14.1" customHeight="1" x14ac:dyDescent="0.3">
      <c r="A25" s="16">
        <v>7</v>
      </c>
      <c r="B25" s="31">
        <v>2</v>
      </c>
      <c r="C25" s="17" t="s">
        <v>14</v>
      </c>
      <c r="D25" s="17" t="s">
        <v>19</v>
      </c>
      <c r="E25" s="17" t="s">
        <v>20</v>
      </c>
      <c r="F25" s="18">
        <v>13.5</v>
      </c>
      <c r="G25" s="18">
        <f t="shared" si="0"/>
        <v>34.29</v>
      </c>
      <c r="H25" s="18">
        <v>3.74</v>
      </c>
      <c r="I25" s="51"/>
      <c r="J25" s="54" t="s">
        <v>19</v>
      </c>
      <c r="K25" s="7"/>
      <c r="L25" s="31">
        <v>126.7</v>
      </c>
      <c r="M25" s="31">
        <v>18.45</v>
      </c>
      <c r="N25" s="7"/>
    </row>
    <row r="26" spans="1:14" ht="14.1" customHeight="1" x14ac:dyDescent="0.3">
      <c r="A26" s="24">
        <v>7</v>
      </c>
      <c r="B26" s="31">
        <v>3</v>
      </c>
      <c r="C26" s="25" t="s">
        <v>14</v>
      </c>
      <c r="D26" s="25" t="s">
        <v>19</v>
      </c>
      <c r="E26" s="25" t="s">
        <v>20</v>
      </c>
      <c r="F26" s="26">
        <v>16</v>
      </c>
      <c r="G26" s="18">
        <f t="shared" si="0"/>
        <v>40.64</v>
      </c>
      <c r="H26" s="26">
        <v>3.93</v>
      </c>
      <c r="I26" s="53"/>
      <c r="J26" s="54" t="s">
        <v>19</v>
      </c>
      <c r="K26" s="7"/>
      <c r="L26" s="31">
        <v>132</v>
      </c>
      <c r="M26" s="31">
        <v>19.5</v>
      </c>
      <c r="N26" s="7"/>
    </row>
    <row r="27" spans="1:14" ht="14.1" customHeight="1" x14ac:dyDescent="0.3">
      <c r="A27" s="16">
        <v>7</v>
      </c>
      <c r="B27" s="31">
        <v>4</v>
      </c>
      <c r="C27" s="17" t="s">
        <v>18</v>
      </c>
      <c r="D27" s="17" t="s">
        <v>19</v>
      </c>
      <c r="E27" s="17" t="s">
        <v>20</v>
      </c>
      <c r="F27" s="18">
        <v>15.5</v>
      </c>
      <c r="G27" s="18">
        <f t="shared" si="0"/>
        <v>39.369999999999997</v>
      </c>
      <c r="H27" s="18">
        <v>11.74</v>
      </c>
      <c r="I27" s="51"/>
      <c r="J27" s="54" t="s">
        <v>19</v>
      </c>
      <c r="K27" s="7"/>
      <c r="L27" s="31">
        <v>79.5</v>
      </c>
      <c r="M27" s="31">
        <v>19.739999999999998</v>
      </c>
      <c r="N27" s="7"/>
    </row>
    <row r="28" spans="1:14" ht="14.1" customHeight="1" x14ac:dyDescent="0.3">
      <c r="A28" s="24">
        <v>8</v>
      </c>
      <c r="B28" s="31">
        <v>1</v>
      </c>
      <c r="C28" s="25" t="s">
        <v>14</v>
      </c>
      <c r="D28" s="25" t="s">
        <v>19</v>
      </c>
      <c r="E28" s="25" t="s">
        <v>20</v>
      </c>
      <c r="F28" s="26">
        <v>16</v>
      </c>
      <c r="G28" s="18">
        <f t="shared" si="0"/>
        <v>40.64</v>
      </c>
      <c r="H28" s="26">
        <v>3.61</v>
      </c>
      <c r="I28" s="53"/>
      <c r="J28" s="54" t="s">
        <v>19</v>
      </c>
      <c r="K28" s="7"/>
      <c r="L28" s="31">
        <v>82.5</v>
      </c>
      <c r="M28" s="31">
        <v>12.04</v>
      </c>
      <c r="N28" s="7"/>
    </row>
    <row r="29" spans="1:14" ht="14.1" customHeight="1" x14ac:dyDescent="0.3">
      <c r="A29" s="16">
        <v>8</v>
      </c>
      <c r="B29" s="31">
        <v>2</v>
      </c>
      <c r="C29" s="17" t="s">
        <v>18</v>
      </c>
      <c r="D29" s="17" t="s">
        <v>19</v>
      </c>
      <c r="E29" s="17" t="s">
        <v>20</v>
      </c>
      <c r="F29" s="18">
        <v>13</v>
      </c>
      <c r="G29" s="18">
        <f t="shared" si="0"/>
        <v>33.019999999999996</v>
      </c>
      <c r="H29" s="18">
        <v>8.31</v>
      </c>
      <c r="I29" s="51"/>
      <c r="J29" s="54" t="s">
        <v>19</v>
      </c>
      <c r="K29" s="7"/>
      <c r="L29" s="31">
        <v>113</v>
      </c>
      <c r="M29" s="31">
        <v>17.850000000000001</v>
      </c>
      <c r="N29" s="7"/>
    </row>
    <row r="30" spans="1:14" ht="14.1" customHeight="1" x14ac:dyDescent="0.3">
      <c r="A30" s="24">
        <v>8</v>
      </c>
      <c r="B30" s="31">
        <v>3</v>
      </c>
      <c r="C30" s="25" t="s">
        <v>14</v>
      </c>
      <c r="D30" s="25" t="s">
        <v>19</v>
      </c>
      <c r="E30" s="25" t="s">
        <v>20</v>
      </c>
      <c r="F30" s="26">
        <v>18</v>
      </c>
      <c r="G30" s="18">
        <f t="shared" si="0"/>
        <v>45.72</v>
      </c>
      <c r="H30" s="26">
        <v>5.22</v>
      </c>
      <c r="I30" s="53"/>
      <c r="J30" s="54" t="s">
        <v>19</v>
      </c>
      <c r="K30" s="7"/>
      <c r="L30" s="31">
        <v>87.5</v>
      </c>
      <c r="M30" s="31">
        <v>11.23</v>
      </c>
      <c r="N30" s="7"/>
    </row>
    <row r="31" spans="1:14" ht="14.1" customHeight="1" x14ac:dyDescent="0.3">
      <c r="A31" s="16">
        <v>9</v>
      </c>
      <c r="B31" s="31">
        <v>1</v>
      </c>
      <c r="C31" s="17" t="s">
        <v>18</v>
      </c>
      <c r="D31" s="17" t="s">
        <v>19</v>
      </c>
      <c r="E31" s="17" t="s">
        <v>20</v>
      </c>
      <c r="F31" s="18">
        <v>15.5</v>
      </c>
      <c r="G31" s="18">
        <f t="shared" si="0"/>
        <v>39.369999999999997</v>
      </c>
      <c r="H31" s="18">
        <v>7.17</v>
      </c>
      <c r="I31" s="51"/>
      <c r="J31" s="54" t="s">
        <v>19</v>
      </c>
      <c r="K31" s="7"/>
      <c r="L31" s="31">
        <v>71.599999999999994</v>
      </c>
      <c r="M31" s="31">
        <v>10.94</v>
      </c>
      <c r="N31" s="7"/>
    </row>
    <row r="32" spans="1:14" ht="14.1" customHeight="1" x14ac:dyDescent="0.3">
      <c r="A32" s="24">
        <v>9</v>
      </c>
      <c r="B32" s="31">
        <v>2</v>
      </c>
      <c r="C32" s="25" t="s">
        <v>18</v>
      </c>
      <c r="D32" s="25" t="s">
        <v>19</v>
      </c>
      <c r="E32" s="25" t="s">
        <v>20</v>
      </c>
      <c r="F32" s="26">
        <v>17.5</v>
      </c>
      <c r="G32" s="18">
        <f t="shared" si="0"/>
        <v>44.45</v>
      </c>
      <c r="H32" s="26">
        <v>9.23</v>
      </c>
      <c r="I32" s="53"/>
      <c r="J32" s="54" t="s">
        <v>19</v>
      </c>
      <c r="K32" s="7"/>
      <c r="L32" s="31">
        <v>68</v>
      </c>
      <c r="M32" s="31">
        <v>14.38</v>
      </c>
      <c r="N32" s="7"/>
    </row>
    <row r="33" spans="1:14" ht="14.1" customHeight="1" x14ac:dyDescent="0.3">
      <c r="A33" s="16">
        <v>9</v>
      </c>
      <c r="B33" s="31">
        <v>3</v>
      </c>
      <c r="C33" s="17" t="s">
        <v>14</v>
      </c>
      <c r="D33" s="17" t="s">
        <v>19</v>
      </c>
      <c r="E33" s="17" t="s">
        <v>20</v>
      </c>
      <c r="F33" s="18">
        <v>19</v>
      </c>
      <c r="G33" s="18">
        <f t="shared" si="0"/>
        <v>48.26</v>
      </c>
      <c r="H33" s="18">
        <v>4.45</v>
      </c>
      <c r="I33" s="51"/>
      <c r="J33" s="54" t="s">
        <v>19</v>
      </c>
      <c r="K33" s="7"/>
      <c r="L33" s="31">
        <v>136</v>
      </c>
      <c r="M33" s="31">
        <v>20.21</v>
      </c>
      <c r="N33" s="7"/>
    </row>
    <row r="34" spans="1:14" ht="14.1" customHeight="1" x14ac:dyDescent="0.3">
      <c r="A34" s="24">
        <v>9</v>
      </c>
      <c r="B34" s="31">
        <v>4</v>
      </c>
      <c r="C34" s="25" t="s">
        <v>14</v>
      </c>
      <c r="D34" s="25" t="s">
        <v>19</v>
      </c>
      <c r="E34" s="25" t="s">
        <v>20</v>
      </c>
      <c r="F34" s="26">
        <v>17</v>
      </c>
      <c r="G34" s="18">
        <f t="shared" si="0"/>
        <v>43.18</v>
      </c>
      <c r="H34" s="26">
        <v>5.75</v>
      </c>
      <c r="I34" s="53"/>
      <c r="J34" s="54" t="s">
        <v>19</v>
      </c>
      <c r="K34" s="7"/>
      <c r="L34" s="31">
        <v>146</v>
      </c>
      <c r="M34" s="31">
        <v>20.059999999999999</v>
      </c>
      <c r="N34" s="7"/>
    </row>
    <row r="35" spans="1:14" ht="14.1" customHeight="1" x14ac:dyDescent="0.3">
      <c r="A35" s="16">
        <v>10</v>
      </c>
      <c r="B35" s="31">
        <v>1</v>
      </c>
      <c r="C35" s="17" t="s">
        <v>18</v>
      </c>
      <c r="D35" s="17" t="s">
        <v>19</v>
      </c>
      <c r="E35" s="17" t="s">
        <v>20</v>
      </c>
      <c r="F35" s="18">
        <v>14</v>
      </c>
      <c r="G35" s="18">
        <f t="shared" si="0"/>
        <v>35.56</v>
      </c>
      <c r="H35" s="18">
        <v>7.26</v>
      </c>
      <c r="I35" s="51"/>
      <c r="J35" s="54" t="s">
        <v>19</v>
      </c>
      <c r="K35" s="7"/>
      <c r="L35" s="31">
        <v>53</v>
      </c>
      <c r="M35" s="31">
        <v>10.38</v>
      </c>
      <c r="N35" s="7"/>
    </row>
    <row r="36" spans="1:14" ht="14.1" customHeight="1" x14ac:dyDescent="0.3">
      <c r="A36" s="24">
        <v>10</v>
      </c>
      <c r="B36" s="31">
        <v>2</v>
      </c>
      <c r="C36" s="25" t="s">
        <v>14</v>
      </c>
      <c r="D36" s="25" t="s">
        <v>19</v>
      </c>
      <c r="E36" s="25" t="s">
        <v>20</v>
      </c>
      <c r="F36" s="26">
        <v>17.5</v>
      </c>
      <c r="G36" s="18">
        <f t="shared" si="0"/>
        <v>44.45</v>
      </c>
      <c r="H36" s="26">
        <v>3.84</v>
      </c>
      <c r="I36" s="53"/>
      <c r="J36" s="54" t="s">
        <v>19</v>
      </c>
      <c r="K36" s="7"/>
      <c r="L36" s="31">
        <v>81</v>
      </c>
      <c r="M36" s="31">
        <v>9.83</v>
      </c>
      <c r="N36" s="7"/>
    </row>
    <row r="37" spans="1:14" ht="14.1" customHeight="1" x14ac:dyDescent="0.3">
      <c r="A37" s="16">
        <v>10</v>
      </c>
      <c r="B37" s="31">
        <v>3</v>
      </c>
      <c r="C37" s="17" t="s">
        <v>14</v>
      </c>
      <c r="D37" s="17" t="s">
        <v>19</v>
      </c>
      <c r="E37" s="17" t="s">
        <v>20</v>
      </c>
      <c r="F37" s="18">
        <v>15.5</v>
      </c>
      <c r="G37" s="18">
        <f t="shared" si="0"/>
        <v>39.369999999999997</v>
      </c>
      <c r="H37" s="18">
        <v>3.52</v>
      </c>
      <c r="I37" s="51"/>
      <c r="J37" s="54" t="s">
        <v>19</v>
      </c>
      <c r="K37" s="7"/>
      <c r="L37" s="31">
        <v>132</v>
      </c>
      <c r="M37" s="31">
        <v>15.58</v>
      </c>
      <c r="N37" s="7"/>
    </row>
    <row r="38" spans="1:14" ht="14.1" customHeight="1" x14ac:dyDescent="0.3">
      <c r="A38" s="24">
        <v>10</v>
      </c>
      <c r="B38" s="31">
        <v>4</v>
      </c>
      <c r="C38" s="25" t="s">
        <v>18</v>
      </c>
      <c r="D38" s="25" t="s">
        <v>19</v>
      </c>
      <c r="E38" s="25" t="s">
        <v>20</v>
      </c>
      <c r="F38" s="26">
        <v>17</v>
      </c>
      <c r="G38" s="18">
        <f t="shared" si="0"/>
        <v>43.18</v>
      </c>
      <c r="H38" s="26">
        <v>7.98</v>
      </c>
      <c r="I38" s="53"/>
      <c r="J38" s="54" t="s">
        <v>19</v>
      </c>
      <c r="K38" s="7"/>
      <c r="L38" s="31">
        <v>88</v>
      </c>
      <c r="M38" s="31">
        <v>17.47</v>
      </c>
      <c r="N38" s="7"/>
    </row>
    <row r="39" spans="1:14" ht="14.1" customHeight="1" x14ac:dyDescent="0.3">
      <c r="A39" s="16">
        <v>11</v>
      </c>
      <c r="B39" s="31">
        <v>1</v>
      </c>
      <c r="C39" s="17" t="s">
        <v>14</v>
      </c>
      <c r="D39" s="17" t="s">
        <v>19</v>
      </c>
      <c r="E39" s="17" t="s">
        <v>20</v>
      </c>
      <c r="F39" s="18">
        <v>15.5</v>
      </c>
      <c r="G39" s="18">
        <f t="shared" si="0"/>
        <v>39.369999999999997</v>
      </c>
      <c r="H39" s="18">
        <v>4.76</v>
      </c>
      <c r="I39" s="51"/>
      <c r="J39" s="54" t="s">
        <v>19</v>
      </c>
      <c r="K39" s="7"/>
      <c r="L39" s="31">
        <v>74</v>
      </c>
      <c r="M39" s="31">
        <v>8.48</v>
      </c>
      <c r="N39" s="7"/>
    </row>
    <row r="40" spans="1:14" ht="14.1" customHeight="1" x14ac:dyDescent="0.3">
      <c r="A40" s="24">
        <v>11</v>
      </c>
      <c r="B40" s="31">
        <v>2</v>
      </c>
      <c r="C40" s="25" t="s">
        <v>14</v>
      </c>
      <c r="D40" s="25" t="s">
        <v>19</v>
      </c>
      <c r="E40" s="25" t="s">
        <v>20</v>
      </c>
      <c r="F40" s="26">
        <v>14</v>
      </c>
      <c r="G40" s="18">
        <f t="shared" si="0"/>
        <v>35.56</v>
      </c>
      <c r="H40" s="26">
        <v>3.41</v>
      </c>
      <c r="I40" s="53"/>
      <c r="J40" s="54" t="s">
        <v>19</v>
      </c>
      <c r="K40" s="7"/>
      <c r="L40" s="31">
        <v>129</v>
      </c>
      <c r="M40" s="31">
        <v>20.12</v>
      </c>
      <c r="N40" s="7"/>
    </row>
    <row r="41" spans="1:14" ht="14.1" customHeight="1" x14ac:dyDescent="0.3">
      <c r="A41" s="16">
        <v>11</v>
      </c>
      <c r="B41" s="31">
        <v>3</v>
      </c>
      <c r="C41" s="17" t="s">
        <v>18</v>
      </c>
      <c r="D41" s="17" t="s">
        <v>19</v>
      </c>
      <c r="E41" s="17" t="s">
        <v>20</v>
      </c>
      <c r="F41" s="18">
        <v>16</v>
      </c>
      <c r="G41" s="18">
        <f t="shared" si="0"/>
        <v>40.64</v>
      </c>
      <c r="H41" s="18">
        <v>9.76</v>
      </c>
      <c r="I41" s="51"/>
      <c r="J41" s="55"/>
      <c r="K41" s="7"/>
      <c r="L41" s="7"/>
      <c r="M41" s="7"/>
      <c r="N41" s="30" t="s">
        <v>29</v>
      </c>
    </row>
    <row r="42" spans="1:14" ht="14.1" customHeight="1" x14ac:dyDescent="0.3">
      <c r="A42" s="24">
        <v>11</v>
      </c>
      <c r="B42" s="31">
        <v>4</v>
      </c>
      <c r="C42" s="25" t="s">
        <v>18</v>
      </c>
      <c r="D42" s="25" t="s">
        <v>19</v>
      </c>
      <c r="E42" s="25" t="s">
        <v>20</v>
      </c>
      <c r="F42" s="26">
        <v>14.5</v>
      </c>
      <c r="G42" s="18">
        <f t="shared" si="0"/>
        <v>36.83</v>
      </c>
      <c r="H42" s="26">
        <v>9.1999999999999993</v>
      </c>
      <c r="I42" s="53"/>
      <c r="J42" s="55"/>
      <c r="K42" s="7"/>
      <c r="L42" s="7"/>
      <c r="M42" s="7"/>
      <c r="N42" s="30" t="s">
        <v>29</v>
      </c>
    </row>
    <row r="43" spans="1:14" ht="14.1" customHeight="1" x14ac:dyDescent="0.3">
      <c r="A43" s="16">
        <v>11</v>
      </c>
      <c r="B43" s="31">
        <v>5</v>
      </c>
      <c r="C43" s="17" t="s">
        <v>18</v>
      </c>
      <c r="D43" s="17" t="s">
        <v>19</v>
      </c>
      <c r="E43" s="17" t="s">
        <v>20</v>
      </c>
      <c r="F43" s="18">
        <v>10</v>
      </c>
      <c r="G43" s="18">
        <f t="shared" si="0"/>
        <v>25.4</v>
      </c>
      <c r="H43" s="18">
        <v>6.58</v>
      </c>
      <c r="I43" s="56"/>
      <c r="J43" s="54" t="s">
        <v>19</v>
      </c>
      <c r="K43" s="7"/>
      <c r="L43" s="31">
        <v>94.3</v>
      </c>
      <c r="M43" s="31">
        <v>19.579999999999998</v>
      </c>
      <c r="N43" s="7"/>
    </row>
    <row r="44" spans="1:14" ht="14.1" customHeight="1" x14ac:dyDescent="0.3">
      <c r="A44" s="24">
        <v>12</v>
      </c>
      <c r="B44" s="31">
        <v>1</v>
      </c>
      <c r="C44" s="25" t="s">
        <v>14</v>
      </c>
      <c r="D44" s="25" t="s">
        <v>19</v>
      </c>
      <c r="E44" s="25" t="s">
        <v>20</v>
      </c>
      <c r="F44" s="26">
        <v>16.5</v>
      </c>
      <c r="G44" s="18">
        <f t="shared" si="0"/>
        <v>41.91</v>
      </c>
      <c r="H44" s="26">
        <v>5.56</v>
      </c>
      <c r="I44" s="53"/>
      <c r="J44" s="54" t="s">
        <v>19</v>
      </c>
      <c r="K44" s="7"/>
      <c r="L44" s="31">
        <v>90.5</v>
      </c>
      <c r="M44" s="31">
        <v>8.57</v>
      </c>
      <c r="N44" s="7"/>
    </row>
    <row r="45" spans="1:14" ht="14.1" customHeight="1" x14ac:dyDescent="0.3">
      <c r="A45" s="16">
        <v>12</v>
      </c>
      <c r="B45" s="31">
        <v>2</v>
      </c>
      <c r="C45" s="17" t="s">
        <v>18</v>
      </c>
      <c r="D45" s="17" t="s">
        <v>19</v>
      </c>
      <c r="E45" s="17" t="s">
        <v>20</v>
      </c>
      <c r="F45" s="18">
        <v>14.5</v>
      </c>
      <c r="G45" s="18">
        <f t="shared" si="0"/>
        <v>36.83</v>
      </c>
      <c r="H45" s="18">
        <v>10.25</v>
      </c>
      <c r="I45" s="51"/>
      <c r="J45" s="54" t="s">
        <v>24</v>
      </c>
      <c r="K45" s="30" t="s">
        <v>24</v>
      </c>
      <c r="L45" s="30" t="s">
        <v>24</v>
      </c>
      <c r="M45" s="30" t="s">
        <v>24</v>
      </c>
      <c r="N45" s="30" t="s">
        <v>21</v>
      </c>
    </row>
    <row r="46" spans="1:14" ht="14.1" customHeight="1" x14ac:dyDescent="0.3">
      <c r="A46" s="24">
        <v>12</v>
      </c>
      <c r="B46" s="31">
        <v>3</v>
      </c>
      <c r="C46" s="25" t="s">
        <v>18</v>
      </c>
      <c r="D46" s="25" t="s">
        <v>19</v>
      </c>
      <c r="E46" s="25" t="s">
        <v>20</v>
      </c>
      <c r="F46" s="26">
        <v>10</v>
      </c>
      <c r="G46" s="18">
        <f t="shared" si="0"/>
        <v>25.4</v>
      </c>
      <c r="H46" s="26">
        <v>6.42</v>
      </c>
      <c r="I46" s="53"/>
      <c r="J46" s="54" t="s">
        <v>19</v>
      </c>
      <c r="K46" s="7"/>
      <c r="L46" s="31">
        <v>55.2</v>
      </c>
      <c r="M46" s="31">
        <v>10.63</v>
      </c>
      <c r="N46" s="7"/>
    </row>
    <row r="47" spans="1:14" ht="14.1" customHeight="1" x14ac:dyDescent="0.3">
      <c r="A47" s="16">
        <v>12</v>
      </c>
      <c r="B47" s="31">
        <v>4</v>
      </c>
      <c r="C47" s="17" t="s">
        <v>18</v>
      </c>
      <c r="D47" s="17" t="s">
        <v>19</v>
      </c>
      <c r="E47" s="17" t="s">
        <v>20</v>
      </c>
      <c r="F47" s="18">
        <v>16</v>
      </c>
      <c r="G47" s="18">
        <f t="shared" si="0"/>
        <v>40.64</v>
      </c>
      <c r="H47" s="18">
        <v>6.03</v>
      </c>
      <c r="I47" s="51"/>
      <c r="J47" s="54" t="s">
        <v>19</v>
      </c>
      <c r="K47" s="7"/>
      <c r="L47" s="7"/>
      <c r="M47" s="7"/>
      <c r="N47" s="30" t="s">
        <v>29</v>
      </c>
    </row>
    <row r="48" spans="1:14" ht="14.1" customHeight="1" x14ac:dyDescent="0.3">
      <c r="A48" s="24">
        <v>12</v>
      </c>
      <c r="B48" s="31">
        <v>5</v>
      </c>
      <c r="C48" s="25" t="s">
        <v>14</v>
      </c>
      <c r="D48" s="25" t="s">
        <v>19</v>
      </c>
      <c r="E48" s="25" t="s">
        <v>20</v>
      </c>
      <c r="F48" s="26">
        <v>18.5</v>
      </c>
      <c r="G48" s="18">
        <f t="shared" si="0"/>
        <v>46.989999999999995</v>
      </c>
      <c r="H48" s="26">
        <v>3.58</v>
      </c>
      <c r="I48" s="53"/>
      <c r="J48" s="54" t="s">
        <v>19</v>
      </c>
      <c r="K48" s="7"/>
      <c r="L48" s="31">
        <v>143</v>
      </c>
      <c r="M48" s="31">
        <v>19.12</v>
      </c>
      <c r="N48" s="7"/>
    </row>
    <row r="49" spans="1:14" ht="14.1" customHeight="1" x14ac:dyDescent="0.3">
      <c r="A49" s="16">
        <v>13</v>
      </c>
      <c r="B49" s="31">
        <v>1</v>
      </c>
      <c r="C49" s="17" t="s">
        <v>18</v>
      </c>
      <c r="D49" s="17" t="s">
        <v>19</v>
      </c>
      <c r="E49" s="17" t="s">
        <v>20</v>
      </c>
      <c r="F49" s="18">
        <v>18</v>
      </c>
      <c r="G49" s="18">
        <f t="shared" si="0"/>
        <v>45.72</v>
      </c>
      <c r="H49" s="18">
        <v>11</v>
      </c>
      <c r="I49" s="51"/>
      <c r="J49" s="54" t="s">
        <v>19</v>
      </c>
      <c r="K49" s="7"/>
      <c r="L49" s="31">
        <v>102</v>
      </c>
      <c r="M49" s="31">
        <v>14.2</v>
      </c>
      <c r="N49" s="7"/>
    </row>
    <row r="50" spans="1:14" ht="14.1" customHeight="1" x14ac:dyDescent="0.3">
      <c r="A50" s="24">
        <v>13</v>
      </c>
      <c r="B50" s="31">
        <v>2</v>
      </c>
      <c r="C50" s="25" t="s">
        <v>14</v>
      </c>
      <c r="D50" s="25" t="s">
        <v>19</v>
      </c>
      <c r="E50" s="25" t="s">
        <v>20</v>
      </c>
      <c r="F50" s="26">
        <v>18</v>
      </c>
      <c r="G50" s="18">
        <f t="shared" si="0"/>
        <v>45.72</v>
      </c>
      <c r="H50" s="26">
        <v>5.22</v>
      </c>
      <c r="I50" s="53"/>
      <c r="J50" s="54" t="s">
        <v>19</v>
      </c>
      <c r="K50" s="7"/>
      <c r="L50" s="31">
        <v>125</v>
      </c>
      <c r="M50" s="31">
        <v>15.7</v>
      </c>
      <c r="N50" s="7"/>
    </row>
    <row r="51" spans="1:14" ht="14.1" customHeight="1" x14ac:dyDescent="0.3">
      <c r="A51" s="16">
        <v>13</v>
      </c>
      <c r="B51" s="31">
        <v>3</v>
      </c>
      <c r="C51" s="17" t="s">
        <v>14</v>
      </c>
      <c r="D51" s="17" t="s">
        <v>19</v>
      </c>
      <c r="E51" s="17" t="s">
        <v>20</v>
      </c>
      <c r="F51" s="18">
        <v>21.5</v>
      </c>
      <c r="G51" s="18">
        <f t="shared" si="0"/>
        <v>54.61</v>
      </c>
      <c r="H51" s="18">
        <v>6.12</v>
      </c>
      <c r="I51" s="51"/>
      <c r="J51" s="54" t="s">
        <v>19</v>
      </c>
      <c r="K51" s="7"/>
      <c r="L51" s="31">
        <v>48</v>
      </c>
      <c r="M51" s="31">
        <v>7.05</v>
      </c>
      <c r="N51" s="7"/>
    </row>
    <row r="52" spans="1:14" ht="14.1" customHeight="1" x14ac:dyDescent="0.3">
      <c r="A52" s="24">
        <v>14</v>
      </c>
      <c r="B52" s="31">
        <v>1</v>
      </c>
      <c r="C52" s="25" t="s">
        <v>14</v>
      </c>
      <c r="D52" s="25" t="s">
        <v>19</v>
      </c>
      <c r="E52" s="25" t="s">
        <v>20</v>
      </c>
      <c r="F52" s="26">
        <v>19</v>
      </c>
      <c r="G52" s="18">
        <f t="shared" si="0"/>
        <v>48.26</v>
      </c>
      <c r="H52" s="26">
        <v>4.3499999999999996</v>
      </c>
      <c r="I52" s="53"/>
      <c r="J52" s="54" t="s">
        <v>19</v>
      </c>
      <c r="K52" s="30"/>
      <c r="L52" s="31">
        <v>130.5</v>
      </c>
      <c r="M52" s="31">
        <v>16.739999999999998</v>
      </c>
      <c r="N52" s="7"/>
    </row>
    <row r="53" spans="1:14" ht="14.1" customHeight="1" x14ac:dyDescent="0.3">
      <c r="A53" s="16">
        <v>14</v>
      </c>
      <c r="B53" s="31">
        <v>2</v>
      </c>
      <c r="C53" s="17" t="s">
        <v>18</v>
      </c>
      <c r="D53" s="17" t="s">
        <v>19</v>
      </c>
      <c r="E53" s="17" t="s">
        <v>20</v>
      </c>
      <c r="F53" s="18">
        <v>23.5</v>
      </c>
      <c r="G53" s="18">
        <f t="shared" si="0"/>
        <v>59.69</v>
      </c>
      <c r="H53" s="18">
        <v>10.44</v>
      </c>
      <c r="I53" s="51"/>
      <c r="J53" s="54" t="s">
        <v>19</v>
      </c>
      <c r="K53" s="30"/>
      <c r="L53" s="31">
        <v>67</v>
      </c>
      <c r="M53" s="31">
        <v>13</v>
      </c>
      <c r="N53" s="7"/>
    </row>
    <row r="54" spans="1:14" ht="14.1" customHeight="1" x14ac:dyDescent="0.3">
      <c r="A54" s="24">
        <v>14</v>
      </c>
      <c r="B54" s="31">
        <v>3</v>
      </c>
      <c r="C54" s="25" t="s">
        <v>14</v>
      </c>
      <c r="D54" s="25" t="s">
        <v>19</v>
      </c>
      <c r="E54" s="25" t="s">
        <v>20</v>
      </c>
      <c r="F54" s="26">
        <v>15</v>
      </c>
      <c r="G54" s="18">
        <f t="shared" si="0"/>
        <v>38.1</v>
      </c>
      <c r="H54" s="26">
        <v>4.1900000000000004</v>
      </c>
      <c r="I54" s="53"/>
      <c r="J54" s="54" t="s">
        <v>19</v>
      </c>
      <c r="K54" s="7"/>
      <c r="L54" s="31">
        <v>71.5</v>
      </c>
      <c r="M54" s="31">
        <v>7.42</v>
      </c>
      <c r="N54" s="31"/>
    </row>
    <row r="55" spans="1:14" ht="14.1" customHeight="1" x14ac:dyDescent="0.3">
      <c r="A55" s="16">
        <v>15</v>
      </c>
      <c r="B55" s="31">
        <v>1</v>
      </c>
      <c r="C55" s="17" t="s">
        <v>14</v>
      </c>
      <c r="D55" s="17" t="s">
        <v>19</v>
      </c>
      <c r="E55" s="17" t="s">
        <v>20</v>
      </c>
      <c r="F55" s="18">
        <v>19.5</v>
      </c>
      <c r="G55" s="18">
        <f t="shared" si="0"/>
        <v>49.53</v>
      </c>
      <c r="H55" s="18">
        <v>4.4000000000000004</v>
      </c>
      <c r="I55" s="51"/>
      <c r="J55" s="52"/>
      <c r="K55" s="7"/>
      <c r="L55" s="7"/>
      <c r="M55" s="7"/>
      <c r="N55" s="30" t="s">
        <v>29</v>
      </c>
    </row>
    <row r="56" spans="1:14" ht="14.1" customHeight="1" x14ac:dyDescent="0.3">
      <c r="A56" s="24">
        <v>15</v>
      </c>
      <c r="B56" s="31">
        <v>2</v>
      </c>
      <c r="C56" s="25" t="s">
        <v>14</v>
      </c>
      <c r="D56" s="25" t="s">
        <v>19</v>
      </c>
      <c r="E56" s="25" t="s">
        <v>20</v>
      </c>
      <c r="F56" s="26">
        <v>22</v>
      </c>
      <c r="G56" s="18">
        <f t="shared" si="0"/>
        <v>55.879999999999995</v>
      </c>
      <c r="H56" s="26">
        <v>9.25</v>
      </c>
      <c r="I56" s="53"/>
      <c r="J56" s="52" t="s">
        <v>19</v>
      </c>
      <c r="K56" s="7"/>
      <c r="L56" s="31">
        <v>127</v>
      </c>
      <c r="M56" s="31">
        <v>17.579999999999998</v>
      </c>
      <c r="N56" s="7"/>
    </row>
    <row r="57" spans="1:14" ht="14.1" customHeight="1" x14ac:dyDescent="0.3">
      <c r="A57" s="16">
        <v>15</v>
      </c>
      <c r="B57" s="31">
        <v>3</v>
      </c>
      <c r="C57" s="17" t="s">
        <v>18</v>
      </c>
      <c r="D57" s="17" t="s">
        <v>19</v>
      </c>
      <c r="E57" s="17" t="s">
        <v>20</v>
      </c>
      <c r="F57" s="18">
        <v>15</v>
      </c>
      <c r="G57" s="18">
        <f t="shared" si="0"/>
        <v>38.1</v>
      </c>
      <c r="H57" s="18">
        <v>7.07</v>
      </c>
      <c r="I57" s="51"/>
      <c r="J57" s="52" t="s">
        <v>19</v>
      </c>
      <c r="K57" s="7"/>
      <c r="L57" s="31">
        <v>37.4</v>
      </c>
      <c r="M57" s="31">
        <v>7.57</v>
      </c>
      <c r="N57" s="7"/>
    </row>
    <row r="58" spans="1:14" ht="14.1" customHeight="1" x14ac:dyDescent="0.3">
      <c r="A58" s="24">
        <v>16</v>
      </c>
      <c r="B58" s="31">
        <v>1</v>
      </c>
      <c r="C58" s="25" t="s">
        <v>18</v>
      </c>
      <c r="D58" s="25" t="s">
        <v>19</v>
      </c>
      <c r="E58" s="25" t="s">
        <v>20</v>
      </c>
      <c r="F58" s="26">
        <v>24.5</v>
      </c>
      <c r="G58" s="18">
        <f t="shared" si="0"/>
        <v>62.23</v>
      </c>
      <c r="H58" s="26">
        <v>12.41</v>
      </c>
      <c r="I58" s="53"/>
      <c r="J58" s="52" t="s">
        <v>19</v>
      </c>
      <c r="K58" s="7"/>
      <c r="L58" s="31">
        <v>121.3</v>
      </c>
      <c r="M58" s="31">
        <v>14.52</v>
      </c>
      <c r="N58" s="7"/>
    </row>
    <row r="59" spans="1:14" ht="14.1" customHeight="1" x14ac:dyDescent="0.3">
      <c r="A59" s="16">
        <v>16</v>
      </c>
      <c r="B59" s="31">
        <v>2</v>
      </c>
      <c r="C59" s="17" t="s">
        <v>18</v>
      </c>
      <c r="D59" s="17" t="s">
        <v>19</v>
      </c>
      <c r="E59" s="17" t="s">
        <v>20</v>
      </c>
      <c r="F59" s="18">
        <v>16</v>
      </c>
      <c r="G59" s="18">
        <f t="shared" si="0"/>
        <v>40.64</v>
      </c>
      <c r="H59" s="18">
        <v>8.1199999999999992</v>
      </c>
      <c r="I59" s="51"/>
      <c r="J59" s="52" t="s">
        <v>19</v>
      </c>
      <c r="K59" s="7"/>
      <c r="L59" s="7"/>
      <c r="M59" s="7"/>
      <c r="N59" s="30" t="s">
        <v>29</v>
      </c>
    </row>
    <row r="60" spans="1:14" ht="14.1" customHeight="1" x14ac:dyDescent="0.3">
      <c r="A60" s="24">
        <v>16</v>
      </c>
      <c r="B60" s="31">
        <v>3</v>
      </c>
      <c r="C60" s="25" t="s">
        <v>14</v>
      </c>
      <c r="D60" s="25" t="s">
        <v>19</v>
      </c>
      <c r="E60" s="25" t="s">
        <v>20</v>
      </c>
      <c r="F60" s="26">
        <v>18</v>
      </c>
      <c r="G60" s="18">
        <f t="shared" si="0"/>
        <v>45.72</v>
      </c>
      <c r="H60" s="26">
        <v>5.24</v>
      </c>
      <c r="I60" s="53"/>
      <c r="J60" s="52" t="s">
        <v>24</v>
      </c>
      <c r="K60" s="7"/>
      <c r="L60" s="30" t="s">
        <v>24</v>
      </c>
      <c r="M60" s="30" t="s">
        <v>24</v>
      </c>
      <c r="N60" s="30" t="s">
        <v>21</v>
      </c>
    </row>
    <row r="61" spans="1:14" ht="14.1" customHeight="1" x14ac:dyDescent="0.3">
      <c r="A61" s="16">
        <v>16</v>
      </c>
      <c r="B61" s="31">
        <v>4</v>
      </c>
      <c r="C61" s="17" t="s">
        <v>14</v>
      </c>
      <c r="D61" s="17" t="s">
        <v>19</v>
      </c>
      <c r="E61" s="17" t="s">
        <v>20</v>
      </c>
      <c r="F61" s="18">
        <v>18.5</v>
      </c>
      <c r="G61" s="18">
        <f t="shared" si="0"/>
        <v>46.989999999999995</v>
      </c>
      <c r="H61" s="18">
        <v>3.6</v>
      </c>
      <c r="I61" s="56"/>
      <c r="J61" s="52" t="s">
        <v>19</v>
      </c>
      <c r="K61" s="7"/>
      <c r="L61" s="31">
        <v>48</v>
      </c>
      <c r="M61" s="31">
        <v>5.87</v>
      </c>
      <c r="N61" s="30" t="s">
        <v>40</v>
      </c>
    </row>
    <row r="62" spans="1:14" ht="14.1" customHeight="1" x14ac:dyDescent="0.3">
      <c r="A62" s="16">
        <v>16</v>
      </c>
      <c r="B62" s="31">
        <v>5</v>
      </c>
      <c r="C62" s="35"/>
      <c r="D62" s="35"/>
      <c r="E62" s="35"/>
      <c r="F62" s="35"/>
      <c r="G62" s="18"/>
      <c r="H62" s="35"/>
      <c r="I62" s="35"/>
      <c r="J62" s="52" t="s">
        <v>19</v>
      </c>
      <c r="K62" s="7"/>
      <c r="L62" s="31">
        <v>54.6</v>
      </c>
      <c r="M62" s="31">
        <v>7.7</v>
      </c>
      <c r="N62" s="7"/>
    </row>
  </sheetData>
  <mergeCells count="1">
    <mergeCell ref="A2:H2"/>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X72"/>
  <sheetViews>
    <sheetView showGridLines="0" topLeftCell="D1" workbookViewId="0">
      <selection activeCell="K62" sqref="K62"/>
    </sheetView>
  </sheetViews>
  <sheetFormatPr defaultColWidth="8.88671875" defaultRowHeight="14.1" customHeight="1" x14ac:dyDescent="0.3"/>
  <cols>
    <col min="1" max="2" width="9.109375" style="5" customWidth="1"/>
    <col min="3" max="3" width="12.109375" style="5" customWidth="1"/>
    <col min="4" max="4" width="18.109375" style="5" customWidth="1"/>
    <col min="5" max="5" width="30.109375" style="5" customWidth="1"/>
    <col min="6" max="7" width="16" style="5" customWidth="1"/>
    <col min="8" max="8" width="18" style="5" customWidth="1"/>
    <col min="9" max="9" width="11.88671875" style="5" customWidth="1"/>
    <col min="10" max="10" width="12.88671875" style="5" customWidth="1"/>
    <col min="11" max="11" width="10.6640625" style="5" customWidth="1"/>
    <col min="12" max="12" width="10.44140625" style="5" customWidth="1"/>
    <col min="13" max="13" width="14.6640625" style="5" customWidth="1"/>
    <col min="14" max="16" width="9.6640625" style="5" customWidth="1"/>
    <col min="17" max="258" width="8.88671875" style="5" customWidth="1"/>
  </cols>
  <sheetData>
    <row r="1" spans="1:16" ht="14.1" customHeight="1" x14ac:dyDescent="0.3">
      <c r="A1" s="6"/>
      <c r="B1" s="6"/>
      <c r="C1" s="6"/>
      <c r="D1" s="6"/>
      <c r="E1" s="6"/>
      <c r="F1" s="6"/>
      <c r="G1" s="6"/>
      <c r="H1" s="6"/>
      <c r="I1" s="7"/>
      <c r="J1" s="7"/>
      <c r="K1" s="7"/>
      <c r="L1" s="7"/>
      <c r="M1" s="7"/>
      <c r="N1" s="7"/>
      <c r="O1" s="7"/>
      <c r="P1" s="7"/>
    </row>
    <row r="2" spans="1:16" ht="14.1" customHeight="1" x14ac:dyDescent="0.3">
      <c r="A2" s="63" t="s">
        <v>42</v>
      </c>
      <c r="B2" s="64"/>
      <c r="C2" s="65"/>
      <c r="D2" s="65"/>
      <c r="E2" s="65"/>
      <c r="F2" s="65"/>
      <c r="G2" s="65"/>
      <c r="H2" s="65"/>
      <c r="I2" s="8"/>
      <c r="J2" s="7"/>
      <c r="K2" s="7"/>
      <c r="L2" s="7"/>
      <c r="M2" s="7"/>
      <c r="N2" s="7"/>
      <c r="O2" s="7"/>
      <c r="P2" s="7"/>
    </row>
    <row r="3" spans="1:16" ht="14.1" customHeight="1" x14ac:dyDescent="0.3">
      <c r="A3" s="37"/>
      <c r="B3" s="37"/>
      <c r="C3" s="37"/>
      <c r="D3" s="10">
        <v>42467</v>
      </c>
      <c r="E3" s="10">
        <v>42467</v>
      </c>
      <c r="F3" s="10">
        <v>42467</v>
      </c>
      <c r="G3" s="10"/>
      <c r="H3" s="10">
        <v>42467</v>
      </c>
      <c r="I3" s="11">
        <v>42467</v>
      </c>
      <c r="J3" s="11">
        <v>43314</v>
      </c>
      <c r="K3" s="11">
        <v>43314</v>
      </c>
      <c r="L3" s="11">
        <v>43314</v>
      </c>
      <c r="M3" s="11">
        <v>43314</v>
      </c>
      <c r="N3" s="11">
        <v>43314</v>
      </c>
      <c r="O3" s="11"/>
      <c r="P3" s="11"/>
    </row>
    <row r="4" spans="1:16" ht="14.1" customHeight="1" x14ac:dyDescent="0.3">
      <c r="A4" s="12" t="s">
        <v>38</v>
      </c>
      <c r="B4" s="13" t="s">
        <v>47</v>
      </c>
      <c r="C4" s="13" t="s">
        <v>8</v>
      </c>
      <c r="D4" s="13" t="s">
        <v>9</v>
      </c>
      <c r="E4" s="13" t="s">
        <v>43</v>
      </c>
      <c r="F4" s="13" t="s">
        <v>11</v>
      </c>
      <c r="G4" s="13" t="s">
        <v>39</v>
      </c>
      <c r="H4" s="13" t="s">
        <v>44</v>
      </c>
      <c r="I4" s="14" t="s">
        <v>13</v>
      </c>
      <c r="J4" s="12" t="s">
        <v>9</v>
      </c>
      <c r="K4" s="13" t="s">
        <v>10</v>
      </c>
      <c r="L4" s="13" t="s">
        <v>11</v>
      </c>
      <c r="M4" s="14" t="s">
        <v>12</v>
      </c>
      <c r="N4" s="15" t="s">
        <v>13</v>
      </c>
      <c r="O4" s="15"/>
      <c r="P4" s="15"/>
    </row>
    <row r="5" spans="1:16" ht="14.1" customHeight="1" x14ac:dyDescent="0.3">
      <c r="A5" s="16">
        <v>1</v>
      </c>
      <c r="B5" s="23">
        <v>1</v>
      </c>
      <c r="C5" s="17" t="s">
        <v>18</v>
      </c>
      <c r="D5" s="17" t="s">
        <v>19</v>
      </c>
      <c r="E5" s="17" t="s">
        <v>20</v>
      </c>
      <c r="F5" s="18">
        <v>17</v>
      </c>
      <c r="G5" s="18">
        <f>CONVERT(F5,"in","cm")</f>
        <v>43.18</v>
      </c>
      <c r="H5" s="18">
        <v>11.78</v>
      </c>
      <c r="I5" s="57"/>
      <c r="J5" s="21" t="s">
        <v>19</v>
      </c>
      <c r="K5" s="35"/>
      <c r="L5" s="23">
        <v>105</v>
      </c>
      <c r="M5" s="23">
        <v>12.63</v>
      </c>
      <c r="N5" s="35"/>
      <c r="O5" s="35"/>
      <c r="P5" s="35"/>
    </row>
    <row r="6" spans="1:16" ht="14.1" customHeight="1" x14ac:dyDescent="0.3">
      <c r="A6" s="24">
        <v>1</v>
      </c>
      <c r="B6" s="31">
        <v>2</v>
      </c>
      <c r="C6" s="25" t="s">
        <v>14</v>
      </c>
      <c r="D6" s="25" t="s">
        <v>19</v>
      </c>
      <c r="E6" s="25" t="s">
        <v>20</v>
      </c>
      <c r="F6" s="26">
        <v>16</v>
      </c>
      <c r="G6" s="18">
        <f t="shared" ref="G6:G69" si="0">CONVERT(F6,"in","cm")</f>
        <v>40.64</v>
      </c>
      <c r="H6" s="26">
        <v>3.38</v>
      </c>
      <c r="I6" s="58"/>
      <c r="J6" s="29" t="s">
        <v>19</v>
      </c>
      <c r="K6" s="7"/>
      <c r="L6" s="7"/>
      <c r="M6" s="7"/>
      <c r="N6" s="30" t="s">
        <v>21</v>
      </c>
      <c r="O6" s="7"/>
      <c r="P6" s="7"/>
    </row>
    <row r="7" spans="1:16" ht="14.1" customHeight="1" x14ac:dyDescent="0.3">
      <c r="A7" s="16">
        <v>1</v>
      </c>
      <c r="B7" s="31">
        <v>3</v>
      </c>
      <c r="C7" s="17" t="s">
        <v>14</v>
      </c>
      <c r="D7" s="17" t="s">
        <v>19</v>
      </c>
      <c r="E7" s="17" t="s">
        <v>20</v>
      </c>
      <c r="F7" s="18">
        <v>18.5</v>
      </c>
      <c r="G7" s="18">
        <f t="shared" si="0"/>
        <v>46.989999999999995</v>
      </c>
      <c r="H7" s="18">
        <v>4.79</v>
      </c>
      <c r="I7" s="57"/>
      <c r="J7" s="29" t="s">
        <v>19</v>
      </c>
      <c r="K7" s="7"/>
      <c r="L7" s="31">
        <v>93</v>
      </c>
      <c r="M7" s="31">
        <v>18.399999999999999</v>
      </c>
      <c r="N7" s="7"/>
      <c r="O7" s="7"/>
      <c r="P7" s="7"/>
    </row>
    <row r="8" spans="1:16" ht="14.1" customHeight="1" x14ac:dyDescent="0.3">
      <c r="A8" s="24">
        <v>1</v>
      </c>
      <c r="B8" s="31">
        <v>4</v>
      </c>
      <c r="C8" s="25" t="s">
        <v>14</v>
      </c>
      <c r="D8" s="25" t="s">
        <v>19</v>
      </c>
      <c r="E8" s="25" t="s">
        <v>20</v>
      </c>
      <c r="F8" s="26">
        <v>19</v>
      </c>
      <c r="G8" s="18">
        <f t="shared" si="0"/>
        <v>48.26</v>
      </c>
      <c r="H8" s="26">
        <v>4.41</v>
      </c>
      <c r="I8" s="58"/>
      <c r="J8" s="29" t="s">
        <v>19</v>
      </c>
      <c r="K8" s="7"/>
      <c r="L8" s="7"/>
      <c r="M8" s="7"/>
      <c r="N8" s="30" t="s">
        <v>21</v>
      </c>
      <c r="O8" s="7"/>
      <c r="P8" s="7"/>
    </row>
    <row r="9" spans="1:16" ht="14.1" customHeight="1" x14ac:dyDescent="0.3">
      <c r="A9" s="16">
        <v>2</v>
      </c>
      <c r="B9" s="31">
        <v>1</v>
      </c>
      <c r="C9" s="17" t="s">
        <v>18</v>
      </c>
      <c r="D9" s="17" t="s">
        <v>19</v>
      </c>
      <c r="E9" s="17" t="s">
        <v>20</v>
      </c>
      <c r="F9" s="18">
        <v>18.5</v>
      </c>
      <c r="G9" s="18">
        <f t="shared" si="0"/>
        <v>46.989999999999995</v>
      </c>
      <c r="H9" s="18">
        <v>9.7200000000000006</v>
      </c>
      <c r="I9" s="57"/>
      <c r="J9" s="29" t="s">
        <v>19</v>
      </c>
      <c r="K9" s="7"/>
      <c r="L9" s="31">
        <v>97.5</v>
      </c>
      <c r="M9" s="31">
        <v>16.739999999999998</v>
      </c>
      <c r="N9" s="7"/>
      <c r="O9" s="7"/>
      <c r="P9" s="7"/>
    </row>
    <row r="10" spans="1:16" ht="14.1" customHeight="1" x14ac:dyDescent="0.3">
      <c r="A10" s="24">
        <v>2</v>
      </c>
      <c r="B10" s="31">
        <v>2</v>
      </c>
      <c r="C10" s="25" t="s">
        <v>18</v>
      </c>
      <c r="D10" s="25" t="s">
        <v>19</v>
      </c>
      <c r="E10" s="25" t="s">
        <v>20</v>
      </c>
      <c r="F10" s="26">
        <v>24</v>
      </c>
      <c r="G10" s="18">
        <f t="shared" si="0"/>
        <v>60.96</v>
      </c>
      <c r="H10" s="26">
        <v>9.27</v>
      </c>
      <c r="I10" s="58"/>
      <c r="J10" s="29" t="s">
        <v>19</v>
      </c>
      <c r="K10" s="7"/>
      <c r="L10" s="31">
        <v>71.5</v>
      </c>
      <c r="M10" s="31">
        <v>13.8</v>
      </c>
      <c r="N10" s="7"/>
      <c r="O10" s="7"/>
      <c r="P10" s="7"/>
    </row>
    <row r="11" spans="1:16" ht="14.1" customHeight="1" x14ac:dyDescent="0.3">
      <c r="A11" s="16">
        <v>2</v>
      </c>
      <c r="B11" s="31">
        <v>3</v>
      </c>
      <c r="C11" s="17" t="s">
        <v>14</v>
      </c>
      <c r="D11" s="17" t="s">
        <v>19</v>
      </c>
      <c r="E11" s="17" t="s">
        <v>20</v>
      </c>
      <c r="F11" s="18">
        <v>15.5</v>
      </c>
      <c r="G11" s="18">
        <f t="shared" si="0"/>
        <v>39.369999999999997</v>
      </c>
      <c r="H11" s="18">
        <v>6.37</v>
      </c>
      <c r="I11" s="57"/>
      <c r="J11" s="29" t="s">
        <v>19</v>
      </c>
      <c r="K11" s="7"/>
      <c r="L11" s="31">
        <v>149</v>
      </c>
      <c r="M11" s="31">
        <v>25.8</v>
      </c>
      <c r="N11" s="7"/>
      <c r="O11" s="7"/>
      <c r="P11" s="7"/>
    </row>
    <row r="12" spans="1:16" ht="14.1" customHeight="1" x14ac:dyDescent="0.3">
      <c r="A12" s="24">
        <v>3</v>
      </c>
      <c r="B12" s="31">
        <v>1</v>
      </c>
      <c r="C12" s="25" t="s">
        <v>18</v>
      </c>
      <c r="D12" s="25" t="s">
        <v>19</v>
      </c>
      <c r="E12" s="25" t="s">
        <v>20</v>
      </c>
      <c r="F12" s="26">
        <v>19.5</v>
      </c>
      <c r="G12" s="18">
        <f t="shared" si="0"/>
        <v>49.53</v>
      </c>
      <c r="H12" s="26">
        <v>11.07</v>
      </c>
      <c r="I12" s="58"/>
      <c r="J12" s="29" t="s">
        <v>19</v>
      </c>
      <c r="K12" s="7"/>
      <c r="L12" s="31">
        <v>157.5</v>
      </c>
      <c r="M12" s="31">
        <v>16.86</v>
      </c>
      <c r="N12" s="7"/>
      <c r="O12" s="7"/>
      <c r="P12" s="7"/>
    </row>
    <row r="13" spans="1:16" ht="14.1" customHeight="1" x14ac:dyDescent="0.3">
      <c r="A13" s="16">
        <v>3</v>
      </c>
      <c r="B13" s="31">
        <v>2</v>
      </c>
      <c r="C13" s="17" t="s">
        <v>18</v>
      </c>
      <c r="D13" s="17" t="s">
        <v>19</v>
      </c>
      <c r="E13" s="17" t="s">
        <v>20</v>
      </c>
      <c r="F13" s="18">
        <v>16</v>
      </c>
      <c r="G13" s="18">
        <f t="shared" si="0"/>
        <v>40.64</v>
      </c>
      <c r="H13" s="18">
        <v>10.9</v>
      </c>
      <c r="I13" s="57"/>
      <c r="J13" s="29" t="s">
        <v>19</v>
      </c>
      <c r="K13" s="7"/>
      <c r="L13" s="31">
        <v>158</v>
      </c>
      <c r="M13" s="31">
        <v>23.5</v>
      </c>
      <c r="N13" s="7"/>
      <c r="O13" s="7"/>
      <c r="P13" s="7"/>
    </row>
    <row r="14" spans="1:16" ht="14.1" customHeight="1" x14ac:dyDescent="0.3">
      <c r="A14" s="24">
        <v>3</v>
      </c>
      <c r="B14" s="31">
        <v>3</v>
      </c>
      <c r="C14" s="25" t="s">
        <v>14</v>
      </c>
      <c r="D14" s="25" t="s">
        <v>19</v>
      </c>
      <c r="E14" s="25" t="s">
        <v>20</v>
      </c>
      <c r="F14" s="26">
        <v>12</v>
      </c>
      <c r="G14" s="18">
        <f t="shared" si="0"/>
        <v>30.48</v>
      </c>
      <c r="H14" s="26">
        <v>4.9000000000000004</v>
      </c>
      <c r="I14" s="58"/>
      <c r="J14" s="29" t="s">
        <v>19</v>
      </c>
      <c r="K14" s="7"/>
      <c r="L14" s="31">
        <v>90</v>
      </c>
      <c r="M14" s="31">
        <v>14.25</v>
      </c>
      <c r="N14" s="7"/>
      <c r="O14" s="7"/>
      <c r="P14" s="7"/>
    </row>
    <row r="15" spans="1:16" ht="14.1" customHeight="1" x14ac:dyDescent="0.3">
      <c r="A15" s="16">
        <v>4</v>
      </c>
      <c r="B15" s="31">
        <v>1</v>
      </c>
      <c r="C15" s="17" t="s">
        <v>14</v>
      </c>
      <c r="D15" s="17" t="s">
        <v>19</v>
      </c>
      <c r="E15" s="17" t="s">
        <v>20</v>
      </c>
      <c r="F15" s="18">
        <v>13.5</v>
      </c>
      <c r="G15" s="18">
        <f t="shared" si="0"/>
        <v>34.29</v>
      </c>
      <c r="H15" s="18">
        <v>2.94</v>
      </c>
      <c r="I15" s="57"/>
      <c r="J15" s="29" t="s">
        <v>19</v>
      </c>
      <c r="K15" s="7"/>
      <c r="L15" s="31">
        <v>105</v>
      </c>
      <c r="M15" s="31">
        <v>17.059999999999999</v>
      </c>
      <c r="N15" s="7"/>
      <c r="O15" s="7"/>
      <c r="P15" s="7"/>
    </row>
    <row r="16" spans="1:16" ht="14.1" customHeight="1" x14ac:dyDescent="0.3">
      <c r="A16" s="24">
        <v>4</v>
      </c>
      <c r="B16" s="31">
        <v>2</v>
      </c>
      <c r="C16" s="25" t="s">
        <v>14</v>
      </c>
      <c r="D16" s="25" t="s">
        <v>19</v>
      </c>
      <c r="E16" s="25" t="s">
        <v>20</v>
      </c>
      <c r="F16" s="26">
        <v>11</v>
      </c>
      <c r="G16" s="18">
        <f t="shared" si="0"/>
        <v>27.939999999999998</v>
      </c>
      <c r="H16" s="26">
        <v>2.69</v>
      </c>
      <c r="I16" s="58"/>
      <c r="J16" s="29" t="s">
        <v>19</v>
      </c>
      <c r="K16" s="7"/>
      <c r="L16" s="31">
        <v>103</v>
      </c>
      <c r="M16" s="31">
        <v>15.11</v>
      </c>
      <c r="N16" s="7"/>
      <c r="O16" s="7"/>
      <c r="P16" s="7"/>
    </row>
    <row r="17" spans="1:16" ht="14.1" customHeight="1" x14ac:dyDescent="0.3">
      <c r="A17" s="16">
        <v>4</v>
      </c>
      <c r="B17" s="31">
        <v>3</v>
      </c>
      <c r="C17" s="17" t="s">
        <v>18</v>
      </c>
      <c r="D17" s="17" t="s">
        <v>19</v>
      </c>
      <c r="E17" s="17" t="s">
        <v>20</v>
      </c>
      <c r="F17" s="18">
        <v>18</v>
      </c>
      <c r="G17" s="18">
        <f t="shared" si="0"/>
        <v>45.72</v>
      </c>
      <c r="H17" s="18">
        <v>7.97</v>
      </c>
      <c r="I17" s="57"/>
      <c r="J17" s="29" t="s">
        <v>19</v>
      </c>
      <c r="K17" s="7"/>
      <c r="L17" s="31">
        <v>138.5</v>
      </c>
      <c r="M17" s="31">
        <v>20.84</v>
      </c>
      <c r="N17" s="7"/>
      <c r="O17" s="7"/>
      <c r="P17" s="7"/>
    </row>
    <row r="18" spans="1:16" ht="14.1" customHeight="1" x14ac:dyDescent="0.3">
      <c r="A18" s="24">
        <v>4</v>
      </c>
      <c r="B18" s="31">
        <v>4</v>
      </c>
      <c r="C18" s="25" t="s">
        <v>14</v>
      </c>
      <c r="D18" s="25" t="s">
        <v>19</v>
      </c>
      <c r="E18" s="25" t="s">
        <v>20</v>
      </c>
      <c r="F18" s="26">
        <v>17</v>
      </c>
      <c r="G18" s="18">
        <f t="shared" si="0"/>
        <v>43.18</v>
      </c>
      <c r="H18" s="26">
        <v>4.6100000000000003</v>
      </c>
      <c r="I18" s="58"/>
      <c r="J18" s="29" t="s">
        <v>19</v>
      </c>
      <c r="K18" s="7"/>
      <c r="L18" s="31">
        <v>107</v>
      </c>
      <c r="M18" s="31">
        <v>18</v>
      </c>
      <c r="N18" s="7"/>
      <c r="O18" s="7"/>
      <c r="P18" s="7"/>
    </row>
    <row r="19" spans="1:16" ht="14.1" customHeight="1" x14ac:dyDescent="0.3">
      <c r="A19" s="16">
        <v>5</v>
      </c>
      <c r="B19" s="31">
        <v>1</v>
      </c>
      <c r="C19" s="17" t="s">
        <v>18</v>
      </c>
      <c r="D19" s="17" t="s">
        <v>19</v>
      </c>
      <c r="E19" s="17" t="s">
        <v>20</v>
      </c>
      <c r="F19" s="18">
        <v>19.5</v>
      </c>
      <c r="G19" s="18">
        <f t="shared" si="0"/>
        <v>49.53</v>
      </c>
      <c r="H19" s="18">
        <v>13.89</v>
      </c>
      <c r="I19" s="57"/>
      <c r="J19" s="29" t="s">
        <v>19</v>
      </c>
      <c r="K19" s="7"/>
      <c r="L19" s="31">
        <v>80</v>
      </c>
      <c r="M19" s="31">
        <v>23.13</v>
      </c>
      <c r="N19" s="7"/>
      <c r="O19" s="7"/>
      <c r="P19" s="7"/>
    </row>
    <row r="20" spans="1:16" ht="14.1" customHeight="1" x14ac:dyDescent="0.3">
      <c r="A20" s="24">
        <v>5</v>
      </c>
      <c r="B20" s="31">
        <v>2</v>
      </c>
      <c r="C20" s="25" t="s">
        <v>14</v>
      </c>
      <c r="D20" s="25" t="s">
        <v>19</v>
      </c>
      <c r="E20" s="25" t="s">
        <v>20</v>
      </c>
      <c r="F20" s="26">
        <v>18.5</v>
      </c>
      <c r="G20" s="18">
        <f t="shared" si="0"/>
        <v>46.989999999999995</v>
      </c>
      <c r="H20" s="26">
        <v>4.3899999999999997</v>
      </c>
      <c r="I20" s="58"/>
      <c r="J20" s="29" t="s">
        <v>19</v>
      </c>
      <c r="K20" s="7"/>
      <c r="L20" s="31">
        <v>88</v>
      </c>
      <c r="M20" s="31">
        <v>14.89</v>
      </c>
      <c r="N20" s="7"/>
      <c r="O20" s="7"/>
      <c r="P20" s="7"/>
    </row>
    <row r="21" spans="1:16" ht="14.1" customHeight="1" x14ac:dyDescent="0.3">
      <c r="A21" s="16">
        <v>5</v>
      </c>
      <c r="B21" s="31">
        <v>3</v>
      </c>
      <c r="C21" s="17" t="s">
        <v>18</v>
      </c>
      <c r="D21" s="17" t="s">
        <v>19</v>
      </c>
      <c r="E21" s="17" t="s">
        <v>20</v>
      </c>
      <c r="F21" s="18">
        <v>28</v>
      </c>
      <c r="G21" s="18">
        <f t="shared" si="0"/>
        <v>71.12</v>
      </c>
      <c r="H21" s="18">
        <v>10.96</v>
      </c>
      <c r="I21" s="57"/>
      <c r="J21" s="29" t="s">
        <v>19</v>
      </c>
      <c r="K21" s="7"/>
      <c r="L21" s="31">
        <v>144</v>
      </c>
      <c r="M21" s="31">
        <v>21.6</v>
      </c>
      <c r="N21" s="7"/>
      <c r="O21" s="7"/>
      <c r="P21" s="7"/>
    </row>
    <row r="22" spans="1:16" ht="14.1" customHeight="1" x14ac:dyDescent="0.3">
      <c r="A22" s="24">
        <v>5</v>
      </c>
      <c r="B22" s="31">
        <v>4</v>
      </c>
      <c r="C22" s="25" t="s">
        <v>14</v>
      </c>
      <c r="D22" s="25" t="s">
        <v>19</v>
      </c>
      <c r="E22" s="25" t="s">
        <v>20</v>
      </c>
      <c r="F22" s="26">
        <v>15.5</v>
      </c>
      <c r="G22" s="18">
        <f t="shared" si="0"/>
        <v>39.369999999999997</v>
      </c>
      <c r="H22" s="26">
        <v>4.0999999999999996</v>
      </c>
      <c r="I22" s="58"/>
      <c r="J22" s="29" t="s">
        <v>19</v>
      </c>
      <c r="K22" s="7"/>
      <c r="L22" s="31">
        <v>101</v>
      </c>
      <c r="M22" s="31">
        <v>12.88</v>
      </c>
      <c r="N22" s="7"/>
      <c r="O22" s="7"/>
      <c r="P22" s="7"/>
    </row>
    <row r="23" spans="1:16" ht="14.1" customHeight="1" x14ac:dyDescent="0.3">
      <c r="A23" s="16">
        <v>6</v>
      </c>
      <c r="B23" s="31">
        <v>1</v>
      </c>
      <c r="C23" s="17" t="s">
        <v>14</v>
      </c>
      <c r="D23" s="17" t="s">
        <v>19</v>
      </c>
      <c r="E23" s="17" t="s">
        <v>20</v>
      </c>
      <c r="F23" s="18">
        <v>16.5</v>
      </c>
      <c r="G23" s="18">
        <f t="shared" si="0"/>
        <v>41.91</v>
      </c>
      <c r="H23" s="18">
        <v>5.17</v>
      </c>
      <c r="I23" s="57"/>
      <c r="J23" s="29" t="s">
        <v>19</v>
      </c>
      <c r="K23" s="7"/>
      <c r="L23" s="31">
        <v>117</v>
      </c>
      <c r="M23" s="31">
        <v>21.46</v>
      </c>
      <c r="N23" s="7"/>
      <c r="O23" s="7"/>
      <c r="P23" s="7"/>
    </row>
    <row r="24" spans="1:16" ht="14.1" customHeight="1" x14ac:dyDescent="0.3">
      <c r="A24" s="24">
        <v>6</v>
      </c>
      <c r="B24" s="31">
        <v>2</v>
      </c>
      <c r="C24" s="25" t="s">
        <v>14</v>
      </c>
      <c r="D24" s="25" t="s">
        <v>19</v>
      </c>
      <c r="E24" s="25" t="s">
        <v>20</v>
      </c>
      <c r="F24" s="26">
        <v>15</v>
      </c>
      <c r="G24" s="18">
        <f t="shared" si="0"/>
        <v>38.1</v>
      </c>
      <c r="H24" s="26">
        <v>4.29</v>
      </c>
      <c r="I24" s="58"/>
      <c r="J24" s="29" t="s">
        <v>19</v>
      </c>
      <c r="K24" s="7"/>
      <c r="L24" s="31">
        <v>115</v>
      </c>
      <c r="M24" s="31">
        <v>9.67</v>
      </c>
      <c r="N24" s="7"/>
      <c r="O24" s="7"/>
      <c r="P24" s="7"/>
    </row>
    <row r="25" spans="1:16" ht="14.1" customHeight="1" x14ac:dyDescent="0.3">
      <c r="A25" s="16">
        <v>6</v>
      </c>
      <c r="B25" s="31">
        <v>3</v>
      </c>
      <c r="C25" s="17" t="s">
        <v>18</v>
      </c>
      <c r="D25" s="17" t="s">
        <v>19</v>
      </c>
      <c r="E25" s="17" t="s">
        <v>20</v>
      </c>
      <c r="F25" s="18">
        <v>19.5</v>
      </c>
      <c r="G25" s="18">
        <f t="shared" si="0"/>
        <v>49.53</v>
      </c>
      <c r="H25" s="18">
        <v>11.46</v>
      </c>
      <c r="I25" s="57"/>
      <c r="J25" s="29" t="s">
        <v>19</v>
      </c>
      <c r="K25" s="7"/>
      <c r="L25" s="31">
        <v>96</v>
      </c>
      <c r="M25" s="31">
        <v>17</v>
      </c>
      <c r="N25" s="7"/>
      <c r="O25" s="7"/>
      <c r="P25" s="7"/>
    </row>
    <row r="26" spans="1:16" ht="14.1" customHeight="1" x14ac:dyDescent="0.3">
      <c r="A26" s="24">
        <v>6</v>
      </c>
      <c r="B26" s="31">
        <v>4</v>
      </c>
      <c r="C26" s="25" t="s">
        <v>14</v>
      </c>
      <c r="D26" s="25" t="s">
        <v>19</v>
      </c>
      <c r="E26" s="25" t="s">
        <v>20</v>
      </c>
      <c r="F26" s="26">
        <v>19.5</v>
      </c>
      <c r="G26" s="18">
        <f t="shared" si="0"/>
        <v>49.53</v>
      </c>
      <c r="H26" s="26">
        <v>3.87</v>
      </c>
      <c r="I26" s="58"/>
      <c r="J26" s="29" t="s">
        <v>19</v>
      </c>
      <c r="K26" s="7"/>
      <c r="L26" s="31">
        <v>114</v>
      </c>
      <c r="M26" s="31">
        <v>20.8</v>
      </c>
      <c r="N26" s="7"/>
      <c r="O26" s="7"/>
      <c r="P26" s="7"/>
    </row>
    <row r="27" spans="1:16" ht="14.1" customHeight="1" x14ac:dyDescent="0.3">
      <c r="A27" s="16">
        <v>7</v>
      </c>
      <c r="B27" s="31">
        <v>1</v>
      </c>
      <c r="C27" s="17" t="s">
        <v>14</v>
      </c>
      <c r="D27" s="17" t="s">
        <v>19</v>
      </c>
      <c r="E27" s="17" t="s">
        <v>20</v>
      </c>
      <c r="F27" s="18">
        <v>20</v>
      </c>
      <c r="G27" s="18">
        <f t="shared" si="0"/>
        <v>50.8</v>
      </c>
      <c r="H27" s="18">
        <v>4.16</v>
      </c>
      <c r="I27" s="57"/>
      <c r="J27" s="29" t="s">
        <v>19</v>
      </c>
      <c r="K27" s="7"/>
      <c r="L27" s="30" t="s">
        <v>24</v>
      </c>
      <c r="M27" s="30" t="s">
        <v>24</v>
      </c>
      <c r="N27" s="30" t="s">
        <v>21</v>
      </c>
      <c r="O27" s="30"/>
      <c r="P27" s="30"/>
    </row>
    <row r="28" spans="1:16" ht="14.1" customHeight="1" x14ac:dyDescent="0.3">
      <c r="A28" s="24">
        <v>7</v>
      </c>
      <c r="B28" s="31">
        <v>2</v>
      </c>
      <c r="C28" s="25" t="s">
        <v>18</v>
      </c>
      <c r="D28" s="25" t="s">
        <v>19</v>
      </c>
      <c r="E28" s="25" t="s">
        <v>20</v>
      </c>
      <c r="F28" s="26">
        <v>13</v>
      </c>
      <c r="G28" s="18">
        <f t="shared" si="0"/>
        <v>33.019999999999996</v>
      </c>
      <c r="H28" s="26">
        <v>8.09</v>
      </c>
      <c r="I28" s="58"/>
      <c r="J28" s="29" t="s">
        <v>19</v>
      </c>
      <c r="K28" s="7"/>
      <c r="L28" s="31">
        <v>58</v>
      </c>
      <c r="M28" s="31">
        <v>8</v>
      </c>
      <c r="N28" s="30"/>
      <c r="O28" s="30"/>
      <c r="P28" s="30"/>
    </row>
    <row r="29" spans="1:16" ht="14.1" customHeight="1" x14ac:dyDescent="0.3">
      <c r="A29" s="16">
        <v>7</v>
      </c>
      <c r="B29" s="31">
        <v>3</v>
      </c>
      <c r="C29" s="17" t="s">
        <v>14</v>
      </c>
      <c r="D29" s="17" t="s">
        <v>19</v>
      </c>
      <c r="E29" s="17" t="s">
        <v>20</v>
      </c>
      <c r="F29" s="18">
        <v>19.5</v>
      </c>
      <c r="G29" s="18">
        <f t="shared" si="0"/>
        <v>49.53</v>
      </c>
      <c r="H29" s="18">
        <v>4.9000000000000004</v>
      </c>
      <c r="I29" s="57"/>
      <c r="J29" s="29" t="s">
        <v>19</v>
      </c>
      <c r="K29" s="7"/>
      <c r="L29" s="31">
        <v>131</v>
      </c>
      <c r="M29" s="31">
        <v>16.21</v>
      </c>
      <c r="N29" s="30"/>
      <c r="O29" s="30"/>
      <c r="P29" s="30"/>
    </row>
    <row r="30" spans="1:16" ht="14.1" customHeight="1" x14ac:dyDescent="0.3">
      <c r="A30" s="24">
        <v>7</v>
      </c>
      <c r="B30" s="31">
        <v>4</v>
      </c>
      <c r="C30" s="25" t="s">
        <v>14</v>
      </c>
      <c r="D30" s="25" t="s">
        <v>19</v>
      </c>
      <c r="E30" s="25" t="s">
        <v>20</v>
      </c>
      <c r="F30" s="26">
        <v>18.5</v>
      </c>
      <c r="G30" s="18">
        <f t="shared" si="0"/>
        <v>46.989999999999995</v>
      </c>
      <c r="H30" s="26">
        <v>4.1100000000000003</v>
      </c>
      <c r="I30" s="58"/>
      <c r="J30" s="29" t="s">
        <v>19</v>
      </c>
      <c r="K30" s="7"/>
      <c r="L30" s="31">
        <v>141.5</v>
      </c>
      <c r="M30" s="31">
        <v>28.8</v>
      </c>
      <c r="N30" s="7"/>
      <c r="O30" s="7"/>
      <c r="P30" s="7"/>
    </row>
    <row r="31" spans="1:16" ht="14.1" customHeight="1" x14ac:dyDescent="0.3">
      <c r="A31" s="16">
        <v>8</v>
      </c>
      <c r="B31" s="31">
        <v>1</v>
      </c>
      <c r="C31" s="17" t="s">
        <v>14</v>
      </c>
      <c r="D31" s="17" t="s">
        <v>19</v>
      </c>
      <c r="E31" s="17" t="s">
        <v>20</v>
      </c>
      <c r="F31" s="18">
        <v>11</v>
      </c>
      <c r="G31" s="18">
        <f t="shared" si="0"/>
        <v>27.939999999999998</v>
      </c>
      <c r="H31" s="18">
        <v>3.93</v>
      </c>
      <c r="I31" s="57"/>
      <c r="J31" s="29" t="s">
        <v>19</v>
      </c>
      <c r="K31" s="7"/>
      <c r="L31" s="31">
        <v>104</v>
      </c>
      <c r="M31" s="31">
        <v>14.12</v>
      </c>
      <c r="N31" s="7"/>
      <c r="O31" s="7"/>
      <c r="P31" s="7"/>
    </row>
    <row r="32" spans="1:16" ht="14.1" customHeight="1" x14ac:dyDescent="0.3">
      <c r="A32" s="24">
        <v>8</v>
      </c>
      <c r="B32" s="31">
        <v>2</v>
      </c>
      <c r="C32" s="25" t="s">
        <v>18</v>
      </c>
      <c r="D32" s="25" t="s">
        <v>19</v>
      </c>
      <c r="E32" s="25" t="s">
        <v>20</v>
      </c>
      <c r="F32" s="26">
        <v>20</v>
      </c>
      <c r="G32" s="18">
        <f t="shared" si="0"/>
        <v>50.8</v>
      </c>
      <c r="H32" s="26">
        <v>7.47</v>
      </c>
      <c r="I32" s="58"/>
      <c r="J32" s="29" t="s">
        <v>19</v>
      </c>
      <c r="K32" s="7"/>
      <c r="L32" s="31">
        <v>114</v>
      </c>
      <c r="M32" s="31">
        <v>14.85</v>
      </c>
      <c r="N32" s="7"/>
      <c r="O32" s="7"/>
      <c r="P32" s="7"/>
    </row>
    <row r="33" spans="1:16" ht="14.1" customHeight="1" x14ac:dyDescent="0.3">
      <c r="A33" s="16">
        <v>8</v>
      </c>
      <c r="B33" s="31">
        <v>3</v>
      </c>
      <c r="C33" s="17" t="s">
        <v>18</v>
      </c>
      <c r="D33" s="17" t="s">
        <v>19</v>
      </c>
      <c r="E33" s="17" t="s">
        <v>20</v>
      </c>
      <c r="F33" s="18">
        <v>14</v>
      </c>
      <c r="G33" s="18">
        <f t="shared" si="0"/>
        <v>35.56</v>
      </c>
      <c r="H33" s="18">
        <v>10.14</v>
      </c>
      <c r="I33" s="57"/>
      <c r="J33" s="29" t="s">
        <v>19</v>
      </c>
      <c r="K33" s="7"/>
      <c r="L33" s="31">
        <v>92</v>
      </c>
      <c r="M33" s="31">
        <v>20.3</v>
      </c>
      <c r="N33" s="7"/>
      <c r="O33" s="7"/>
      <c r="P33" s="7"/>
    </row>
    <row r="34" spans="1:16" ht="14.1" customHeight="1" x14ac:dyDescent="0.3">
      <c r="A34" s="24">
        <v>8</v>
      </c>
      <c r="B34" s="31">
        <v>4</v>
      </c>
      <c r="C34" s="25" t="s">
        <v>14</v>
      </c>
      <c r="D34" s="25" t="s">
        <v>19</v>
      </c>
      <c r="E34" s="25" t="s">
        <v>20</v>
      </c>
      <c r="F34" s="26">
        <v>15.5</v>
      </c>
      <c r="G34" s="18">
        <f t="shared" si="0"/>
        <v>39.369999999999997</v>
      </c>
      <c r="H34" s="26">
        <v>4.05</v>
      </c>
      <c r="I34" s="58"/>
      <c r="J34" s="29" t="s">
        <v>19</v>
      </c>
      <c r="K34" s="7"/>
      <c r="L34" s="31">
        <v>88</v>
      </c>
      <c r="M34" s="31">
        <v>14.98</v>
      </c>
      <c r="N34" s="7"/>
      <c r="O34" s="7"/>
      <c r="P34" s="7"/>
    </row>
    <row r="35" spans="1:16" ht="14.1" customHeight="1" x14ac:dyDescent="0.3">
      <c r="A35" s="16">
        <v>8</v>
      </c>
      <c r="B35" s="31">
        <v>5</v>
      </c>
      <c r="C35" s="17" t="s">
        <v>14</v>
      </c>
      <c r="D35" s="17" t="s">
        <v>19</v>
      </c>
      <c r="E35" s="17" t="s">
        <v>20</v>
      </c>
      <c r="F35" s="18">
        <v>17</v>
      </c>
      <c r="G35" s="18">
        <f t="shared" si="0"/>
        <v>43.18</v>
      </c>
      <c r="H35" s="18">
        <v>3.72</v>
      </c>
      <c r="I35" s="57"/>
      <c r="J35" s="29" t="s">
        <v>19</v>
      </c>
      <c r="K35" s="7"/>
      <c r="L35" s="31">
        <v>123</v>
      </c>
      <c r="M35" s="31">
        <v>15.55</v>
      </c>
      <c r="N35" s="7"/>
      <c r="O35" s="7"/>
      <c r="P35" s="7"/>
    </row>
    <row r="36" spans="1:16" ht="14.1" customHeight="1" x14ac:dyDescent="0.3">
      <c r="A36" s="24">
        <v>8</v>
      </c>
      <c r="B36" s="31">
        <v>6</v>
      </c>
      <c r="C36" s="25" t="s">
        <v>14</v>
      </c>
      <c r="D36" s="25" t="s">
        <v>19</v>
      </c>
      <c r="E36" s="25" t="s">
        <v>20</v>
      </c>
      <c r="F36" s="26">
        <v>13.5</v>
      </c>
      <c r="G36" s="18">
        <f t="shared" si="0"/>
        <v>34.29</v>
      </c>
      <c r="H36" s="26">
        <v>2.71</v>
      </c>
      <c r="I36" s="58"/>
      <c r="J36" s="29" t="s">
        <v>19</v>
      </c>
      <c r="K36" s="7"/>
      <c r="L36" s="30" t="s">
        <v>24</v>
      </c>
      <c r="M36" s="30" t="s">
        <v>24</v>
      </c>
      <c r="N36" s="30" t="s">
        <v>21</v>
      </c>
      <c r="O36" s="30"/>
      <c r="P36" s="30"/>
    </row>
    <row r="37" spans="1:16" ht="14.1" customHeight="1" x14ac:dyDescent="0.3">
      <c r="A37" s="16">
        <v>8</v>
      </c>
      <c r="B37" s="31">
        <v>7</v>
      </c>
      <c r="C37" s="17" t="s">
        <v>14</v>
      </c>
      <c r="D37" s="17" t="s">
        <v>19</v>
      </c>
      <c r="E37" s="17" t="s">
        <v>20</v>
      </c>
      <c r="F37" s="18">
        <v>14.5</v>
      </c>
      <c r="G37" s="18">
        <f t="shared" si="0"/>
        <v>36.83</v>
      </c>
      <c r="H37" s="18">
        <v>2.73</v>
      </c>
      <c r="I37" s="57"/>
      <c r="J37" s="29" t="s">
        <v>19</v>
      </c>
      <c r="K37" s="7"/>
      <c r="L37" s="31">
        <v>87</v>
      </c>
      <c r="M37" s="31">
        <v>13.5</v>
      </c>
      <c r="N37" s="7"/>
      <c r="O37" s="7"/>
      <c r="P37" s="7"/>
    </row>
    <row r="38" spans="1:16" ht="14.1" customHeight="1" x14ac:dyDescent="0.3">
      <c r="A38" s="24">
        <v>9</v>
      </c>
      <c r="B38" s="31">
        <v>1</v>
      </c>
      <c r="C38" s="25" t="s">
        <v>14</v>
      </c>
      <c r="D38" s="25" t="s">
        <v>19</v>
      </c>
      <c r="E38" s="25" t="s">
        <v>20</v>
      </c>
      <c r="F38" s="26">
        <v>13.5</v>
      </c>
      <c r="G38" s="18">
        <f t="shared" si="0"/>
        <v>34.29</v>
      </c>
      <c r="H38" s="26">
        <v>3.73</v>
      </c>
      <c r="I38" s="58"/>
      <c r="J38" s="29" t="s">
        <v>19</v>
      </c>
      <c r="K38" s="7"/>
      <c r="L38" s="31">
        <v>105.5</v>
      </c>
      <c r="M38" s="31">
        <v>16.079999999999998</v>
      </c>
      <c r="N38" s="7"/>
      <c r="O38" s="7"/>
      <c r="P38" s="7"/>
    </row>
    <row r="39" spans="1:16" ht="14.1" customHeight="1" x14ac:dyDescent="0.3">
      <c r="A39" s="16">
        <v>9</v>
      </c>
      <c r="B39" s="31">
        <v>2</v>
      </c>
      <c r="C39" s="17" t="s">
        <v>14</v>
      </c>
      <c r="D39" s="17" t="s">
        <v>19</v>
      </c>
      <c r="E39" s="17" t="s">
        <v>20</v>
      </c>
      <c r="F39" s="18">
        <v>14.5</v>
      </c>
      <c r="G39" s="18">
        <f t="shared" si="0"/>
        <v>36.83</v>
      </c>
      <c r="H39" s="18">
        <v>4.28</v>
      </c>
      <c r="I39" s="57"/>
      <c r="J39" s="29" t="s">
        <v>19</v>
      </c>
      <c r="K39" s="7"/>
      <c r="L39" s="31">
        <v>78</v>
      </c>
      <c r="M39" s="31">
        <v>12.42</v>
      </c>
      <c r="N39" s="7"/>
      <c r="O39" s="7"/>
      <c r="P39" s="7"/>
    </row>
    <row r="40" spans="1:16" ht="14.1" customHeight="1" x14ac:dyDescent="0.3">
      <c r="A40" s="24">
        <v>9</v>
      </c>
      <c r="B40" s="31">
        <v>3</v>
      </c>
      <c r="C40" s="25" t="s">
        <v>18</v>
      </c>
      <c r="D40" s="25" t="s">
        <v>19</v>
      </c>
      <c r="E40" s="25" t="s">
        <v>20</v>
      </c>
      <c r="F40" s="26">
        <v>13</v>
      </c>
      <c r="G40" s="18">
        <f t="shared" si="0"/>
        <v>33.019999999999996</v>
      </c>
      <c r="H40" s="26">
        <v>7.54</v>
      </c>
      <c r="I40" s="58"/>
      <c r="J40" s="29" t="s">
        <v>19</v>
      </c>
      <c r="K40" s="7"/>
      <c r="L40" s="31">
        <v>87.9</v>
      </c>
      <c r="M40" s="31">
        <v>14.45</v>
      </c>
      <c r="N40" s="7"/>
      <c r="O40" s="7"/>
      <c r="P40" s="7"/>
    </row>
    <row r="41" spans="1:16" ht="14.1" customHeight="1" x14ac:dyDescent="0.3">
      <c r="A41" s="16">
        <v>9</v>
      </c>
      <c r="B41" s="31">
        <v>4</v>
      </c>
      <c r="C41" s="17" t="s">
        <v>18</v>
      </c>
      <c r="D41" s="17" t="s">
        <v>19</v>
      </c>
      <c r="E41" s="17" t="s">
        <v>20</v>
      </c>
      <c r="F41" s="18">
        <v>19</v>
      </c>
      <c r="G41" s="18">
        <f t="shared" si="0"/>
        <v>48.26</v>
      </c>
      <c r="H41" s="18">
        <v>9.4700000000000006</v>
      </c>
      <c r="I41" s="57"/>
      <c r="J41" s="29" t="s">
        <v>19</v>
      </c>
      <c r="K41" s="7"/>
      <c r="L41" s="31">
        <v>74.5</v>
      </c>
      <c r="M41" s="31">
        <v>11.99</v>
      </c>
      <c r="N41" s="7"/>
      <c r="O41" s="7"/>
      <c r="P41" s="7"/>
    </row>
    <row r="42" spans="1:16" ht="14.1" customHeight="1" x14ac:dyDescent="0.3">
      <c r="A42" s="24">
        <v>10</v>
      </c>
      <c r="B42" s="31">
        <v>1</v>
      </c>
      <c r="C42" s="25" t="s">
        <v>14</v>
      </c>
      <c r="D42" s="25" t="s">
        <v>19</v>
      </c>
      <c r="E42" s="25" t="s">
        <v>20</v>
      </c>
      <c r="F42" s="26">
        <v>21</v>
      </c>
      <c r="G42" s="18">
        <f t="shared" si="0"/>
        <v>53.339999999999996</v>
      </c>
      <c r="H42" s="26">
        <v>4.7300000000000004</v>
      </c>
      <c r="I42" s="58"/>
      <c r="J42" s="29" t="s">
        <v>19</v>
      </c>
      <c r="K42" s="7"/>
      <c r="L42" s="31">
        <v>64.900000000000006</v>
      </c>
      <c r="M42" s="31">
        <v>9.1</v>
      </c>
      <c r="N42" s="7"/>
      <c r="O42" s="7"/>
      <c r="P42" s="7"/>
    </row>
    <row r="43" spans="1:16" ht="14.1" customHeight="1" x14ac:dyDescent="0.3">
      <c r="A43" s="16">
        <v>10</v>
      </c>
      <c r="B43" s="31">
        <v>2</v>
      </c>
      <c r="C43" s="17" t="s">
        <v>14</v>
      </c>
      <c r="D43" s="17" t="s">
        <v>19</v>
      </c>
      <c r="E43" s="17" t="s">
        <v>20</v>
      </c>
      <c r="F43" s="18">
        <v>14</v>
      </c>
      <c r="G43" s="18">
        <f t="shared" si="0"/>
        <v>35.56</v>
      </c>
      <c r="H43" s="18">
        <v>3.43</v>
      </c>
      <c r="I43" s="57"/>
      <c r="J43" s="29" t="s">
        <v>19</v>
      </c>
      <c r="K43" s="7"/>
      <c r="L43" s="7"/>
      <c r="M43" s="7"/>
      <c r="N43" s="30" t="s">
        <v>29</v>
      </c>
      <c r="O43" s="7"/>
      <c r="P43" s="7"/>
    </row>
    <row r="44" spans="1:16" ht="14.1" customHeight="1" x14ac:dyDescent="0.3">
      <c r="A44" s="24">
        <v>10</v>
      </c>
      <c r="B44" s="31">
        <v>3</v>
      </c>
      <c r="C44" s="25" t="s">
        <v>18</v>
      </c>
      <c r="D44" s="25" t="s">
        <v>19</v>
      </c>
      <c r="E44" s="25" t="s">
        <v>20</v>
      </c>
      <c r="F44" s="26">
        <v>11</v>
      </c>
      <c r="G44" s="18">
        <f t="shared" si="0"/>
        <v>27.939999999999998</v>
      </c>
      <c r="H44" s="26">
        <v>5.73</v>
      </c>
      <c r="I44" s="58"/>
      <c r="J44" s="29" t="s">
        <v>19</v>
      </c>
      <c r="K44" s="7"/>
      <c r="L44" s="31">
        <v>92.1</v>
      </c>
      <c r="M44" s="31">
        <v>14.8</v>
      </c>
      <c r="N44" s="7"/>
      <c r="O44" s="7"/>
      <c r="P44" s="7"/>
    </row>
    <row r="45" spans="1:16" ht="14.1" customHeight="1" x14ac:dyDescent="0.3">
      <c r="A45" s="16">
        <v>10</v>
      </c>
      <c r="B45" s="31">
        <v>4</v>
      </c>
      <c r="C45" s="17" t="s">
        <v>18</v>
      </c>
      <c r="D45" s="17" t="s">
        <v>19</v>
      </c>
      <c r="E45" s="17" t="s">
        <v>20</v>
      </c>
      <c r="F45" s="18">
        <v>21</v>
      </c>
      <c r="G45" s="18">
        <f t="shared" si="0"/>
        <v>53.339999999999996</v>
      </c>
      <c r="H45" s="18">
        <v>8.77</v>
      </c>
      <c r="I45" s="57"/>
      <c r="J45" s="29" t="s">
        <v>19</v>
      </c>
      <c r="K45" s="7"/>
      <c r="L45" s="31">
        <v>71</v>
      </c>
      <c r="M45" s="31">
        <v>13.6</v>
      </c>
      <c r="N45" s="7"/>
      <c r="O45" s="7"/>
      <c r="P45" s="7"/>
    </row>
    <row r="46" spans="1:16" ht="14.1" customHeight="1" x14ac:dyDescent="0.3">
      <c r="A46" s="24">
        <v>11</v>
      </c>
      <c r="B46" s="31">
        <v>1</v>
      </c>
      <c r="C46" s="25" t="s">
        <v>14</v>
      </c>
      <c r="D46" s="25" t="s">
        <v>19</v>
      </c>
      <c r="E46" s="25" t="s">
        <v>20</v>
      </c>
      <c r="F46" s="26">
        <v>16</v>
      </c>
      <c r="G46" s="18">
        <f t="shared" si="0"/>
        <v>40.64</v>
      </c>
      <c r="H46" s="26">
        <v>3.47</v>
      </c>
      <c r="I46" s="58"/>
      <c r="J46" s="29" t="s">
        <v>19</v>
      </c>
      <c r="K46" s="7"/>
      <c r="L46" s="7"/>
      <c r="M46" s="7"/>
      <c r="N46" s="30" t="s">
        <v>28</v>
      </c>
      <c r="O46" s="30"/>
      <c r="P46" s="30"/>
    </row>
    <row r="47" spans="1:16" ht="14.1" customHeight="1" x14ac:dyDescent="0.3">
      <c r="A47" s="16">
        <v>11</v>
      </c>
      <c r="B47" s="31">
        <v>2</v>
      </c>
      <c r="C47" s="17" t="s">
        <v>14</v>
      </c>
      <c r="D47" s="17" t="s">
        <v>19</v>
      </c>
      <c r="E47" s="17" t="s">
        <v>20</v>
      </c>
      <c r="F47" s="18">
        <v>18.5</v>
      </c>
      <c r="G47" s="18">
        <f t="shared" si="0"/>
        <v>46.989999999999995</v>
      </c>
      <c r="H47" s="18">
        <v>5.25</v>
      </c>
      <c r="I47" s="57"/>
      <c r="J47" s="29" t="s">
        <v>19</v>
      </c>
      <c r="K47" s="7"/>
      <c r="L47" s="7"/>
      <c r="M47" s="7"/>
      <c r="N47" s="30" t="s">
        <v>28</v>
      </c>
      <c r="O47" s="30"/>
      <c r="P47" s="30"/>
    </row>
    <row r="48" spans="1:16" ht="14.1" customHeight="1" x14ac:dyDescent="0.3">
      <c r="A48" s="24">
        <v>11</v>
      </c>
      <c r="B48" s="31">
        <v>3</v>
      </c>
      <c r="C48" s="25" t="s">
        <v>18</v>
      </c>
      <c r="D48" s="25" t="s">
        <v>19</v>
      </c>
      <c r="E48" s="25" t="s">
        <v>20</v>
      </c>
      <c r="F48" s="26">
        <v>15.5</v>
      </c>
      <c r="G48" s="18">
        <f t="shared" si="0"/>
        <v>39.369999999999997</v>
      </c>
      <c r="H48" s="26">
        <v>10.9</v>
      </c>
      <c r="I48" s="58"/>
      <c r="J48" s="29" t="s">
        <v>19</v>
      </c>
      <c r="K48" s="7"/>
      <c r="L48" s="31">
        <v>60</v>
      </c>
      <c r="M48" s="31">
        <v>7.96</v>
      </c>
      <c r="N48" s="7"/>
      <c r="O48" s="7"/>
      <c r="P48" s="7"/>
    </row>
    <row r="49" spans="1:16" ht="14.1" customHeight="1" x14ac:dyDescent="0.3">
      <c r="A49" s="16">
        <v>11</v>
      </c>
      <c r="B49" s="31">
        <v>4</v>
      </c>
      <c r="C49" s="17" t="s">
        <v>18</v>
      </c>
      <c r="D49" s="17" t="s">
        <v>19</v>
      </c>
      <c r="E49" s="17" t="s">
        <v>20</v>
      </c>
      <c r="F49" s="18">
        <v>19</v>
      </c>
      <c r="G49" s="18">
        <f t="shared" si="0"/>
        <v>48.26</v>
      </c>
      <c r="H49" s="18">
        <v>8.33</v>
      </c>
      <c r="I49" s="57"/>
      <c r="J49" s="29" t="s">
        <v>19</v>
      </c>
      <c r="K49" s="7"/>
      <c r="L49" s="31">
        <v>81.5</v>
      </c>
      <c r="M49" s="31">
        <v>13.63</v>
      </c>
      <c r="N49" s="7"/>
      <c r="O49" s="7"/>
      <c r="P49" s="7"/>
    </row>
    <row r="50" spans="1:16" ht="14.1" customHeight="1" x14ac:dyDescent="0.3">
      <c r="A50" s="24">
        <v>11</v>
      </c>
      <c r="B50" s="31">
        <v>5</v>
      </c>
      <c r="C50" s="25" t="s">
        <v>14</v>
      </c>
      <c r="D50" s="25" t="s">
        <v>19</v>
      </c>
      <c r="E50" s="25" t="s">
        <v>20</v>
      </c>
      <c r="F50" s="26">
        <v>18.5</v>
      </c>
      <c r="G50" s="18">
        <f t="shared" si="0"/>
        <v>46.989999999999995</v>
      </c>
      <c r="H50" s="26">
        <v>3.86</v>
      </c>
      <c r="I50" s="58"/>
      <c r="J50" s="29" t="s">
        <v>19</v>
      </c>
      <c r="K50" s="7"/>
      <c r="L50" s="7"/>
      <c r="M50" s="7"/>
      <c r="N50" s="30" t="s">
        <v>28</v>
      </c>
      <c r="O50" s="30"/>
      <c r="P50" s="30"/>
    </row>
    <row r="51" spans="1:16" ht="14.1" customHeight="1" x14ac:dyDescent="0.3">
      <c r="A51" s="16">
        <v>12</v>
      </c>
      <c r="B51" s="31">
        <v>1</v>
      </c>
      <c r="C51" s="17" t="s">
        <v>18</v>
      </c>
      <c r="D51" s="17" t="s">
        <v>19</v>
      </c>
      <c r="E51" s="17" t="s">
        <v>20</v>
      </c>
      <c r="F51" s="18">
        <v>20</v>
      </c>
      <c r="G51" s="18">
        <f t="shared" si="0"/>
        <v>50.8</v>
      </c>
      <c r="H51" s="18">
        <v>13.08</v>
      </c>
      <c r="I51" s="57"/>
      <c r="J51" s="29" t="s">
        <v>19</v>
      </c>
      <c r="K51" s="7"/>
      <c r="L51" s="7"/>
      <c r="M51" s="7"/>
      <c r="N51" s="30" t="s">
        <v>21</v>
      </c>
      <c r="O51" s="30"/>
      <c r="P51" s="30"/>
    </row>
    <row r="52" spans="1:16" ht="14.1" customHeight="1" x14ac:dyDescent="0.3">
      <c r="A52" s="24">
        <v>12</v>
      </c>
      <c r="B52" s="31">
        <v>2</v>
      </c>
      <c r="C52" s="25" t="s">
        <v>18</v>
      </c>
      <c r="D52" s="25" t="s">
        <v>19</v>
      </c>
      <c r="E52" s="25" t="s">
        <v>20</v>
      </c>
      <c r="F52" s="26">
        <v>19</v>
      </c>
      <c r="G52" s="18">
        <f t="shared" si="0"/>
        <v>48.26</v>
      </c>
      <c r="H52" s="26">
        <v>10.51</v>
      </c>
      <c r="I52" s="58"/>
      <c r="J52" s="29" t="s">
        <v>19</v>
      </c>
      <c r="K52" s="7"/>
      <c r="L52" s="31">
        <v>110</v>
      </c>
      <c r="M52" s="31">
        <v>19.3</v>
      </c>
      <c r="N52" s="7"/>
      <c r="O52" s="7"/>
      <c r="P52" s="7"/>
    </row>
    <row r="53" spans="1:16" ht="14.1" customHeight="1" x14ac:dyDescent="0.3">
      <c r="A53" s="16">
        <v>12</v>
      </c>
      <c r="B53" s="31">
        <v>3</v>
      </c>
      <c r="C53" s="17" t="s">
        <v>14</v>
      </c>
      <c r="D53" s="17" t="s">
        <v>19</v>
      </c>
      <c r="E53" s="17" t="s">
        <v>20</v>
      </c>
      <c r="F53" s="18">
        <v>20</v>
      </c>
      <c r="G53" s="18">
        <f t="shared" si="0"/>
        <v>50.8</v>
      </c>
      <c r="H53" s="18">
        <v>5.58</v>
      </c>
      <c r="I53" s="57"/>
      <c r="J53" s="29" t="s">
        <v>19</v>
      </c>
      <c r="K53" s="7"/>
      <c r="L53" s="31">
        <v>149.30000000000001</v>
      </c>
      <c r="M53" s="31">
        <v>23.44</v>
      </c>
      <c r="N53" s="7"/>
      <c r="O53" s="7"/>
      <c r="P53" s="7"/>
    </row>
    <row r="54" spans="1:16" ht="14.1" customHeight="1" x14ac:dyDescent="0.3">
      <c r="A54" s="24">
        <v>12</v>
      </c>
      <c r="B54" s="31">
        <v>4</v>
      </c>
      <c r="C54" s="25" t="s">
        <v>14</v>
      </c>
      <c r="D54" s="25" t="s">
        <v>19</v>
      </c>
      <c r="E54" s="25" t="s">
        <v>20</v>
      </c>
      <c r="F54" s="26">
        <v>21</v>
      </c>
      <c r="G54" s="18">
        <f t="shared" si="0"/>
        <v>53.339999999999996</v>
      </c>
      <c r="H54" s="26">
        <v>4.45</v>
      </c>
      <c r="I54" s="58"/>
      <c r="J54" s="29" t="s">
        <v>19</v>
      </c>
      <c r="K54" s="7"/>
      <c r="L54" s="31">
        <v>137.5</v>
      </c>
      <c r="M54" s="31">
        <v>22.07</v>
      </c>
      <c r="N54" s="7"/>
      <c r="O54" s="7"/>
      <c r="P54" s="7"/>
    </row>
    <row r="55" spans="1:16" ht="14.1" customHeight="1" x14ac:dyDescent="0.3">
      <c r="A55" s="16">
        <v>13</v>
      </c>
      <c r="B55" s="31">
        <v>1</v>
      </c>
      <c r="C55" s="17" t="s">
        <v>18</v>
      </c>
      <c r="D55" s="17" t="s">
        <v>19</v>
      </c>
      <c r="E55" s="17" t="s">
        <v>20</v>
      </c>
      <c r="F55" s="18">
        <v>14.5</v>
      </c>
      <c r="G55" s="18">
        <f t="shared" si="0"/>
        <v>36.83</v>
      </c>
      <c r="H55" s="18">
        <v>7.16</v>
      </c>
      <c r="I55" s="57"/>
      <c r="J55" s="29" t="s">
        <v>19</v>
      </c>
      <c r="K55" s="7"/>
      <c r="L55" s="31">
        <v>43</v>
      </c>
      <c r="M55" s="31">
        <v>10.67</v>
      </c>
      <c r="N55" s="7"/>
      <c r="O55" s="7"/>
      <c r="P55" s="7"/>
    </row>
    <row r="56" spans="1:16" ht="14.1" customHeight="1" x14ac:dyDescent="0.3">
      <c r="A56" s="24">
        <v>13</v>
      </c>
      <c r="B56" s="31">
        <v>2</v>
      </c>
      <c r="C56" s="25" t="s">
        <v>14</v>
      </c>
      <c r="D56" s="25" t="s">
        <v>19</v>
      </c>
      <c r="E56" s="25" t="s">
        <v>20</v>
      </c>
      <c r="F56" s="26">
        <v>18</v>
      </c>
      <c r="G56" s="18">
        <f t="shared" si="0"/>
        <v>45.72</v>
      </c>
      <c r="H56" s="26">
        <v>5.99</v>
      </c>
      <c r="I56" s="58"/>
      <c r="J56" s="29" t="s">
        <v>19</v>
      </c>
      <c r="K56" s="7"/>
      <c r="L56" s="7"/>
      <c r="M56" s="7"/>
      <c r="N56" s="30" t="s">
        <v>28</v>
      </c>
      <c r="O56" s="7"/>
      <c r="P56" s="7"/>
    </row>
    <row r="57" spans="1:16" ht="14.1" customHeight="1" x14ac:dyDescent="0.3">
      <c r="A57" s="16">
        <v>13</v>
      </c>
      <c r="B57" s="31">
        <v>3</v>
      </c>
      <c r="C57" s="17" t="s">
        <v>14</v>
      </c>
      <c r="D57" s="17" t="s">
        <v>19</v>
      </c>
      <c r="E57" s="17" t="s">
        <v>20</v>
      </c>
      <c r="F57" s="18">
        <v>18.5</v>
      </c>
      <c r="G57" s="18">
        <f t="shared" si="0"/>
        <v>46.989999999999995</v>
      </c>
      <c r="H57" s="18">
        <v>4.03</v>
      </c>
      <c r="I57" s="57"/>
      <c r="J57" s="29" t="s">
        <v>19</v>
      </c>
      <c r="K57" s="7"/>
      <c r="L57" s="31">
        <v>71</v>
      </c>
      <c r="M57" s="31">
        <v>11.67</v>
      </c>
      <c r="N57" s="30"/>
      <c r="O57" s="30"/>
      <c r="P57" s="30"/>
    </row>
    <row r="58" spans="1:16" ht="14.1" customHeight="1" x14ac:dyDescent="0.3">
      <c r="A58" s="24">
        <v>13</v>
      </c>
      <c r="B58" s="31">
        <v>4</v>
      </c>
      <c r="C58" s="25" t="s">
        <v>18</v>
      </c>
      <c r="D58" s="25" t="s">
        <v>19</v>
      </c>
      <c r="E58" s="25" t="s">
        <v>20</v>
      </c>
      <c r="F58" s="26">
        <v>15.5</v>
      </c>
      <c r="G58" s="18">
        <f t="shared" si="0"/>
        <v>39.369999999999997</v>
      </c>
      <c r="H58" s="26">
        <v>7.65</v>
      </c>
      <c r="I58" s="58"/>
      <c r="J58" s="29" t="s">
        <v>19</v>
      </c>
      <c r="K58" s="7"/>
      <c r="L58" s="31">
        <v>79</v>
      </c>
      <c r="M58" s="31">
        <v>14.75</v>
      </c>
      <c r="N58" s="7"/>
      <c r="O58" s="7"/>
      <c r="P58" s="7"/>
    </row>
    <row r="59" spans="1:16" ht="14.1" customHeight="1" x14ac:dyDescent="0.3">
      <c r="A59" s="16">
        <v>14</v>
      </c>
      <c r="B59" s="31">
        <v>1</v>
      </c>
      <c r="C59" s="17" t="s">
        <v>14</v>
      </c>
      <c r="D59" s="17" t="s">
        <v>19</v>
      </c>
      <c r="E59" s="17" t="s">
        <v>20</v>
      </c>
      <c r="F59" s="18">
        <v>14</v>
      </c>
      <c r="G59" s="18">
        <f t="shared" si="0"/>
        <v>35.56</v>
      </c>
      <c r="H59" s="18">
        <v>3.29</v>
      </c>
      <c r="I59" s="57"/>
      <c r="J59" s="29" t="s">
        <v>19</v>
      </c>
      <c r="K59" s="7"/>
      <c r="L59" s="31">
        <v>152</v>
      </c>
      <c r="M59" s="31">
        <v>22.75</v>
      </c>
      <c r="N59" s="7"/>
      <c r="O59" s="7"/>
      <c r="P59" s="7"/>
    </row>
    <row r="60" spans="1:16" ht="14.1" customHeight="1" x14ac:dyDescent="0.3">
      <c r="A60" s="24">
        <v>14</v>
      </c>
      <c r="B60" s="31">
        <v>2</v>
      </c>
      <c r="C60" s="25" t="s">
        <v>14</v>
      </c>
      <c r="D60" s="25" t="s">
        <v>19</v>
      </c>
      <c r="E60" s="25" t="s">
        <v>20</v>
      </c>
      <c r="F60" s="26">
        <v>17</v>
      </c>
      <c r="G60" s="18">
        <f t="shared" si="0"/>
        <v>43.18</v>
      </c>
      <c r="H60" s="26">
        <v>4.38</v>
      </c>
      <c r="I60" s="58"/>
      <c r="J60" s="29" t="s">
        <v>19</v>
      </c>
      <c r="K60" s="7"/>
      <c r="L60" s="31">
        <v>143</v>
      </c>
      <c r="M60" s="31">
        <v>24.72</v>
      </c>
      <c r="N60" s="7"/>
      <c r="O60" s="7"/>
      <c r="P60" s="7"/>
    </row>
    <row r="61" spans="1:16" ht="14.1" customHeight="1" x14ac:dyDescent="0.3">
      <c r="A61" s="16">
        <v>14</v>
      </c>
      <c r="B61" s="31">
        <v>3</v>
      </c>
      <c r="C61" s="17" t="s">
        <v>18</v>
      </c>
      <c r="D61" s="17" t="s">
        <v>19</v>
      </c>
      <c r="E61" s="17" t="s">
        <v>20</v>
      </c>
      <c r="F61" s="18">
        <v>17</v>
      </c>
      <c r="G61" s="18">
        <f t="shared" si="0"/>
        <v>43.18</v>
      </c>
      <c r="H61" s="18">
        <v>9.1999999999999993</v>
      </c>
      <c r="I61" s="57"/>
      <c r="J61" s="29" t="s">
        <v>19</v>
      </c>
      <c r="K61" s="7"/>
      <c r="L61" s="31">
        <v>122.5</v>
      </c>
      <c r="M61" s="31">
        <v>14.77</v>
      </c>
      <c r="N61" s="7"/>
      <c r="O61" s="7"/>
      <c r="P61" s="7"/>
    </row>
    <row r="62" spans="1:16" ht="14.1" customHeight="1" x14ac:dyDescent="0.3">
      <c r="A62" s="24">
        <v>15</v>
      </c>
      <c r="B62" s="31">
        <v>1</v>
      </c>
      <c r="C62" s="25" t="s">
        <v>14</v>
      </c>
      <c r="D62" s="25" t="s">
        <v>19</v>
      </c>
      <c r="E62" s="25" t="s">
        <v>20</v>
      </c>
      <c r="F62" s="26">
        <v>13</v>
      </c>
      <c r="G62" s="18">
        <f t="shared" si="0"/>
        <v>33.019999999999996</v>
      </c>
      <c r="H62" s="26">
        <v>3.66</v>
      </c>
      <c r="I62" s="58"/>
      <c r="J62" s="29" t="s">
        <v>19</v>
      </c>
      <c r="K62" s="7"/>
      <c r="L62" s="31">
        <v>91</v>
      </c>
      <c r="M62" s="31">
        <v>13.11</v>
      </c>
      <c r="N62" s="7"/>
      <c r="O62" s="7"/>
      <c r="P62" s="7"/>
    </row>
    <row r="63" spans="1:16" ht="14.1" customHeight="1" x14ac:dyDescent="0.3">
      <c r="A63" s="16">
        <v>15</v>
      </c>
      <c r="B63" s="31">
        <v>2</v>
      </c>
      <c r="C63" s="17" t="s">
        <v>14</v>
      </c>
      <c r="D63" s="17" t="s">
        <v>19</v>
      </c>
      <c r="E63" s="17" t="s">
        <v>20</v>
      </c>
      <c r="F63" s="18">
        <v>14.5</v>
      </c>
      <c r="G63" s="18">
        <f t="shared" si="0"/>
        <v>36.83</v>
      </c>
      <c r="H63" s="18">
        <v>3.96</v>
      </c>
      <c r="I63" s="57"/>
      <c r="J63" s="32"/>
      <c r="K63" s="7"/>
      <c r="L63" s="31">
        <v>101</v>
      </c>
      <c r="M63" s="31">
        <v>11.61</v>
      </c>
      <c r="N63" s="7"/>
      <c r="O63" s="7"/>
      <c r="P63" s="7"/>
    </row>
    <row r="64" spans="1:16" ht="14.1" customHeight="1" x14ac:dyDescent="0.3">
      <c r="A64" s="24">
        <v>15</v>
      </c>
      <c r="B64" s="31">
        <v>3</v>
      </c>
      <c r="C64" s="25" t="s">
        <v>18</v>
      </c>
      <c r="D64" s="25" t="s">
        <v>19</v>
      </c>
      <c r="E64" s="25" t="s">
        <v>20</v>
      </c>
      <c r="F64" s="26">
        <v>8</v>
      </c>
      <c r="G64" s="18">
        <f t="shared" si="0"/>
        <v>20.32</v>
      </c>
      <c r="H64" s="26">
        <v>5.94</v>
      </c>
      <c r="I64" s="58"/>
      <c r="J64" s="32"/>
      <c r="K64" s="7"/>
      <c r="L64" s="7"/>
      <c r="M64" s="7"/>
      <c r="N64" s="30" t="s">
        <v>21</v>
      </c>
      <c r="O64" s="30"/>
      <c r="P64" s="30"/>
    </row>
    <row r="65" spans="1:16" ht="14.1" customHeight="1" x14ac:dyDescent="0.3">
      <c r="A65" s="16">
        <v>15</v>
      </c>
      <c r="B65" s="31">
        <v>4</v>
      </c>
      <c r="C65" s="17" t="s">
        <v>18</v>
      </c>
      <c r="D65" s="17" t="s">
        <v>19</v>
      </c>
      <c r="E65" s="17" t="s">
        <v>20</v>
      </c>
      <c r="F65" s="18">
        <v>8</v>
      </c>
      <c r="G65" s="18">
        <f t="shared" si="0"/>
        <v>20.32</v>
      </c>
      <c r="H65" s="18">
        <v>3.46</v>
      </c>
      <c r="I65" s="57"/>
      <c r="J65" s="32"/>
      <c r="K65" s="7"/>
      <c r="L65" s="7"/>
      <c r="M65" s="7"/>
      <c r="N65" s="30" t="s">
        <v>21</v>
      </c>
      <c r="O65" s="30"/>
      <c r="P65" s="30"/>
    </row>
    <row r="66" spans="1:16" ht="14.1" customHeight="1" x14ac:dyDescent="0.3">
      <c r="A66" s="24">
        <v>15</v>
      </c>
      <c r="B66" s="31">
        <v>5</v>
      </c>
      <c r="C66" s="25" t="s">
        <v>18</v>
      </c>
      <c r="D66" s="25" t="s">
        <v>19</v>
      </c>
      <c r="E66" s="25" t="s">
        <v>20</v>
      </c>
      <c r="F66" s="26">
        <v>22.5</v>
      </c>
      <c r="G66" s="18">
        <f t="shared" si="0"/>
        <v>57.15</v>
      </c>
      <c r="H66" s="26">
        <v>11.78</v>
      </c>
      <c r="I66" s="58"/>
      <c r="J66" s="32"/>
      <c r="K66" s="7"/>
      <c r="L66" s="7"/>
      <c r="M66" s="7"/>
      <c r="N66" s="30" t="s">
        <v>21</v>
      </c>
      <c r="O66" s="30"/>
      <c r="P66" s="30"/>
    </row>
    <row r="67" spans="1:16" ht="14.1" customHeight="1" x14ac:dyDescent="0.3">
      <c r="A67" s="24">
        <v>15</v>
      </c>
      <c r="B67" s="31">
        <v>6</v>
      </c>
      <c r="C67" s="24" t="s">
        <v>14</v>
      </c>
      <c r="D67" s="35"/>
      <c r="E67" s="35"/>
      <c r="F67" s="35"/>
      <c r="G67" s="18">
        <f t="shared" si="0"/>
        <v>0</v>
      </c>
      <c r="H67" s="35"/>
      <c r="I67" s="35"/>
      <c r="J67" s="29" t="s">
        <v>19</v>
      </c>
      <c r="K67" s="7"/>
      <c r="L67" s="31">
        <v>65</v>
      </c>
      <c r="M67" s="31">
        <v>9.24</v>
      </c>
      <c r="N67" s="30" t="s">
        <v>45</v>
      </c>
      <c r="O67" s="30"/>
      <c r="P67" s="7"/>
    </row>
    <row r="68" spans="1:16" ht="14.1" customHeight="1" x14ac:dyDescent="0.3">
      <c r="A68" s="24">
        <v>15</v>
      </c>
      <c r="B68" s="31">
        <v>7</v>
      </c>
      <c r="C68" s="24" t="s">
        <v>14</v>
      </c>
      <c r="D68" s="7"/>
      <c r="E68" s="7"/>
      <c r="F68" s="7"/>
      <c r="G68" s="18">
        <f t="shared" si="0"/>
        <v>0</v>
      </c>
      <c r="H68" s="7"/>
      <c r="I68" s="7"/>
      <c r="J68" s="29" t="s">
        <v>19</v>
      </c>
      <c r="K68" s="7"/>
      <c r="L68" s="31">
        <v>51</v>
      </c>
      <c r="M68" s="31">
        <v>6.79</v>
      </c>
      <c r="N68" s="30" t="s">
        <v>45</v>
      </c>
      <c r="O68" s="30"/>
      <c r="P68" s="7"/>
    </row>
    <row r="69" spans="1:16" ht="14.1" customHeight="1" x14ac:dyDescent="0.3">
      <c r="A69" s="24">
        <v>15</v>
      </c>
      <c r="B69" s="31">
        <v>8</v>
      </c>
      <c r="C69" s="24" t="s">
        <v>14</v>
      </c>
      <c r="D69" s="59"/>
      <c r="E69" s="59"/>
      <c r="F69" s="59"/>
      <c r="G69" s="18">
        <f t="shared" si="0"/>
        <v>0</v>
      </c>
      <c r="H69" s="59"/>
      <c r="I69" s="59"/>
      <c r="J69" s="29" t="s">
        <v>19</v>
      </c>
      <c r="K69" s="7"/>
      <c r="L69" s="31">
        <v>62</v>
      </c>
      <c r="M69" s="31">
        <v>6.87</v>
      </c>
      <c r="N69" s="30" t="s">
        <v>45</v>
      </c>
      <c r="O69" s="30"/>
      <c r="P69" s="7"/>
    </row>
    <row r="70" spans="1:16" ht="14.1" customHeight="1" x14ac:dyDescent="0.3">
      <c r="A70" s="16">
        <v>16</v>
      </c>
      <c r="B70" s="31">
        <v>1</v>
      </c>
      <c r="C70" s="17" t="s">
        <v>14</v>
      </c>
      <c r="D70" s="17" t="s">
        <v>19</v>
      </c>
      <c r="E70" s="17" t="s">
        <v>20</v>
      </c>
      <c r="F70" s="18">
        <v>15</v>
      </c>
      <c r="G70" s="18">
        <f t="shared" ref="G70:G72" si="1">CONVERT(F70,"in","cm")</f>
        <v>38.1</v>
      </c>
      <c r="H70" s="18">
        <v>4.87</v>
      </c>
      <c r="I70" s="57"/>
      <c r="J70" s="29" t="s">
        <v>19</v>
      </c>
      <c r="K70" s="7"/>
      <c r="L70" s="31">
        <v>116</v>
      </c>
      <c r="M70" s="31">
        <v>16.29</v>
      </c>
      <c r="N70" s="7"/>
      <c r="O70" s="7"/>
      <c r="P70" s="7"/>
    </row>
    <row r="71" spans="1:16" ht="14.1" customHeight="1" x14ac:dyDescent="0.3">
      <c r="A71" s="24">
        <v>16</v>
      </c>
      <c r="B71" s="31">
        <v>2</v>
      </c>
      <c r="C71" s="25" t="s">
        <v>14</v>
      </c>
      <c r="D71" s="25" t="s">
        <v>19</v>
      </c>
      <c r="E71" s="25" t="s">
        <v>20</v>
      </c>
      <c r="F71" s="26">
        <v>12.5</v>
      </c>
      <c r="G71" s="18">
        <f t="shared" si="1"/>
        <v>31.75</v>
      </c>
      <c r="H71" s="26">
        <v>3.7</v>
      </c>
      <c r="I71" s="58"/>
      <c r="J71" s="29" t="s">
        <v>19</v>
      </c>
      <c r="K71" s="7"/>
      <c r="L71" s="31">
        <v>103</v>
      </c>
      <c r="M71" s="31">
        <v>14.99</v>
      </c>
      <c r="N71" s="7"/>
      <c r="O71" s="7"/>
      <c r="P71" s="7"/>
    </row>
    <row r="72" spans="1:16" ht="14.1" customHeight="1" x14ac:dyDescent="0.3">
      <c r="A72" s="16">
        <v>16</v>
      </c>
      <c r="B72" s="31">
        <v>3</v>
      </c>
      <c r="C72" s="17" t="s">
        <v>18</v>
      </c>
      <c r="D72" s="17" t="s">
        <v>19</v>
      </c>
      <c r="E72" s="17" t="s">
        <v>20</v>
      </c>
      <c r="F72" s="18">
        <v>18</v>
      </c>
      <c r="G72" s="18">
        <f t="shared" si="1"/>
        <v>45.72</v>
      </c>
      <c r="H72" s="18">
        <v>11.1</v>
      </c>
      <c r="I72" s="57"/>
      <c r="J72" s="29" t="s">
        <v>19</v>
      </c>
      <c r="K72" s="7"/>
      <c r="L72" s="31">
        <v>132.5</v>
      </c>
      <c r="M72" s="31">
        <v>18.920000000000002</v>
      </c>
      <c r="N72" s="7"/>
      <c r="O72" s="7"/>
      <c r="P72" s="7"/>
    </row>
  </sheetData>
  <mergeCells count="1">
    <mergeCell ref="A2:H2"/>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Export Summary</vt:lpstr>
      <vt:lpstr>Area 1 - Outside Fence - West</vt:lpstr>
      <vt:lpstr>Area 2 - Outside Fence - East</vt:lpstr>
      <vt:lpstr>Area 3 - Inside Fence - West</vt:lpstr>
      <vt:lpstr>Area 4 - Inside Fence - East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Stacey Dixon</dc:creator>
  <cp:lastModifiedBy>Stacey Dixon</cp:lastModifiedBy>
  <dcterms:created xsi:type="dcterms:W3CDTF">2024-10-01T21:13:00Z</dcterms:created>
  <dcterms:modified xsi:type="dcterms:W3CDTF">2024-10-01T21:13:00Z</dcterms:modified>
</cp:coreProperties>
</file>