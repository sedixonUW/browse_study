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rica\Documents\Teaching\TBIOL432 Forest Eco\"/>
    </mc:Choice>
  </mc:AlternateContent>
  <bookViews>
    <workbookView xWindow="0" yWindow="0" windowWidth="28800" windowHeight="12435" activeTab="1"/>
  </bookViews>
  <sheets>
    <sheet name="Site Descriptions" sheetId="2" r:id="rId1"/>
    <sheet name="Data" sheetId="1" r:id="rId2"/>
    <sheet name="Pivot Table" sheetId="10" r:id="rId3"/>
    <sheet name="Pivot Table for Other Seedlings" sheetId="12" r:id="rId4"/>
    <sheet name="Pivot Table for Unit Data" sheetId="13" r:id="rId5"/>
    <sheet name="Height" sheetId="3" r:id="rId6"/>
    <sheet name="Diameter at Base" sheetId="4" r:id="rId7"/>
    <sheet name="Volume" sheetId="5" r:id="rId8"/>
    <sheet name="Survival" sheetId="6" r:id="rId9"/>
    <sheet name="Percent Grazed" sheetId="7" r:id="rId10"/>
    <sheet name="Density by Species" sheetId="8" r:id="rId11"/>
    <sheet name="SPSS Output" sheetId="14" r:id="rId12"/>
  </sheets>
  <calcPr calcId="191029" concurrentCalc="0"/>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2" i="5" l="1"/>
  <c r="N11" i="5"/>
  <c r="N14" i="5"/>
  <c r="N13" i="5"/>
  <c r="N15" i="5"/>
  <c r="O14" i="4"/>
  <c r="O13" i="4"/>
  <c r="O16" i="4"/>
  <c r="O15" i="4"/>
  <c r="O17" i="4"/>
  <c r="P18" i="3"/>
  <c r="P19" i="3"/>
  <c r="E2" i="12"/>
  <c r="C34" i="12"/>
  <c r="C32" i="12"/>
  <c r="C30" i="12"/>
  <c r="C28" i="12"/>
  <c r="C27" i="12"/>
  <c r="C26" i="12"/>
  <c r="C25" i="12"/>
  <c r="C24" i="12"/>
  <c r="C23" i="12"/>
  <c r="C22" i="12"/>
  <c r="C21" i="12"/>
  <c r="C20" i="12"/>
  <c r="C19" i="12"/>
  <c r="C18" i="12"/>
  <c r="C16" i="12"/>
  <c r="C15" i="12"/>
  <c r="C14" i="12"/>
  <c r="C13" i="12"/>
  <c r="C12" i="12"/>
  <c r="C10" i="12"/>
  <c r="C8" i="12"/>
  <c r="C6" i="12"/>
  <c r="C4" i="12"/>
  <c r="L1" i="10"/>
  <c r="J20" i="10"/>
  <c r="J21" i="10"/>
  <c r="J22" i="10"/>
  <c r="J23" i="10"/>
  <c r="L24" i="10"/>
  <c r="J15" i="10"/>
  <c r="J16" i="10"/>
  <c r="J17" i="10"/>
  <c r="J18" i="10"/>
  <c r="L19" i="10"/>
  <c r="J10" i="10"/>
  <c r="J11" i="10"/>
  <c r="J12" i="10"/>
  <c r="J13" i="10"/>
  <c r="L14" i="10"/>
  <c r="J5" i="10"/>
  <c r="J6" i="10"/>
  <c r="J7" i="10"/>
  <c r="J8" i="10"/>
  <c r="L9" i="10"/>
  <c r="E13" i="7"/>
  <c r="D13" i="7"/>
  <c r="C13" i="7"/>
  <c r="B13" i="7"/>
  <c r="K8" i="6"/>
  <c r="K9" i="6"/>
  <c r="K10" i="6"/>
  <c r="K11" i="6"/>
  <c r="K13" i="6"/>
  <c r="H8" i="6"/>
  <c r="H9" i="6"/>
  <c r="H10" i="6"/>
  <c r="H11" i="6"/>
  <c r="H13" i="6"/>
  <c r="E8" i="6"/>
  <c r="E9" i="6"/>
  <c r="E10" i="6"/>
  <c r="E11" i="6"/>
  <c r="E13" i="6"/>
  <c r="B8" i="6"/>
  <c r="B9" i="6"/>
  <c r="B10" i="6"/>
  <c r="B11" i="6"/>
  <c r="B12" i="6"/>
  <c r="B13" i="6"/>
  <c r="K24" i="10"/>
  <c r="K19" i="10"/>
  <c r="K14" i="10"/>
  <c r="K9" i="10"/>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439" i="1"/>
  <c r="K245" i="1"/>
  <c r="K244" i="1"/>
  <c r="K243" i="1"/>
  <c r="K242" i="1"/>
  <c r="K241" i="1"/>
  <c r="K240" i="1"/>
  <c r="K239" i="1"/>
  <c r="K238" i="1"/>
  <c r="K237" i="1"/>
  <c r="K236" i="1"/>
  <c r="K235" i="1"/>
  <c r="K234" i="1"/>
  <c r="K233" i="1"/>
  <c r="K232" i="1"/>
  <c r="K231" i="1"/>
  <c r="K230" i="1"/>
  <c r="K438" i="1"/>
  <c r="K437" i="1"/>
  <c r="K436" i="1"/>
  <c r="K435" i="1"/>
  <c r="K434" i="1"/>
  <c r="K433" i="1"/>
  <c r="K432" i="1"/>
  <c r="K229" i="1"/>
  <c r="K228" i="1"/>
  <c r="K227" i="1"/>
  <c r="K226" i="1"/>
  <c r="K225" i="1"/>
  <c r="K224" i="1"/>
  <c r="K223" i="1"/>
  <c r="K222" i="1"/>
  <c r="K221" i="1"/>
  <c r="K220" i="1"/>
  <c r="K219" i="1"/>
  <c r="K218" i="1"/>
  <c r="K431" i="1"/>
  <c r="K430" i="1"/>
  <c r="K429" i="1"/>
  <c r="K428" i="1"/>
  <c r="K427" i="1"/>
  <c r="K426" i="1"/>
  <c r="K425" i="1"/>
  <c r="K424" i="1"/>
  <c r="K423" i="1"/>
  <c r="K422" i="1"/>
  <c r="K421" i="1"/>
  <c r="K420" i="1"/>
  <c r="K419" i="1"/>
  <c r="K418" i="1"/>
  <c r="K417" i="1"/>
  <c r="K416" i="1"/>
  <c r="K415" i="1"/>
  <c r="K414" i="1"/>
  <c r="K413" i="1"/>
  <c r="K217" i="1"/>
  <c r="K216" i="1"/>
  <c r="K215" i="1"/>
  <c r="K214" i="1"/>
  <c r="K213" i="1"/>
  <c r="K212" i="1"/>
  <c r="K211" i="1"/>
  <c r="K210" i="1"/>
  <c r="K209" i="1"/>
  <c r="K208" i="1"/>
  <c r="K207" i="1"/>
  <c r="K206" i="1"/>
  <c r="K205" i="1"/>
  <c r="K204" i="1"/>
  <c r="K203" i="1"/>
  <c r="K202" i="1"/>
  <c r="K201" i="1"/>
  <c r="K200" i="1"/>
  <c r="K199" i="1"/>
  <c r="K412" i="1"/>
  <c r="K411" i="1"/>
  <c r="K410" i="1"/>
  <c r="K409" i="1"/>
  <c r="K408" i="1"/>
  <c r="K198" i="1"/>
  <c r="K197" i="1"/>
  <c r="K196" i="1"/>
  <c r="K195" i="1"/>
  <c r="K194" i="1"/>
  <c r="K193" i="1"/>
  <c r="K192" i="1"/>
  <c r="K191" i="1"/>
  <c r="K407" i="1"/>
  <c r="K190" i="1"/>
  <c r="K189" i="1"/>
  <c r="K188" i="1"/>
  <c r="K187" i="1"/>
  <c r="K186" i="1"/>
  <c r="K185" i="1"/>
  <c r="K184" i="1"/>
  <c r="K183" i="1"/>
  <c r="K182" i="1"/>
  <c r="K181" i="1"/>
  <c r="K406" i="1"/>
  <c r="K405" i="1"/>
  <c r="K404" i="1"/>
  <c r="K403" i="1"/>
  <c r="K402" i="1"/>
  <c r="K401" i="1"/>
  <c r="K400" i="1"/>
  <c r="K399" i="1"/>
  <c r="K398" i="1"/>
  <c r="K397"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396" i="1"/>
  <c r="K395" i="1"/>
  <c r="K394" i="1"/>
  <c r="K393" i="1"/>
  <c r="K392" i="1"/>
  <c r="K391" i="1"/>
  <c r="K390" i="1"/>
  <c r="K389" i="1"/>
  <c r="K388" i="1"/>
  <c r="K387"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386" i="1"/>
  <c r="K385" i="1"/>
  <c r="K120" i="1"/>
  <c r="K119" i="1"/>
  <c r="K348" i="1"/>
  <c r="K118" i="1"/>
  <c r="K117" i="1"/>
  <c r="K116" i="1"/>
  <c r="K115" i="1"/>
  <c r="K114" i="1"/>
  <c r="K113" i="1"/>
  <c r="K112" i="1"/>
  <c r="K384" i="1"/>
  <c r="K111" i="1"/>
  <c r="K383" i="1"/>
  <c r="K5" i="1"/>
  <c r="K110" i="1"/>
  <c r="K109" i="1"/>
  <c r="K347" i="1"/>
  <c r="K382" i="1"/>
  <c r="K353" i="1"/>
  <c r="K381" i="1"/>
  <c r="K108" i="1"/>
  <c r="K107" i="1"/>
  <c r="K380" i="1"/>
  <c r="K379" i="1"/>
  <c r="K106" i="1"/>
  <c r="K346" i="1"/>
  <c r="K378" i="1"/>
  <c r="K105" i="1"/>
  <c r="K104" i="1"/>
  <c r="K4" i="1"/>
  <c r="K103" i="1"/>
  <c r="K102" i="1"/>
  <c r="K101" i="1"/>
  <c r="K100" i="1"/>
  <c r="K99" i="1"/>
  <c r="K98" i="1"/>
  <c r="K3" i="1"/>
  <c r="K97" i="1"/>
  <c r="K96" i="1"/>
  <c r="K352" i="1"/>
  <c r="K351" i="1"/>
  <c r="K377" i="1"/>
  <c r="K2" i="1"/>
  <c r="K350" i="1"/>
  <c r="K95" i="1"/>
  <c r="K94" i="1"/>
  <c r="K93" i="1"/>
  <c r="K92" i="1"/>
  <c r="K91" i="1"/>
  <c r="K90" i="1"/>
  <c r="K349" i="1"/>
  <c r="K89" i="1"/>
  <c r="K88" i="1"/>
  <c r="K376" i="1"/>
  <c r="K375" i="1"/>
  <c r="K374" i="1"/>
  <c r="K373" i="1"/>
  <c r="K372" i="1"/>
  <c r="K371" i="1"/>
  <c r="K370" i="1"/>
  <c r="K369" i="1"/>
  <c r="K368" i="1"/>
  <c r="K367" i="1"/>
  <c r="K366" i="1"/>
  <c r="K365" i="1"/>
  <c r="K364" i="1"/>
  <c r="K87" i="1"/>
  <c r="K363" i="1"/>
  <c r="K362" i="1"/>
  <c r="K86" i="1"/>
  <c r="K85" i="1"/>
  <c r="K84" i="1"/>
  <c r="K361"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360" i="1"/>
  <c r="K359" i="1"/>
  <c r="K358" i="1"/>
  <c r="K46" i="1"/>
  <c r="K45" i="1"/>
  <c r="K357"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345" i="1"/>
  <c r="K16" i="1"/>
  <c r="K15" i="1"/>
  <c r="K356" i="1"/>
  <c r="K14" i="1"/>
  <c r="K13" i="1"/>
  <c r="K12" i="1"/>
  <c r="K11" i="1"/>
  <c r="K10" i="1"/>
  <c r="K355" i="1"/>
  <c r="K9" i="1"/>
  <c r="K344" i="1"/>
  <c r="K354" i="1"/>
  <c r="K8" i="1"/>
  <c r="K7" i="1"/>
  <c r="K343" i="1"/>
  <c r="K342" i="1"/>
  <c r="K6" i="1"/>
</calcChain>
</file>

<file path=xl/sharedStrings.xml><?xml version="1.0" encoding="utf-8"?>
<sst xmlns="http://schemas.openxmlformats.org/spreadsheetml/2006/main" count="2681" uniqueCount="354">
  <si>
    <t>Weededis1</t>
  </si>
  <si>
    <t>Fencedis1</t>
  </si>
  <si>
    <t xml:space="preserve">Plot No. </t>
  </si>
  <si>
    <t>Date</t>
  </si>
  <si>
    <t>GPS</t>
  </si>
  <si>
    <t>Treatment</t>
  </si>
  <si>
    <t>Site Description</t>
  </si>
  <si>
    <t>SeedlingNo</t>
  </si>
  <si>
    <t>SeedlingSP</t>
  </si>
  <si>
    <t>SeedlingHTcm</t>
  </si>
  <si>
    <t>SeedlingDBmm</t>
  </si>
  <si>
    <t>SeedlingVolumecm^3</t>
  </si>
  <si>
    <t>Cond1isNo</t>
  </si>
  <si>
    <t>Planted1isNo</t>
  </si>
  <si>
    <t>Graze1isYes</t>
  </si>
  <si>
    <t>Notes</t>
  </si>
  <si>
    <t>B</t>
  </si>
  <si>
    <t>Western Red Cedar</t>
  </si>
  <si>
    <t>Sitka Spruce</t>
  </si>
  <si>
    <t>Douglas-Fir</t>
  </si>
  <si>
    <t>adjacent to #61</t>
  </si>
  <si>
    <t>suppressed</t>
  </si>
  <si>
    <t>heavily buried</t>
  </si>
  <si>
    <t>slightly suppressed</t>
  </si>
  <si>
    <t>buried/suppressed</t>
  </si>
  <si>
    <t>adjacent to #44 in nursery log</t>
  </si>
  <si>
    <t>nursery log</t>
  </si>
  <si>
    <t>Grand Fir</t>
  </si>
  <si>
    <t>Western White Pine</t>
  </si>
  <si>
    <t>supressed</t>
  </si>
  <si>
    <t>fair</t>
  </si>
  <si>
    <t>snapped</t>
  </si>
  <si>
    <t>Plot Name</t>
  </si>
  <si>
    <t>Plot No</t>
  </si>
  <si>
    <t>Average Height (cm)</t>
  </si>
  <si>
    <t>Std Dev</t>
  </si>
  <si>
    <t>Average DB (mm) Western Red Cedar</t>
  </si>
  <si>
    <t>Average Estimated Volume(cm^3) Western Red Cedar</t>
  </si>
  <si>
    <t>% Survival</t>
  </si>
  <si>
    <t>% grazed</t>
  </si>
  <si>
    <t>Density (WRC/m^2)</t>
  </si>
  <si>
    <t>B2</t>
  </si>
  <si>
    <t>Fenced/Unweeded</t>
  </si>
  <si>
    <t>2/3 of site is heavily vegetated (taller than 6'). To the left of the fence in the corner of the plot stands three tall mature trees just outside of the fence.</t>
  </si>
  <si>
    <t>Unfenced/Unweeded</t>
  </si>
  <si>
    <t>a lot of Pterdiem aquilinum and Polystichum munitum. Vegetation around 3-5' average. A lot of grass cover, come moss under vegetation. Plants where grass is not present. Thinned trees (1-4) - harvested? A lot of CWD, mainly under ferns.</t>
  </si>
  <si>
    <t>B3</t>
  </si>
  <si>
    <t>B1</t>
  </si>
  <si>
    <t>B4</t>
  </si>
  <si>
    <t>Fenced/Weeded</t>
  </si>
  <si>
    <t>A</t>
  </si>
  <si>
    <t>A3</t>
  </si>
  <si>
    <t xml:space="preserve">A lot of Gaultheria shallon, Pterdiem aquilinum, and Polystichum munitum. 1/8 of plot is covered in large woody debris. Impossible to see what's underneath. 1/4 of plot is covered in thick brush taller than us on top of logs. Impossible to get to. </t>
  </si>
  <si>
    <t>A2</t>
  </si>
  <si>
    <t>Heavily vined. Large maple with a lot of polystichum munitum covering it. Near impossible navigation.</t>
  </si>
  <si>
    <t>A1</t>
  </si>
  <si>
    <t>Fence compromised.</t>
  </si>
  <si>
    <t xml:space="preserve">Weeded in 2019. Two standing snags in corner of plot. Fence secure and in good condition. Little CWD. Heavy grass - more vegetation cover from Polystichum munitum, Rubus spectabilis, and Rubus ursinus. Huge hole (filled with water) - may let in smaller herbivores but no grazig immedately nearby. </t>
  </si>
  <si>
    <t>A4</t>
  </si>
  <si>
    <t>Seedlings in this site are individually tagged. Plot is lined by Pseudotsuga menziesii stands and snags on one side of plot. Five large stumps in plot, little CWD, most of plot is very open with no tree cover. Lots of grass - no visible dirt.</t>
  </si>
  <si>
    <t>C4</t>
  </si>
  <si>
    <t>Looks more recently weeded than two years ago. Deer feces in plot. Three stumps and about 15% CWD in plot. Gaultheria shallon is the prominent vegetation type - even the grasses are cut short. Noticeable fire damage.</t>
  </si>
  <si>
    <t>Unfenced/Weeded</t>
  </si>
  <si>
    <t>C3</t>
  </si>
  <si>
    <t>Large downed log. Heavy Gaultheria shallon and Holodiscus discolor. Two tree stumps. Covered in wheat-like grass on far side. Heavily covered with Rubus unrsinus.</t>
  </si>
  <si>
    <t>C1</t>
  </si>
  <si>
    <t>Two stumps within plot - one stump noticeable charring. No immedaite surrounding tree cover. Lots of grasses (more wheat-like and tall ~3'). Burned/charred wood in site (root not removeable so determined burn happened on site.</t>
  </si>
  <si>
    <t>C2</t>
  </si>
  <si>
    <t>Gaultheria shallon present. A lot of dead Pterdiem aquilinum and Rubus ursinus. One Acer macrophyllum. Large woody debris. Everything built on a 1/2' bed of LWD.</t>
  </si>
  <si>
    <t>D4</t>
  </si>
  <si>
    <t xml:space="preserve">Mostly clear and weeded but two ~5 m squareish areas with heavy vegetation cover. Many seedlings damaged on trunk noticeably from weed whacking, </t>
  </si>
  <si>
    <t>D1</t>
  </si>
  <si>
    <t>One large stump and one fallen log running entire length of plot. ~40-45% CWD. Prominent vegetation is Polystichum munitum and Rubus ursinus.</t>
  </si>
  <si>
    <t>D2</t>
  </si>
  <si>
    <t>Pterdiem aquilinum, Acer circinatum, Acer macrophyllum - all at eye level height. Large pile of woody debris (large logs up to eye level) - 1/8 of plot covered and unreachable. Some Rubus discolor. Heavy amount of Chamerion angustifolium.</t>
  </si>
  <si>
    <t>D3</t>
  </si>
  <si>
    <t>A lot of natural regen. - Pseudotsuga menziesii, Tsuga heterophylla, Pinus monticola (planted). Vegetation on ground is heavy ith bark but not much vegetation. Large woody deris, three stumps. Short, thick Thuja plicata - super bushy, very mutli-stemmed on top.</t>
  </si>
  <si>
    <t>Tag #32</t>
  </si>
  <si>
    <t>Tag #28</t>
  </si>
  <si>
    <t>Tag #30, brown, near snag</t>
  </si>
  <si>
    <t>Tag #31</t>
  </si>
  <si>
    <t>Tag #27</t>
  </si>
  <si>
    <t>Tag #24</t>
  </si>
  <si>
    <t>Tag #26</t>
  </si>
  <si>
    <t>Tag #29</t>
  </si>
  <si>
    <t>Tag #22, grazed at 60cm</t>
  </si>
  <si>
    <t>Tag #20</t>
  </si>
  <si>
    <t>Tag #25</t>
  </si>
  <si>
    <t>Tag #19</t>
  </si>
  <si>
    <t>Tag #23</t>
  </si>
  <si>
    <t>Tag #21</t>
  </si>
  <si>
    <t>Tag #17, grazed at bottom</t>
  </si>
  <si>
    <t>Tag #18</t>
  </si>
  <si>
    <t>Tag #13</t>
  </si>
  <si>
    <t>Tag #15, grazed at bottom</t>
  </si>
  <si>
    <t>Tag #16, grazed on side</t>
  </si>
  <si>
    <t>Tag #14</t>
  </si>
  <si>
    <t>Tag #10, grazed on top</t>
  </si>
  <si>
    <t>Tag #12</t>
  </si>
  <si>
    <t>Tag #9, grazed on top</t>
  </si>
  <si>
    <t>Tag #11, suppressed, grazed on sides</t>
  </si>
  <si>
    <t>Tag #6</t>
  </si>
  <si>
    <t>Tag #8, grazed on top</t>
  </si>
  <si>
    <t>Tag #5</t>
  </si>
  <si>
    <t>Tag #7</t>
  </si>
  <si>
    <t>Tag #1</t>
  </si>
  <si>
    <t>Tag #4</t>
  </si>
  <si>
    <t>dead/snapped</t>
  </si>
  <si>
    <t>grazed on top</t>
  </si>
  <si>
    <t>undetermined planting</t>
  </si>
  <si>
    <t xml:space="preserve">Tag #3 </t>
  </si>
  <si>
    <t xml:space="preserve">Tag #8 </t>
  </si>
  <si>
    <t>Tag #2, brown</t>
  </si>
  <si>
    <t xml:space="preserve">Tag #9 </t>
  </si>
  <si>
    <t xml:space="preserve">Tag #16 </t>
  </si>
  <si>
    <t xml:space="preserve">Tag #15 </t>
  </si>
  <si>
    <t xml:space="preserve">Tag #10 </t>
  </si>
  <si>
    <t>Tag #20, brown bottom</t>
  </si>
  <si>
    <t xml:space="preserve">Tag #17 </t>
  </si>
  <si>
    <t>Tag #11, Dead</t>
  </si>
  <si>
    <t>Tag #2</t>
  </si>
  <si>
    <t xml:space="preserve">Tag #22 </t>
  </si>
  <si>
    <t xml:space="preserve">Tag #1 </t>
  </si>
  <si>
    <t>covered</t>
  </si>
  <si>
    <t>*</t>
  </si>
  <si>
    <t>nearly bent</t>
  </si>
  <si>
    <t>C</t>
  </si>
  <si>
    <t>damaged</t>
  </si>
  <si>
    <t>heavily damaged, grazed or stomped</t>
  </si>
  <si>
    <t>*bent</t>
  </si>
  <si>
    <t>D</t>
  </si>
  <si>
    <t>split trunk - 2 diverging trunks (1 is grazed)</t>
  </si>
  <si>
    <t>trunk damage</t>
  </si>
  <si>
    <t>weeding damage</t>
  </si>
  <si>
    <t>sun-bleached</t>
  </si>
  <si>
    <t>multi-stemmed</t>
  </si>
  <si>
    <t>grazing damage at trunk</t>
  </si>
  <si>
    <t>Weeded/Fenced</t>
  </si>
  <si>
    <t>Not Weeded/Fenced</t>
  </si>
  <si>
    <t>Weeded/Not Fenced</t>
  </si>
  <si>
    <t>Not Weeded/Not Fenced</t>
  </si>
  <si>
    <t>Row Labels</t>
  </si>
  <si>
    <t>Grand Total</t>
  </si>
  <si>
    <t>Weeded &amp; Fenced</t>
  </si>
  <si>
    <t>Unweeded &amp; Fenced</t>
  </si>
  <si>
    <t>Unweeded &amp; Unfenced</t>
  </si>
  <si>
    <t>Weeded &amp; Unfenced</t>
  </si>
  <si>
    <t>Average of SeedlingHTcm</t>
  </si>
  <si>
    <t>StdDev of SeedlingHTcm</t>
  </si>
  <si>
    <t>Average of SeedlingDBmm</t>
  </si>
  <si>
    <t>StdDev of SeedlingDBmm</t>
  </si>
  <si>
    <t>Average of SeedlingVolumecm^3</t>
  </si>
  <si>
    <t>StdDev of SeedlingVolumecm^3</t>
  </si>
  <si>
    <t>Count of SeedlingSP</t>
  </si>
  <si>
    <t>Plot Area (m^2)</t>
  </si>
  <si>
    <t>Average Density/Treatment Type</t>
  </si>
  <si>
    <t xml:space="preserve">Std Dev. </t>
  </si>
  <si>
    <t>Average</t>
  </si>
  <si>
    <t xml:space="preserve">A </t>
  </si>
  <si>
    <t>Std Dev.</t>
  </si>
  <si>
    <t>Density WRC</t>
  </si>
  <si>
    <t>Density (Seedlings/m^2)</t>
  </si>
  <si>
    <t>Seedling Species</t>
  </si>
  <si>
    <t>Density</t>
  </si>
  <si>
    <t>SeedlingNO</t>
  </si>
  <si>
    <t>Unit</t>
  </si>
  <si>
    <t>StdDev of SeedlingDBmm2</t>
  </si>
  <si>
    <t>StdDev of SeedlingVolumecm^3_2</t>
  </si>
  <si>
    <t>Ave Height</t>
  </si>
  <si>
    <t>Ave DBB</t>
  </si>
  <si>
    <t>Ave Volume</t>
  </si>
  <si>
    <t xml:space="preserve">Not Fenced Ave </t>
  </si>
  <si>
    <t>Fenced Ave</t>
  </si>
  <si>
    <t>Not Fenced Ave</t>
  </si>
  <si>
    <t>AVERAGE</t>
  </si>
  <si>
    <t>Percent Diff</t>
  </si>
  <si>
    <t>Difference</t>
  </si>
  <si>
    <t>GET DATA /TYPE=XLSX</t>
  </si>
  <si>
    <t xml:space="preserve">  /FILE='\\home.tacoma.uw.edu\ecline$\UWT Courses\TBIOL432 2019 Autumn\Student work\Pack forest\Pack project datasets\Seedling exclosure 11_25_2019 Drew Rachel.xlsx'</t>
  </si>
  <si>
    <t xml:space="preserve">  /SHEET=name 'Data'</t>
  </si>
  <si>
    <t xml:space="preserve">  /CELLRANGE=full</t>
  </si>
  <si>
    <t xml:space="preserve">  /READNAMES=on</t>
  </si>
  <si>
    <t xml:space="preserve">  /ASSUMEDSTRWIDTH=32767.</t>
  </si>
  <si>
    <t>DATASET NAME DataSet1 WINDOW=FRONT.</t>
  </si>
  <si>
    <t>ONEWAY SeedlingHTcm SeedlingDBmm SeedlingVolumecm3 BY Weededis1</t>
  </si>
  <si>
    <t xml:space="preserve">  /STATISTICS DESCRIPTIVES</t>
  </si>
  <si>
    <t xml:space="preserve">  /MISSING ANALYSIS.</t>
  </si>
  <si>
    <t>ONEWAY SeedlingHTcm SeedlingDBmm SeedlingVolumecm3 BY Graze1isYes</t>
  </si>
  <si>
    <t>Oneway</t>
  </si>
  <si>
    <t>Output Created</t>
  </si>
  <si>
    <t>25-Nov-2019 14:19:52</t>
  </si>
  <si>
    <t>Comments</t>
  </si>
  <si>
    <t xml:space="preserve"> </t>
  </si>
  <si>
    <t>Input</t>
  </si>
  <si>
    <t>Active Dataset</t>
  </si>
  <si>
    <t>DataSet1</t>
  </si>
  <si>
    <t>Filter</t>
  </si>
  <si>
    <t>&lt;none&gt;</t>
  </si>
  <si>
    <t>Weight</t>
  </si>
  <si>
    <t>Split File</t>
  </si>
  <si>
    <t>N of Rows in Working Data File</t>
  </si>
  <si>
    <t>Missing Value Handling</t>
  </si>
  <si>
    <t>Definition of Missing</t>
  </si>
  <si>
    <t>User-defined missing values are treated as missing.</t>
  </si>
  <si>
    <t>Cases Used</t>
  </si>
  <si>
    <t>Statistics for each analysis are based on cases with no missing data for any variable in the analysis.</t>
  </si>
  <si>
    <t>Syntax</t>
  </si>
  <si>
    <t xml:space="preserve">ONEWAY SeedlingHTcm SeedlingDBmm SeedlingVolumecm3 BY Graze1isYes
  /STATISTICS DESCRIPTIVES
  /MISSING ANALYSIS.
</t>
  </si>
  <si>
    <t>Resources</t>
  </si>
  <si>
    <t>Processor Time</t>
  </si>
  <si>
    <t>00:00:00.031</t>
  </si>
  <si>
    <t>Elapsed Time</t>
  </si>
  <si>
    <t>00:00:00.094</t>
  </si>
  <si>
    <t xml:space="preserve">[DataSet1] </t>
  </si>
  <si>
    <t>Warnings</t>
  </si>
  <si>
    <t>1</t>
  </si>
  <si>
    <t>There are fewer than two groups for dependent variable SeedlingHTcm in split file SeedlingSP = Western White Pine. No statistics are computed.</t>
  </si>
  <si>
    <t>2</t>
  </si>
  <si>
    <t>There are fewer than two groups for dependent variable SeedlingDBmm in split file SeedlingSP = Western White Pine. No statistics are computed.</t>
  </si>
  <si>
    <t>3</t>
  </si>
  <si>
    <t>There are fewer than two groups for dependent variable SeedlingVolumecm^3 in split file SeedlingSP = Western White Pine. No statistics are computed.</t>
  </si>
  <si>
    <t>SeedlingSP = Douglas-Fir</t>
  </si>
  <si>
    <t>Descriptivesa</t>
  </si>
  <si>
    <t>N</t>
  </si>
  <si>
    <t>Mean</t>
  </si>
  <si>
    <t>Std. Deviation</t>
  </si>
  <si>
    <t>Std. Error</t>
  </si>
  <si>
    <t>95% Confidence Interval for Mean</t>
  </si>
  <si>
    <t>Minimum</t>
  </si>
  <si>
    <t>Maximum</t>
  </si>
  <si>
    <t>Lower Bound</t>
  </si>
  <si>
    <t>Upper Bound</t>
  </si>
  <si>
    <t>0</t>
  </si>
  <si>
    <t>Total</t>
  </si>
  <si>
    <t>ANOVAa</t>
  </si>
  <si>
    <t>Sum of Squares</t>
  </si>
  <si>
    <t>df</t>
  </si>
  <si>
    <t>Mean Square</t>
  </si>
  <si>
    <t>F</t>
  </si>
  <si>
    <t>Sig.</t>
  </si>
  <si>
    <t>Between Groups</t>
  </si>
  <si>
    <t>Within Groups</t>
  </si>
  <si>
    <t>SeedlingSP = Grand Fir</t>
  </si>
  <si>
    <t>.</t>
  </si>
  <si>
    <t>SeedlingSP = Sitka Spruce</t>
  </si>
  <si>
    <t>SeedlingSP = Western Red Cedar</t>
  </si>
  <si>
    <t>SeedlingSP = Western White Pine</t>
  </si>
  <si>
    <t>SPLIT FILE OFF.</t>
  </si>
  <si>
    <t>SAVE OUTFILE='\\home.tacoma.uw.edu\ecline$\UWT Courses\TBIOL432 2019 Autumn\Student work\Pack '+</t>
  </si>
  <si>
    <t xml:space="preserve">    'forest\Pack project datasets\Rachel Drew 1.sav'</t>
  </si>
  <si>
    <t xml:space="preserve">  /COMPRESSED.</t>
  </si>
  <si>
    <t>USE ALL.</t>
  </si>
  <si>
    <t>COMPUTE filter_$=(SeedlingNO_A=1).</t>
  </si>
  <si>
    <t>VARIABLE LABEL filter_$ 'SeedlingNO_A=1 (FILTER)'.</t>
  </si>
  <si>
    <t>VALUE LABELS filter_$ 0 'Not Selected' 1 'Selected'.</t>
  </si>
  <si>
    <t>FORMAT filter_$ (f1.0).</t>
  </si>
  <si>
    <t>FILTER BY filter_$.</t>
  </si>
  <si>
    <t>EXECUTE.</t>
  </si>
  <si>
    <t>UNIANOVA SeedlingHTcm BY Weededis1 Fencedis1 PlotNo</t>
  </si>
  <si>
    <t xml:space="preserve">  /RANDOM=PlotNo</t>
  </si>
  <si>
    <t xml:space="preserve">  /METHOD=SSTYPE(3)</t>
  </si>
  <si>
    <t xml:space="preserve">  /INTERCEPT=INCLUDE</t>
  </si>
  <si>
    <t xml:space="preserve">  /PRINT=ETASQ DESCRIPTIVE</t>
  </si>
  <si>
    <t xml:space="preserve">  /CRITERIA=ALPHA(.1)</t>
  </si>
  <si>
    <t xml:space="preserve">  /DESIGN=Weededis1 Fencedis1 PlotNo Weededis1*Fencedis1 Weededis1*PlotNo Fencedis1*PlotNo Weededis1*Fencedis1*PlotNo.</t>
  </si>
  <si>
    <t>UNIANOVA SeedlingHTcm BY Weededis1 Fencedis1 UnitName</t>
  </si>
  <si>
    <t xml:space="preserve">  /RANDOM=UnitName</t>
  </si>
  <si>
    <t xml:space="preserve">  /DESIGN=Weededis1 Fencedis1 UnitName Weededis1*Fencedis1 Weededis1*UnitName Fencedis1*UnitName Weededis1*Fencedis1*UnitName.</t>
  </si>
  <si>
    <t>Univariate Analysis of Variance</t>
  </si>
  <si>
    <t>25-Nov-2019 14:36:48</t>
  </si>
  <si>
    <t>Data</t>
  </si>
  <si>
    <t>\\home.tacoma.uw.edu\ecline$\UWT Courses\TBIOL432 2019 Autumn\Student work\Pack forest\Pack project datasets\Rachel Drew 1.sav</t>
  </si>
  <si>
    <t>SeedlingNO_A=1 (FILTER)</t>
  </si>
  <si>
    <t>Statistics are based on all cases with valid data for all variables in the model.</t>
  </si>
  <si>
    <t xml:space="preserve">UNIANOVA SeedlingHTcm BY Weededis1 Fencedis1 UnitName
  /RANDOM=UnitName
  /METHOD=SSTYPE(3)
  /INTERCEPT=INCLUDE
  /PRINT=ETASQ DESCRIPTIVE
  /CRITERIA=ALPHA(.1)
  /DESIGN=Weededis1 Fencedis1 UnitName Weededis1*Fencedis1 Weededis1*UnitName Fencedis1*UnitName Weededis1*Fencedis1*UnitName.
</t>
  </si>
  <si>
    <t>00:00:00.016</t>
  </si>
  <si>
    <t>00:00:00.023</t>
  </si>
  <si>
    <t>[DataSet1] \\home.tacoma.uw.edu\ecline$\UWT Courses\TBIOL432 2019 Autumn\Student work\Pack forest\Pack project datasets\Rachel Drew 1.sav</t>
  </si>
  <si>
    <t>Between-Subjects Factors</t>
  </si>
  <si>
    <t>Descriptive Statistics</t>
  </si>
  <si>
    <t>Dependent Variable:SeedlingHTcm</t>
  </si>
  <si>
    <t>Tests of Between-Subjects Effects</t>
  </si>
  <si>
    <t>Source</t>
  </si>
  <si>
    <t>Type III Sum of Squares</t>
  </si>
  <si>
    <t>Partial Eta Squared</t>
  </si>
  <si>
    <t>Intercept</t>
  </si>
  <si>
    <t>Hypothesis</t>
  </si>
  <si>
    <t>Error</t>
  </si>
  <si>
    <t>UnitName</t>
  </si>
  <si>
    <t>Weededis1 * Fencedis1</t>
  </si>
  <si>
    <t>Weededis1 * UnitName</t>
  </si>
  <si>
    <t>Fencedis1 * UnitName</t>
  </si>
  <si>
    <t>Weededis1 * Fencedis1 * UnitName</t>
  </si>
  <si>
    <t>Expected Mean Squaresa,b</t>
  </si>
  <si>
    <t>Variance Component</t>
  </si>
  <si>
    <t>Var(UnitName)</t>
  </si>
  <si>
    <t>Var(Weededis1 * UnitName)</t>
  </si>
  <si>
    <t>Var(Fencedis1 * UnitName)</t>
  </si>
  <si>
    <t>Var(Weededis1 * Fencedis1 * UnitName)</t>
  </si>
  <si>
    <t>Var(Error)</t>
  </si>
  <si>
    <t>Quadratic Term</t>
  </si>
  <si>
    <t>Intercept, Weededis1, Fencedis1, Weededis1 * Fencedis1</t>
  </si>
  <si>
    <t>Weededis1, Weededis1 * Fencedis1</t>
  </si>
  <si>
    <t>Fencedis1, Weededis1 * Fencedis1</t>
  </si>
  <si>
    <t>UNIANOVA SeedlingDBmm BY Weededis1 Fencedis1 UnitName</t>
  </si>
  <si>
    <t>25-Nov-2019 14:47:42</t>
  </si>
  <si>
    <t xml:space="preserve">UNIANOVA SeedlingDBmm BY Weededis1 Fencedis1 UnitName
  /RANDOM=UnitName
  /METHOD=SSTYPE(3)
  /INTERCEPT=INCLUDE
  /PRINT=ETASQ DESCRIPTIVE
  /CRITERIA=ALPHA(.1)
  /DESIGN=Weededis1 Fencedis1 UnitName Weededis1*Fencedis1 Weededis1*UnitName Fencedis1*UnitName Weededis1*Fencedis1*UnitName.
</t>
  </si>
  <si>
    <t>00:00:00.015</t>
  </si>
  <si>
    <t>Dependent Variable:SeedlingDBmm</t>
  </si>
  <si>
    <t>.d</t>
  </si>
  <si>
    <t>UNIANOVA SeedlingVolumecm3 BY Weededis1 Fencedis1 UnitName</t>
  </si>
  <si>
    <t>25-Nov-2019 14:48:41</t>
  </si>
  <si>
    <t xml:space="preserve">UNIANOVA SeedlingVolumecm3 BY Weededis1 Fencedis1 UnitName
  /RANDOM=UnitName
  /METHOD=SSTYPE(3)
  /INTERCEPT=INCLUDE
  /PRINT=ETASQ DESCRIPTIVE
  /CRITERIA=ALPHA(.1)
  /DESIGN=Weededis1 Fencedis1 UnitName Weededis1*Fencedis1 Weededis1*UnitName Fencedis1*UnitName Weededis1*Fencedis1*UnitName.
</t>
  </si>
  <si>
    <t>Dependent Variable:SeedlingVolumecm^3</t>
  </si>
  <si>
    <t xml:space="preserve">  /PRINT=DESCRIPTIVE</t>
  </si>
  <si>
    <t>25-Nov-2019 14:51:50</t>
  </si>
  <si>
    <t xml:space="preserve">UNIANOVA SeedlingVolumecm3 BY Weededis1 Fencedis1 UnitName
  /RANDOM=UnitName
  /METHOD=SSTYPE(3)
  /INTERCEPT=INCLUDE
  /PRINT=DESCRIPTIVE
  /CRITERIA=ALPHA(.1)
  /DESIGN=Weededis1 Fencedis1 UnitName Weededis1*Fencedis1 Weededis1*UnitName Fencedis1*UnitName Weededis1*Fencedis1*UnitName.
</t>
  </si>
  <si>
    <t>00:00:00.019</t>
  </si>
  <si>
    <t>SORT CASES BY UnitName(A).</t>
  </si>
  <si>
    <t xml:space="preserve"> /COMPRESSED.</t>
  </si>
  <si>
    <t>UNIANOVA SeedlingVolumecm3 BY Weededis1 Fencedis1 UnitNo</t>
  </si>
  <si>
    <t xml:space="preserve">  /RANDOM=UnitNo</t>
  </si>
  <si>
    <t xml:space="preserve">  /DESIGN=Weededis1 Fencedis1 UnitNo Weededis1*Fencedis1 Weededis1*UnitNo Fencedis1*UnitNo Weededis1*Fencedis1*UnitNo.</t>
  </si>
  <si>
    <t>25-Nov-2019 14:56:25</t>
  </si>
  <si>
    <t xml:space="preserve">UNIANOVA SeedlingVolumecm3 BY Weededis1 Fencedis1 UnitNo
  /RANDOM=UnitNo
  /METHOD=SSTYPE(3)
  /INTERCEPT=INCLUDE
  /PRINT=DESCRIPTIVE
  /CRITERIA=ALPHA(.1)
  /DESIGN=Weededis1 Fencedis1 UnitNo Weededis1*Fencedis1 Weededis1*UnitNo Fencedis1*UnitNo Weededis1*Fencedis1*UnitNo.
</t>
  </si>
  <si>
    <t>00:00:00.000</t>
  </si>
  <si>
    <t>UnitNo</t>
  </si>
  <si>
    <t>1.00</t>
  </si>
  <si>
    <t>2.00</t>
  </si>
  <si>
    <t>3.00</t>
  </si>
  <si>
    <t>4.00</t>
  </si>
  <si>
    <t>Weededis1 * UnitNo</t>
  </si>
  <si>
    <t>Fencedis1 * UnitNo</t>
  </si>
  <si>
    <t>Weededis1 * Fencedis1 * UnitNo</t>
  </si>
  <si>
    <t>Var(UnitNo)</t>
  </si>
  <si>
    <t>Var(Weededis1 * UnitNo)</t>
  </si>
  <si>
    <t>Var(Fencedis1 * UnitNo)</t>
  </si>
  <si>
    <t>Var(Weededis1 * Fencedis1 * UnitNo)</t>
  </si>
  <si>
    <t>UNIANOVA SeedlingHTcm BY Graze1isYes UnitNo</t>
  </si>
  <si>
    <t xml:space="preserve">  /DESIGN=Graze1isYes UnitNo Graze1isYes*UnitNo.</t>
  </si>
  <si>
    <t>25-Nov-2019 14:59:18</t>
  </si>
  <si>
    <t xml:space="preserve">UNIANOVA SeedlingHTcm BY Graze1isYes UnitNo
  /RANDOM=UnitNo
  /METHOD=SSTYPE(3)
  /INTERCEPT=INCLUDE
  /PRINT=DESCRIPTIVE
  /CRITERIA=ALPHA(.1)
  /DESIGN=Graze1isYes UnitNo Graze1isYes*UnitNo.
</t>
  </si>
  <si>
    <t>Graze1isYes * UnitNo</t>
  </si>
  <si>
    <t>Var(Graze1isYes * UnitNo)</t>
  </si>
  <si>
    <t>Intercept, Graze1isYes</t>
  </si>
  <si>
    <t>UNIANOVA SeedlingDBmm BY Graze1isYes UnitNo</t>
  </si>
  <si>
    <t>25-Nov-2019 15:00:45</t>
  </si>
  <si>
    <t xml:space="preserve">UNIANOVA SeedlingDBmm BY Graze1isYes UnitNo
  /RANDOM=UnitNo
  /METHOD=SSTYPE(3)
  /INTERCEPT=INCLUDE
  /PRINT=DESCRIPTIVE
  /CRITERIA=ALPHA(.1)
  /DESIGN=Graze1isYes UnitNo Graze1isYes*UnitNo.
</t>
  </si>
  <si>
    <t>UNIANOVA SeedlingVolumecm3 BY Graze1isYes UnitNo</t>
  </si>
  <si>
    <t>25-Nov-2019 15:03:05</t>
  </si>
  <si>
    <t xml:space="preserve">UNIANOVA SeedlingVolumecm3 BY Graze1isYes UnitNo
  /RANDOM=UnitNo
  /METHOD=SSTYPE(3)
  /INTERCEPT=INCLUDE
  /PRINT=DESCRIPTIVE
  /CRITERIA=ALPHA(.1)
  /DESIGN=Graze1isYes UnitNo Graze1isYes*UnitNo.
</t>
  </si>
  <si>
    <t>00:00:00.013</t>
  </si>
  <si>
    <t>GET</t>
  </si>
  <si>
    <t xml:space="preserve">  FILE='C:\Users\rachhett\Downloads\Rachel Drew 1.sav'.</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</si>
</sst>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
    <numFmt numFmtId="165" formatCode="####.000"/>
    <numFmt numFmtId="166" formatCode="####.0000"/>
    <numFmt numFmtId="167" formatCode="####.0"/>
    <numFmt numFmtId="168" formatCode="####.00000000000"/>
    <numFmt numFmtId="169" formatCode="####.000000000000"/>
    <numFmt numFmtId="170" formatCode="####.000000000"/>
  </numFmts>
  <fonts count="12" x14ac:knownFonts="1">
    <font>
      <sz val="12"/>
      <color theme="1"/>
      <name val="Calibri"/>
      <family val="2"/>
      <scheme val="minor"/>
    </font>
    <font>
      <sz val="12"/>
      <color rgb="FF000000"/>
      <name val="Arial"/>
      <family val="2"/>
    </font>
    <font>
      <sz val="12"/>
      <color rgb="FF000000"/>
      <name val="Calibri"/>
      <family val="2"/>
      <scheme val="minor"/>
    </font>
    <font>
      <sz val="10"/>
      <name val="Arial"/>
      <family val="2"/>
    </font>
    <font>
      <sz val="10"/>
      <color theme="1"/>
      <name val="Arial"/>
      <family val="2"/>
    </font>
    <font>
      <b/>
      <sz val="12"/>
      <color theme="1"/>
      <name val="Calibri"/>
      <family val="2"/>
      <scheme val="minor"/>
    </font>
    <font>
      <sz val="10"/>
      <color rgb="FF000000"/>
      <name val="Arial"/>
      <family val="2"/>
    </font>
    <font>
      <sz val="10"/>
      <name val="Arial"/>
      <family val="2"/>
    </font>
    <font>
      <sz val="10"/>
      <color indexed="8"/>
      <name val="Courier New"/>
      <family val="1"/>
    </font>
    <font>
      <b/>
      <sz val="13"/>
      <color indexed="8"/>
      <name val="Arial Bold"/>
    </font>
    <font>
      <b/>
      <sz val="9"/>
      <color indexed="8"/>
      <name val="Arial Bold"/>
    </font>
    <font>
      <sz val="9"/>
      <color indexed="8"/>
      <name val="Arial"/>
      <family val="2"/>
    </font>
  </fonts>
  <fills count="2">
    <fill>
      <patternFill patternType="none"/>
    </fill>
    <fill>
      <patternFill patternType="gray125"/>
    </fill>
  </fills>
  <borders count="50">
    <border>
      <left/>
      <right/>
      <top/>
      <bottom/>
      <diagonal/>
    </border>
    <border>
      <left/>
      <right/>
      <top/>
      <bottom style="thin">
        <color theme="4" tint="0.39997558519241921"/>
      </bottom>
      <diagonal/>
    </border>
    <border>
      <left/>
      <right/>
      <top/>
      <bottom style="medium">
        <color indexed="8"/>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style="medium">
        <color indexed="8"/>
      </left>
      <right style="medium">
        <color indexed="8"/>
      </right>
      <top/>
      <bottom/>
      <diagonal/>
    </border>
    <border>
      <left/>
      <right style="medium">
        <color indexed="8"/>
      </right>
      <top/>
      <bottom/>
      <diagonal/>
    </border>
    <border>
      <left style="medium">
        <color indexed="8"/>
      </left>
      <right/>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bottom style="medium">
        <color indexed="8"/>
      </bottom>
      <diagonal/>
    </border>
    <border>
      <left style="medium">
        <color indexed="8"/>
      </left>
      <right/>
      <top style="medium">
        <color indexed="8"/>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top/>
      <bottom style="thin">
        <color indexed="8"/>
      </bottom>
      <diagonal/>
    </border>
    <border>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style="thin">
        <color indexed="8"/>
      </top>
      <bottom style="thin">
        <color indexed="8"/>
      </bottom>
      <diagonal/>
    </border>
    <border>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top style="medium">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style="medium">
        <color indexed="8"/>
      </bottom>
      <diagonal/>
    </border>
    <border>
      <left/>
      <right/>
      <top style="medium">
        <color indexed="8"/>
      </top>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2">
    <xf numFmtId="0" fontId="0" fillId="0" borderId="0"/>
    <xf numFmtId="0" fontId="7" fillId="0" borderId="0"/>
  </cellStyleXfs>
  <cellXfs count="166">
    <xf numFmtId="0" fontId="0" fillId="0" borderId="0" xfId="0"/>
    <xf numFmtId="14" fontId="0" fillId="0" borderId="0" xfId="0" applyNumberFormat="1" applyFont="1"/>
    <xf numFmtId="0" fontId="0" fillId="0" borderId="0" xfId="0" applyFont="1"/>
    <xf numFmtId="0" fontId="2" fillId="0" borderId="0" xfId="0" applyFont="1"/>
    <xf numFmtId="14" fontId="0" fillId="0" borderId="0" xfId="0" applyNumberFormat="1" applyFont="1" applyBorder="1"/>
    <xf numFmtId="0" fontId="2" fillId="0" borderId="0" xfId="0" applyFont="1" applyBorder="1"/>
    <xf numFmtId="0" fontId="0" fillId="0" borderId="0" xfId="0" applyFont="1" applyBorder="1"/>
    <xf numFmtId="0" fontId="1" fillId="0" borderId="0" xfId="0" applyFont="1"/>
    <xf numFmtId="0" fontId="0" fillId="0" borderId="0" xfId="0" applyFont="1" applyFill="1" applyBorder="1"/>
    <xf numFmtId="0" fontId="3" fillId="0" borderId="0" xfId="0" applyFont="1"/>
    <xf numFmtId="0" fontId="4" fillId="0" borderId="0" xfId="0" applyFont="1"/>
    <xf numFmtId="0" fontId="3" fillId="0" borderId="0" xfId="0" applyFont="1" applyAlignment="1">
      <alignment wrapText="1"/>
    </xf>
    <xf numFmtId="14" fontId="0" fillId="0" borderId="0" xfId="0" applyNumberFormat="1"/>
    <xf numFmtId="0" fontId="0" fillId="0" borderId="0" xfId="0" applyAlignment="1">
      <alignment wrapText="1"/>
    </xf>
    <xf numFmtId="0" fontId="2" fillId="0"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0" fontId="5" fillId="0" borderId="1" xfId="0" applyNumberFormat="1" applyFont="1" applyBorder="1"/>
    <xf numFmtId="0" fontId="6" fillId="0" borderId="0" xfId="0" applyFont="1"/>
    <xf numFmtId="0" fontId="0" fillId="0" borderId="0" xfId="0" applyAlignment="1">
      <alignment horizontal="left" indent="2"/>
    </xf>
    <xf numFmtId="0" fontId="2" fillId="0" borderId="0" xfId="0" applyFont="1" applyFill="1" applyBorder="1"/>
    <xf numFmtId="9" fontId="0" fillId="0" borderId="0" xfId="0" applyNumberFormat="1"/>
    <xf numFmtId="0" fontId="7" fillId="0" borderId="0" xfId="1"/>
    <xf numFmtId="0" fontId="8" fillId="0" borderId="0" xfId="1" applyFont="1" applyBorder="1" applyAlignment="1"/>
    <xf numFmtId="0" fontId="9" fillId="0" borderId="0" xfId="1" applyFont="1" applyBorder="1" applyAlignment="1"/>
    <xf numFmtId="0" fontId="11" fillId="0" borderId="3" xfId="1" applyFont="1" applyBorder="1" applyAlignment="1">
      <alignment horizontal="right" vertical="top"/>
    </xf>
    <xf numFmtId="0" fontId="11" fillId="0" borderId="5" xfId="1" applyFont="1" applyBorder="1" applyAlignment="1">
      <alignment vertical="top" wrapText="1"/>
    </xf>
    <xf numFmtId="0" fontId="11" fillId="0" borderId="6" xfId="1" applyFont="1" applyBorder="1" applyAlignment="1">
      <alignment horizontal="left" vertical="top" wrapText="1"/>
    </xf>
    <xf numFmtId="164" fontId="11" fillId="0" borderId="5" xfId="1" applyNumberFormat="1" applyFont="1" applyBorder="1" applyAlignment="1">
      <alignment horizontal="right" vertical="top"/>
    </xf>
    <xf numFmtId="0" fontId="11" fillId="0" borderId="5" xfId="1" applyFont="1" applyBorder="1" applyAlignment="1">
      <alignment horizontal="right" vertical="top" wrapText="1"/>
    </xf>
    <xf numFmtId="0" fontId="11" fillId="0" borderId="9" xfId="1" applyFont="1" applyBorder="1" applyAlignment="1">
      <alignment horizontal="left" vertical="top" wrapText="1"/>
    </xf>
    <xf numFmtId="0" fontId="11" fillId="0" borderId="10" xfId="1" applyFont="1" applyBorder="1" applyAlignment="1">
      <alignment horizontal="right" vertical="top" wrapText="1"/>
    </xf>
    <xf numFmtId="0" fontId="11" fillId="0" borderId="3" xfId="1" applyFont="1" applyBorder="1" applyAlignment="1">
      <alignment horizontal="left" vertical="top" wrapText="1"/>
    </xf>
    <xf numFmtId="0" fontId="11" fillId="0" borderId="3" xfId="1" applyFont="1" applyBorder="1" applyAlignment="1">
      <alignment vertical="top" wrapText="1"/>
    </xf>
    <xf numFmtId="0" fontId="11" fillId="0" borderId="5" xfId="1" applyFont="1" applyBorder="1" applyAlignment="1">
      <alignment horizontal="left" vertical="top" wrapText="1"/>
    </xf>
    <xf numFmtId="0" fontId="11" fillId="0" borderId="10" xfId="1" applyFont="1" applyBorder="1" applyAlignment="1">
      <alignment horizontal="left" vertical="top" wrapText="1"/>
    </xf>
    <xf numFmtId="0" fontId="11" fillId="0" borderId="10" xfId="1" applyFont="1" applyBorder="1" applyAlignment="1">
      <alignment vertical="top" wrapText="1"/>
    </xf>
    <xf numFmtId="0" fontId="11" fillId="0" borderId="19" xfId="1" applyFont="1" applyBorder="1" applyAlignment="1">
      <alignment horizontal="center" wrapText="1"/>
    </xf>
    <xf numFmtId="0" fontId="11" fillId="0" borderId="4" xfId="1" applyFont="1" applyBorder="1" applyAlignment="1">
      <alignment horizontal="left" vertical="top" wrapText="1"/>
    </xf>
    <xf numFmtId="164" fontId="11" fillId="0" borderId="22" xfId="1" applyNumberFormat="1" applyFont="1" applyBorder="1" applyAlignment="1">
      <alignment horizontal="right" vertical="top"/>
    </xf>
    <xf numFmtId="165" fontId="11" fillId="0" borderId="23" xfId="1" applyNumberFormat="1" applyFont="1" applyBorder="1" applyAlignment="1">
      <alignment horizontal="right" vertical="top"/>
    </xf>
    <xf numFmtId="166" fontId="11" fillId="0" borderId="23" xfId="1" applyNumberFormat="1" applyFont="1" applyBorder="1" applyAlignment="1">
      <alignment horizontal="right" vertical="top"/>
    </xf>
    <xf numFmtId="167" fontId="11" fillId="0" borderId="23" xfId="1" applyNumberFormat="1" applyFont="1" applyBorder="1" applyAlignment="1">
      <alignment horizontal="right" vertical="top"/>
    </xf>
    <xf numFmtId="167" fontId="11" fillId="0" borderId="24" xfId="1" applyNumberFormat="1" applyFont="1" applyBorder="1" applyAlignment="1">
      <alignment horizontal="right" vertical="top"/>
    </xf>
    <xf numFmtId="164" fontId="11" fillId="0" borderId="25" xfId="1" applyNumberFormat="1" applyFont="1" applyBorder="1" applyAlignment="1">
      <alignment horizontal="right" vertical="top"/>
    </xf>
    <xf numFmtId="165" fontId="11" fillId="0" borderId="26" xfId="1" applyNumberFormat="1" applyFont="1" applyBorder="1" applyAlignment="1">
      <alignment horizontal="right" vertical="top"/>
    </xf>
    <xf numFmtId="166" fontId="11" fillId="0" borderId="26" xfId="1" applyNumberFormat="1" applyFont="1" applyBorder="1" applyAlignment="1">
      <alignment horizontal="right" vertical="top"/>
    </xf>
    <xf numFmtId="167" fontId="11" fillId="0" borderId="26" xfId="1" applyNumberFormat="1" applyFont="1" applyBorder="1" applyAlignment="1">
      <alignment horizontal="right" vertical="top"/>
    </xf>
    <xf numFmtId="167" fontId="11" fillId="0" borderId="27" xfId="1" applyNumberFormat="1" applyFont="1" applyBorder="1" applyAlignment="1">
      <alignment horizontal="right" vertical="top"/>
    </xf>
    <xf numFmtId="0" fontId="11" fillId="0" borderId="29" xfId="1" applyFont="1" applyBorder="1" applyAlignment="1">
      <alignment horizontal="left" vertical="top" wrapText="1"/>
    </xf>
    <xf numFmtId="164" fontId="11" fillId="0" borderId="30" xfId="1" applyNumberFormat="1" applyFont="1" applyBorder="1" applyAlignment="1">
      <alignment horizontal="right" vertical="top"/>
    </xf>
    <xf numFmtId="165" fontId="11" fillId="0" borderId="31" xfId="1" applyNumberFormat="1" applyFont="1" applyBorder="1" applyAlignment="1">
      <alignment horizontal="right" vertical="top"/>
    </xf>
    <xf numFmtId="166" fontId="11" fillId="0" borderId="31" xfId="1" applyNumberFormat="1" applyFont="1" applyBorder="1" applyAlignment="1">
      <alignment horizontal="right" vertical="top"/>
    </xf>
    <xf numFmtId="167" fontId="11" fillId="0" borderId="31" xfId="1" applyNumberFormat="1" applyFont="1" applyBorder="1" applyAlignment="1">
      <alignment horizontal="right" vertical="top"/>
    </xf>
    <xf numFmtId="167" fontId="11" fillId="0" borderId="32" xfId="1" applyNumberFormat="1" applyFont="1" applyBorder="1" applyAlignment="1">
      <alignment horizontal="right" vertical="top"/>
    </xf>
    <xf numFmtId="0" fontId="11" fillId="0" borderId="34" xfId="1" applyFont="1" applyBorder="1" applyAlignment="1">
      <alignment horizontal="left" vertical="top" wrapText="1"/>
    </xf>
    <xf numFmtId="164" fontId="11" fillId="0" borderId="35" xfId="1" applyNumberFormat="1" applyFont="1" applyBorder="1" applyAlignment="1">
      <alignment horizontal="right" vertical="top"/>
    </xf>
    <xf numFmtId="165" fontId="11" fillId="0" borderId="36" xfId="1" applyNumberFormat="1" applyFont="1" applyBorder="1" applyAlignment="1">
      <alignment horizontal="right" vertical="top"/>
    </xf>
    <xf numFmtId="166" fontId="11" fillId="0" borderId="36" xfId="1" applyNumberFormat="1" applyFont="1" applyBorder="1" applyAlignment="1">
      <alignment horizontal="right" vertical="top"/>
    </xf>
    <xf numFmtId="167" fontId="11" fillId="0" borderId="36" xfId="1" applyNumberFormat="1" applyFont="1" applyBorder="1" applyAlignment="1">
      <alignment horizontal="right" vertical="top"/>
    </xf>
    <xf numFmtId="167" fontId="11" fillId="0" borderId="37" xfId="1" applyNumberFormat="1" applyFont="1" applyBorder="1" applyAlignment="1">
      <alignment horizontal="right" vertical="top"/>
    </xf>
    <xf numFmtId="168" fontId="11" fillId="0" borderId="36" xfId="1" applyNumberFormat="1" applyFont="1" applyBorder="1" applyAlignment="1">
      <alignment horizontal="right" vertical="top"/>
    </xf>
    <xf numFmtId="169" fontId="11" fillId="0" borderId="36" xfId="1" applyNumberFormat="1" applyFont="1" applyBorder="1" applyAlignment="1">
      <alignment horizontal="right" vertical="top"/>
    </xf>
    <xf numFmtId="170" fontId="11" fillId="0" borderId="36" xfId="1" applyNumberFormat="1" applyFont="1" applyBorder="1" applyAlignment="1">
      <alignment horizontal="right" vertical="top"/>
    </xf>
    <xf numFmtId="170" fontId="11" fillId="0" borderId="37" xfId="1" applyNumberFormat="1" applyFont="1" applyBorder="1" applyAlignment="1">
      <alignment horizontal="right" vertical="top"/>
    </xf>
    <xf numFmtId="168" fontId="11" fillId="0" borderId="26" xfId="1" applyNumberFormat="1" applyFont="1" applyBorder="1" applyAlignment="1">
      <alignment horizontal="right" vertical="top"/>
    </xf>
    <xf numFmtId="169" fontId="11" fillId="0" borderId="26" xfId="1" applyNumberFormat="1" applyFont="1" applyBorder="1" applyAlignment="1">
      <alignment horizontal="right" vertical="top"/>
    </xf>
    <xf numFmtId="170" fontId="11" fillId="0" borderId="26" xfId="1" applyNumberFormat="1" applyFont="1" applyBorder="1" applyAlignment="1">
      <alignment horizontal="right" vertical="top"/>
    </xf>
    <xf numFmtId="170" fontId="11" fillId="0" borderId="27" xfId="1" applyNumberFormat="1" applyFont="1" applyBorder="1" applyAlignment="1">
      <alignment horizontal="right" vertical="top"/>
    </xf>
    <xf numFmtId="164" fontId="11" fillId="0" borderId="17" xfId="1" applyNumberFormat="1" applyFont="1" applyBorder="1" applyAlignment="1">
      <alignment horizontal="right" vertical="top"/>
    </xf>
    <xf numFmtId="168" fontId="11" fillId="0" borderId="18" xfId="1" applyNumberFormat="1" applyFont="1" applyBorder="1" applyAlignment="1">
      <alignment horizontal="right" vertical="top"/>
    </xf>
    <xf numFmtId="169" fontId="11" fillId="0" borderId="18" xfId="1" applyNumberFormat="1" applyFont="1" applyBorder="1" applyAlignment="1">
      <alignment horizontal="right" vertical="top"/>
    </xf>
    <xf numFmtId="170" fontId="11" fillId="0" borderId="18" xfId="1" applyNumberFormat="1" applyFont="1" applyBorder="1" applyAlignment="1">
      <alignment horizontal="right" vertical="top"/>
    </xf>
    <xf numFmtId="170" fontId="11" fillId="0" borderId="20" xfId="1" applyNumberFormat="1" applyFont="1" applyBorder="1" applyAlignment="1">
      <alignment horizontal="right" vertical="top"/>
    </xf>
    <xf numFmtId="0" fontId="11" fillId="0" borderId="12" xfId="1" applyFont="1" applyBorder="1" applyAlignment="1">
      <alignment horizontal="center" wrapText="1"/>
    </xf>
    <xf numFmtId="0" fontId="11" fillId="0" borderId="13" xfId="1" applyFont="1" applyBorder="1" applyAlignment="1">
      <alignment horizontal="center" wrapText="1"/>
    </xf>
    <xf numFmtId="0" fontId="11" fillId="0" borderId="16" xfId="1" applyFont="1" applyBorder="1" applyAlignment="1">
      <alignment horizontal="center" wrapText="1"/>
    </xf>
    <xf numFmtId="165" fontId="11" fillId="0" borderId="22" xfId="1" applyNumberFormat="1" applyFont="1" applyBorder="1" applyAlignment="1">
      <alignment horizontal="right" vertical="top"/>
    </xf>
    <xf numFmtId="164" fontId="11" fillId="0" borderId="23" xfId="1" applyNumberFormat="1" applyFont="1" applyBorder="1" applyAlignment="1">
      <alignment horizontal="right" vertical="top"/>
    </xf>
    <xf numFmtId="165" fontId="11" fillId="0" borderId="24" xfId="1" applyNumberFormat="1" applyFont="1" applyBorder="1" applyAlignment="1">
      <alignment horizontal="right" vertical="top"/>
    </xf>
    <xf numFmtId="165" fontId="11" fillId="0" borderId="25" xfId="1" applyNumberFormat="1" applyFont="1" applyBorder="1" applyAlignment="1">
      <alignment horizontal="right" vertical="top"/>
    </xf>
    <xf numFmtId="164" fontId="11" fillId="0" borderId="26" xfId="1" applyNumberFormat="1" applyFont="1" applyBorder="1" applyAlignment="1">
      <alignment horizontal="right" vertical="top"/>
    </xf>
    <xf numFmtId="0" fontId="7" fillId="0" borderId="26" xfId="1" applyBorder="1" applyAlignment="1">
      <alignment horizontal="center" vertical="center"/>
    </xf>
    <xf numFmtId="0" fontId="7" fillId="0" borderId="27" xfId="1" applyBorder="1" applyAlignment="1">
      <alignment horizontal="center" vertical="center"/>
    </xf>
    <xf numFmtId="165" fontId="11" fillId="0" borderId="30" xfId="1" applyNumberFormat="1" applyFont="1" applyBorder="1" applyAlignment="1">
      <alignment horizontal="right" vertical="top"/>
    </xf>
    <xf numFmtId="164" fontId="11" fillId="0" borderId="31" xfId="1" applyNumberFormat="1" applyFont="1" applyBorder="1" applyAlignment="1">
      <alignment horizontal="right" vertical="top"/>
    </xf>
    <xf numFmtId="0" fontId="7" fillId="0" borderId="31" xfId="1" applyBorder="1" applyAlignment="1">
      <alignment horizontal="center" vertical="center"/>
    </xf>
    <xf numFmtId="0" fontId="7" fillId="0" borderId="32" xfId="1" applyBorder="1" applyAlignment="1">
      <alignment horizontal="center" vertical="center"/>
    </xf>
    <xf numFmtId="165" fontId="11" fillId="0" borderId="35" xfId="1" applyNumberFormat="1" applyFont="1" applyBorder="1" applyAlignment="1">
      <alignment horizontal="right" vertical="top"/>
    </xf>
    <xf numFmtId="164" fontId="11" fillId="0" borderId="36" xfId="1" applyNumberFormat="1" applyFont="1" applyBorder="1" applyAlignment="1">
      <alignment horizontal="right" vertical="top"/>
    </xf>
    <xf numFmtId="165" fontId="11" fillId="0" borderId="37" xfId="1" applyNumberFormat="1" applyFont="1" applyBorder="1" applyAlignment="1">
      <alignment horizontal="right" vertical="top"/>
    </xf>
    <xf numFmtId="165" fontId="11" fillId="0" borderId="17" xfId="1" applyNumberFormat="1" applyFont="1" applyBorder="1" applyAlignment="1">
      <alignment horizontal="right" vertical="top"/>
    </xf>
    <xf numFmtId="164" fontId="11" fillId="0" borderId="18" xfId="1" applyNumberFormat="1" applyFont="1" applyBorder="1" applyAlignment="1">
      <alignment horizontal="right" vertical="top"/>
    </xf>
    <xf numFmtId="0" fontId="7" fillId="0" borderId="18" xfId="1" applyBorder="1" applyAlignment="1">
      <alignment horizontal="center" vertical="center"/>
    </xf>
    <xf numFmtId="0" fontId="7" fillId="0" borderId="20" xfId="1" applyBorder="1" applyAlignment="1">
      <alignment horizontal="center" vertical="center"/>
    </xf>
    <xf numFmtId="0" fontId="11" fillId="0" borderId="26" xfId="1" applyFont="1" applyBorder="1" applyAlignment="1">
      <alignment horizontal="right" vertical="top" wrapText="1"/>
    </xf>
    <xf numFmtId="0" fontId="10" fillId="0" borderId="2" xfId="1" applyFont="1" applyBorder="1" applyAlignment="1">
      <alignment horizontal="center" vertical="center" wrapText="1"/>
    </xf>
    <xf numFmtId="0" fontId="7" fillId="0" borderId="11" xfId="1" applyBorder="1" applyAlignment="1">
      <alignment horizontal="center" vertical="center"/>
    </xf>
    <xf numFmtId="0" fontId="11" fillId="0" borderId="11" xfId="1" applyFont="1" applyBorder="1" applyAlignment="1">
      <alignment horizontal="center" wrapText="1"/>
    </xf>
    <xf numFmtId="164" fontId="11" fillId="0" borderId="3" xfId="1" applyNumberFormat="1" applyFont="1" applyBorder="1" applyAlignment="1">
      <alignment horizontal="right" vertical="top"/>
    </xf>
    <xf numFmtId="164" fontId="11" fillId="0" borderId="10" xfId="1" applyNumberFormat="1" applyFont="1" applyBorder="1" applyAlignment="1">
      <alignment horizontal="right" vertical="top"/>
    </xf>
    <xf numFmtId="0" fontId="11" fillId="0" borderId="41" xfId="1" applyFont="1" applyBorder="1" applyAlignment="1">
      <alignment horizontal="left" vertical="top" wrapText="1"/>
    </xf>
    <xf numFmtId="0" fontId="11" fillId="0" borderId="42" xfId="1" applyFont="1" applyBorder="1" applyAlignment="1">
      <alignment horizontal="left" vertical="top" wrapText="1"/>
    </xf>
    <xf numFmtId="0" fontId="11" fillId="0" borderId="39" xfId="1" applyFont="1" applyBorder="1" applyAlignment="1">
      <alignment horizontal="left" vertical="top" wrapText="1"/>
    </xf>
    <xf numFmtId="164" fontId="11" fillId="0" borderId="24" xfId="1" applyNumberFormat="1" applyFont="1" applyBorder="1" applyAlignment="1">
      <alignment horizontal="right" vertical="top"/>
    </xf>
    <xf numFmtId="164" fontId="11" fillId="0" borderId="27" xfId="1" applyNumberFormat="1" applyFont="1" applyBorder="1" applyAlignment="1">
      <alignment horizontal="right" vertical="top"/>
    </xf>
    <xf numFmtId="164" fontId="11" fillId="0" borderId="32" xfId="1" applyNumberFormat="1" applyFont="1" applyBorder="1" applyAlignment="1">
      <alignment horizontal="right" vertical="top"/>
    </xf>
    <xf numFmtId="164" fontId="11" fillId="0" borderId="37" xfId="1" applyNumberFormat="1" applyFont="1" applyBorder="1" applyAlignment="1">
      <alignment horizontal="right" vertical="top"/>
    </xf>
    <xf numFmtId="166" fontId="11" fillId="0" borderId="18" xfId="1" applyNumberFormat="1" applyFont="1" applyBorder="1" applyAlignment="1">
      <alignment horizontal="right" vertical="top"/>
    </xf>
    <xf numFmtId="164" fontId="11" fillId="0" borderId="20" xfId="1" applyNumberFormat="1" applyFont="1" applyBorder="1" applyAlignment="1">
      <alignment horizontal="right" vertical="top"/>
    </xf>
    <xf numFmtId="165" fontId="11" fillId="0" borderId="27" xfId="1" applyNumberFormat="1" applyFont="1" applyBorder="1" applyAlignment="1">
      <alignment horizontal="right" vertical="top"/>
    </xf>
    <xf numFmtId="165" fontId="11" fillId="0" borderId="18" xfId="1" applyNumberFormat="1" applyFont="1" applyBorder="1" applyAlignment="1">
      <alignment horizontal="right" vertical="top"/>
    </xf>
    <xf numFmtId="0" fontId="11" fillId="0" borderId="48" xfId="1" applyFont="1" applyBorder="1" applyAlignment="1">
      <alignment horizontal="center" wrapText="1"/>
    </xf>
    <xf numFmtId="0" fontId="11" fillId="0" borderId="49" xfId="1" applyFont="1" applyBorder="1" applyAlignment="1">
      <alignment horizontal="center" wrapText="1"/>
    </xf>
    <xf numFmtId="0" fontId="11" fillId="0" borderId="24" xfId="1" applyFont="1" applyBorder="1" applyAlignment="1">
      <alignment vertical="top" wrapText="1"/>
    </xf>
    <xf numFmtId="0" fontId="11" fillId="0" borderId="27" xfId="1" applyFont="1" applyBorder="1" applyAlignment="1">
      <alignment vertical="top" wrapText="1"/>
    </xf>
    <xf numFmtId="0" fontId="11" fillId="0" borderId="27" xfId="1" applyFont="1" applyBorder="1" applyAlignment="1">
      <alignment horizontal="right" vertical="top" wrapText="1"/>
    </xf>
    <xf numFmtId="0" fontId="11" fillId="0" borderId="25" xfId="1" applyFont="1" applyBorder="1" applyAlignment="1">
      <alignment horizontal="right" vertical="top" wrapText="1"/>
    </xf>
    <xf numFmtId="0" fontId="11" fillId="0" borderId="26" xfId="1" applyFont="1" applyBorder="1" applyAlignment="1">
      <alignment vertical="top" wrapText="1"/>
    </xf>
    <xf numFmtId="168" fontId="11" fillId="0" borderId="22" xfId="1" applyNumberFormat="1" applyFont="1" applyBorder="1" applyAlignment="1">
      <alignment horizontal="right" vertical="top"/>
    </xf>
    <xf numFmtId="169" fontId="11" fillId="0" borderId="23" xfId="1" applyNumberFormat="1" applyFont="1" applyBorder="1" applyAlignment="1">
      <alignment horizontal="right" vertical="top"/>
    </xf>
    <xf numFmtId="168" fontId="11" fillId="0" borderId="25" xfId="1" applyNumberFormat="1" applyFont="1" applyBorder="1" applyAlignment="1">
      <alignment horizontal="right" vertical="top"/>
    </xf>
    <xf numFmtId="168" fontId="11" fillId="0" borderId="30" xfId="1" applyNumberFormat="1" applyFont="1" applyBorder="1" applyAlignment="1">
      <alignment horizontal="right" vertical="top"/>
    </xf>
    <xf numFmtId="169" fontId="11" fillId="0" borderId="31" xfId="1" applyNumberFormat="1" applyFont="1" applyBorder="1" applyAlignment="1">
      <alignment horizontal="right" vertical="top"/>
    </xf>
    <xf numFmtId="168" fontId="11" fillId="0" borderId="35" xfId="1" applyNumberFormat="1" applyFont="1" applyBorder="1" applyAlignment="1">
      <alignment horizontal="right" vertical="top"/>
    </xf>
    <xf numFmtId="168" fontId="11" fillId="0" borderId="17" xfId="1" applyNumberFormat="1" applyFont="1" applyBorder="1" applyAlignment="1">
      <alignment horizontal="right" vertical="top"/>
    </xf>
    <xf numFmtId="0" fontId="10" fillId="0" borderId="2" xfId="1" applyFont="1" applyBorder="1" applyAlignment="1">
      <alignment horizontal="center" vertical="center" wrapText="1"/>
    </xf>
    <xf numFmtId="0" fontId="7" fillId="0" borderId="2" xfId="1" applyFont="1" applyBorder="1" applyAlignment="1">
      <alignment horizontal="center" vertical="center"/>
    </xf>
    <xf numFmtId="0" fontId="11" fillId="0" borderId="3" xfId="1" applyFont="1" applyBorder="1" applyAlignment="1">
      <alignment horizontal="left" vertical="top" wrapText="1"/>
    </xf>
    <xf numFmtId="0" fontId="7" fillId="0" borderId="4" xfId="1" applyFont="1" applyBorder="1" applyAlignment="1">
      <alignment horizontal="center" vertical="center"/>
    </xf>
    <xf numFmtId="0" fontId="11" fillId="0" borderId="5" xfId="1" applyFont="1" applyBorder="1" applyAlignment="1">
      <alignment horizontal="left" vertical="top" wrapText="1"/>
    </xf>
    <xf numFmtId="0" fontId="7" fillId="0" borderId="6" xfId="1" applyFont="1" applyBorder="1" applyAlignment="1">
      <alignment horizontal="center" vertical="center"/>
    </xf>
    <xf numFmtId="0" fontId="11" fillId="0" borderId="7" xfId="1" applyFont="1" applyBorder="1" applyAlignment="1">
      <alignment horizontal="left" vertical="top" wrapText="1"/>
    </xf>
    <xf numFmtId="0" fontId="7" fillId="0" borderId="7" xfId="1" applyFont="1" applyBorder="1" applyAlignment="1">
      <alignment horizontal="center" vertical="center"/>
    </xf>
    <xf numFmtId="0" fontId="11" fillId="0" borderId="16" xfId="1" applyFont="1" applyBorder="1" applyAlignment="1">
      <alignment horizontal="center" wrapText="1"/>
    </xf>
    <xf numFmtId="0" fontId="7" fillId="0" borderId="20" xfId="1" applyFont="1" applyBorder="1" applyAlignment="1">
      <alignment horizontal="center" vertical="center"/>
    </xf>
    <xf numFmtId="0" fontId="11" fillId="0" borderId="21" xfId="1" applyFont="1" applyBorder="1" applyAlignment="1">
      <alignment horizontal="left" vertical="top" wrapText="1"/>
    </xf>
    <xf numFmtId="0" fontId="7" fillId="0" borderId="28" xfId="1" applyFont="1" applyBorder="1" applyAlignment="1">
      <alignment horizontal="center" vertical="center"/>
    </xf>
    <xf numFmtId="0" fontId="11" fillId="0" borderId="33" xfId="1" applyFont="1" applyBorder="1" applyAlignment="1">
      <alignment horizontal="left" vertical="top" wrapText="1"/>
    </xf>
    <xf numFmtId="0" fontId="11" fillId="0" borderId="38" xfId="1" applyFont="1" applyBorder="1" applyAlignment="1">
      <alignment horizontal="left" vertical="top" wrapText="1"/>
    </xf>
    <xf numFmtId="0" fontId="7" fillId="0" borderId="8" xfId="1" applyFont="1" applyBorder="1" applyAlignment="1">
      <alignment horizontal="center" vertical="center"/>
    </xf>
    <xf numFmtId="0" fontId="10" fillId="0" borderId="0" xfId="1" applyFont="1" applyBorder="1" applyAlignment="1">
      <alignment horizontal="center" vertical="center" wrapText="1"/>
    </xf>
    <xf numFmtId="0" fontId="7" fillId="0" borderId="0" xfId="1" applyFont="1" applyBorder="1" applyAlignment="1">
      <alignment horizontal="center" vertical="center"/>
    </xf>
    <xf numFmtId="0" fontId="7" fillId="0" borderId="11" xfId="1" applyBorder="1" applyAlignment="1">
      <alignment horizontal="center" vertical="center" wrapText="1"/>
    </xf>
    <xf numFmtId="0" fontId="7" fillId="0" borderId="39" xfId="1" applyFont="1" applyBorder="1" applyAlignment="1">
      <alignment horizontal="center" vertical="center"/>
    </xf>
    <xf numFmtId="0" fontId="11" fillId="0" borderId="8" xfId="1" applyFont="1" applyBorder="1" applyAlignment="1">
      <alignment horizontal="left" vertical="top" wrapText="1"/>
    </xf>
    <xf numFmtId="0" fontId="7" fillId="0" borderId="9" xfId="1" applyFont="1" applyBorder="1" applyAlignment="1">
      <alignment horizontal="center" vertical="center"/>
    </xf>
    <xf numFmtId="0" fontId="11" fillId="0" borderId="12" xfId="1" applyFont="1" applyBorder="1" applyAlignment="1">
      <alignment horizontal="center" wrapText="1"/>
    </xf>
    <xf numFmtId="0" fontId="7" fillId="0" borderId="17" xfId="1" applyFont="1" applyBorder="1" applyAlignment="1">
      <alignment horizontal="center" vertical="center"/>
    </xf>
    <xf numFmtId="0" fontId="11" fillId="0" borderId="13" xfId="1" applyFont="1" applyBorder="1" applyAlignment="1">
      <alignment horizontal="center" wrapText="1"/>
    </xf>
    <xf numFmtId="0" fontId="7" fillId="0" borderId="18" xfId="1" applyFont="1" applyBorder="1" applyAlignment="1">
      <alignment horizontal="center" vertical="center"/>
    </xf>
    <xf numFmtId="0" fontId="11" fillId="0" borderId="14" xfId="1" applyFont="1" applyBorder="1" applyAlignment="1">
      <alignment horizontal="center" wrapText="1"/>
    </xf>
    <xf numFmtId="0" fontId="7" fillId="0" borderId="15" xfId="1" applyFont="1" applyBorder="1" applyAlignment="1">
      <alignment horizontal="center" vertical="center"/>
    </xf>
    <xf numFmtId="0" fontId="11" fillId="0" borderId="43" xfId="1" applyFont="1" applyBorder="1" applyAlignment="1">
      <alignment horizontal="left" vertical="top" wrapText="1"/>
    </xf>
    <xf numFmtId="0" fontId="7" fillId="0" borderId="44" xfId="1" applyFont="1" applyBorder="1" applyAlignment="1">
      <alignment horizontal="center" vertical="center"/>
    </xf>
    <xf numFmtId="0" fontId="11" fillId="0" borderId="45" xfId="1" applyFont="1" applyBorder="1" applyAlignment="1">
      <alignment horizontal="left" vertical="top" wrapText="1"/>
    </xf>
    <xf numFmtId="0" fontId="11" fillId="0" borderId="40" xfId="1" applyFont="1" applyBorder="1" applyAlignment="1">
      <alignment horizontal="left" vertical="top" wrapText="1"/>
    </xf>
    <xf numFmtId="0" fontId="11" fillId="0" borderId="0" xfId="1" applyFont="1" applyBorder="1" applyAlignment="1">
      <alignment horizontal="left"/>
    </xf>
    <xf numFmtId="0" fontId="11" fillId="0" borderId="11" xfId="1" applyFont="1" applyBorder="1" applyAlignment="1">
      <alignment horizontal="left" vertical="top" wrapText="1"/>
    </xf>
    <xf numFmtId="0" fontId="11" fillId="0" borderId="46" xfId="1" applyFont="1" applyBorder="1" applyAlignment="1">
      <alignment horizontal="left" vertical="top" wrapText="1"/>
    </xf>
    <xf numFmtId="0" fontId="7" fillId="0" borderId="10" xfId="1" applyFont="1" applyBorder="1" applyAlignment="1">
      <alignment horizontal="center" vertical="center"/>
    </xf>
    <xf numFmtId="0" fontId="11" fillId="0" borderId="3" xfId="1" applyFont="1" applyBorder="1" applyAlignment="1">
      <alignment horizontal="center" wrapText="1"/>
    </xf>
    <xf numFmtId="0" fontId="7" fillId="0" borderId="47" xfId="1" applyFont="1" applyBorder="1" applyAlignment="1">
      <alignment horizontal="center" vertical="center"/>
    </xf>
  </cellXfs>
  <cellStyles count="2">
    <cellStyle name="Normal" xfId="0" builtinId="0"/>
    <cellStyle name="Normal_SPSS Outpu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of Seedling Species</a:t>
            </a:r>
            <a:r>
              <a:rPr lang="en-US" baseline="0"/>
              <a:t> </a:t>
            </a:r>
            <a:r>
              <a:rPr lang="en-US"/>
              <a:t>in Plot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for Other Seedlings'!$G$5</c:f>
              <c:strCache>
                <c:ptCount val="1"/>
                <c:pt idx="0">
                  <c:v>Density</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D806-7D45-A1F0-B96E45F29F4E}"/>
              </c:ext>
            </c:extLst>
          </c:dPt>
          <c:dPt>
            <c:idx val="1"/>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2-D806-7D45-A1F0-B96E45F29F4E}"/>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9-D806-7D45-A1F0-B96E45F29F4E}"/>
              </c:ext>
            </c:extLst>
          </c:dPt>
          <c:dPt>
            <c:idx val="4"/>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8-D806-7D45-A1F0-B96E45F29F4E}"/>
              </c:ext>
            </c:extLst>
          </c:dPt>
          <c:dPt>
            <c:idx val="5"/>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7-D806-7D45-A1F0-B96E45F29F4E}"/>
              </c:ext>
            </c:extLst>
          </c:dPt>
          <c:dPt>
            <c:idx val="6"/>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3-D806-7D45-A1F0-B96E45F29F4E}"/>
              </c:ext>
            </c:extLst>
          </c:dPt>
          <c:dPt>
            <c:idx val="7"/>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4-D806-7D45-A1F0-B96E45F29F4E}"/>
              </c:ext>
            </c:extLst>
          </c:dPt>
          <c:dPt>
            <c:idx val="8"/>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5-D806-7D45-A1F0-B96E45F29F4E}"/>
              </c:ext>
            </c:extLst>
          </c:dPt>
          <c:dPt>
            <c:idx val="9"/>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6-D806-7D45-A1F0-B96E45F29F4E}"/>
              </c:ext>
            </c:extLst>
          </c:dPt>
          <c:cat>
            <c:multiLvlStrRef>
              <c:f>'Pivot Table for Other Seedlings'!$E$6:$F$15</c:f>
              <c:multiLvlStrCache>
                <c:ptCount val="10"/>
                <c:lvl>
                  <c:pt idx="0">
                    <c:v>Douglas-Fir</c:v>
                  </c:pt>
                  <c:pt idx="1">
                    <c:v>Sitka Spruce</c:v>
                  </c:pt>
                  <c:pt idx="2">
                    <c:v>Douglas-Fir</c:v>
                  </c:pt>
                  <c:pt idx="3">
                    <c:v>Douglas-Fir</c:v>
                  </c:pt>
                  <c:pt idx="4">
                    <c:v>Grand Fir</c:v>
                  </c:pt>
                  <c:pt idx="5">
                    <c:v>Western White Pine</c:v>
                  </c:pt>
                  <c:pt idx="6">
                    <c:v>Douglas-Fir</c:v>
                  </c:pt>
                  <c:pt idx="7">
                    <c:v>Grand Fir</c:v>
                  </c:pt>
                  <c:pt idx="8">
                    <c:v>Sitka Spruce</c:v>
                  </c:pt>
                  <c:pt idx="9">
                    <c:v>Western White Pine</c:v>
                  </c:pt>
                </c:lvl>
                <c:lvl>
                  <c:pt idx="0">
                    <c:v>B1</c:v>
                  </c:pt>
                  <c:pt idx="2">
                    <c:v>B2</c:v>
                  </c:pt>
                  <c:pt idx="3">
                    <c:v>B3</c:v>
                  </c:pt>
                  <c:pt idx="6">
                    <c:v>B4</c:v>
                  </c:pt>
                </c:lvl>
              </c:multiLvlStrCache>
            </c:multiLvlStrRef>
          </c:cat>
          <c:val>
            <c:numRef>
              <c:f>'Pivot Table for Other Seedlings'!$G$6:$G$15</c:f>
              <c:numCache>
                <c:formatCode>General</c:formatCode>
                <c:ptCount val="10"/>
                <c:pt idx="0">
                  <c:v>2.3120623596247857E-2</c:v>
                </c:pt>
                <c:pt idx="1">
                  <c:v>1.3211784912141634E-2</c:v>
                </c:pt>
                <c:pt idx="2">
                  <c:v>4.6241247192495713E-2</c:v>
                </c:pt>
                <c:pt idx="3">
                  <c:v>9.9088386841062245E-3</c:v>
                </c:pt>
                <c:pt idx="4">
                  <c:v>1.3211784912141634E-2</c:v>
                </c:pt>
                <c:pt idx="5">
                  <c:v>9.9088386841062245E-3</c:v>
                </c:pt>
                <c:pt idx="6">
                  <c:v>2.9726516052318675E-2</c:v>
                </c:pt>
                <c:pt idx="7">
                  <c:v>3.3029462280354084E-3</c:v>
                </c:pt>
                <c:pt idx="8">
                  <c:v>9.9088386841062245E-3</c:v>
                </c:pt>
                <c:pt idx="9">
                  <c:v>3.3029462280354084E-3</c:v>
                </c:pt>
              </c:numCache>
            </c:numRef>
          </c:val>
          <c:extLst xmlns:c16r2="http://schemas.microsoft.com/office/drawing/2015/06/chart">
            <c:ext xmlns:c16="http://schemas.microsoft.com/office/drawing/2014/chart" uri="{C3380CC4-5D6E-409C-BE32-E72D297353CC}">
              <c16:uniqueId val="{00000000-D806-7D45-A1F0-B96E45F29F4E}"/>
            </c:ext>
          </c:extLst>
        </c:ser>
        <c:dLbls>
          <c:showLegendKey val="0"/>
          <c:showVal val="0"/>
          <c:showCatName val="0"/>
          <c:showSerName val="0"/>
          <c:showPercent val="0"/>
          <c:showBubbleSize val="0"/>
        </c:dLbls>
        <c:gapWidth val="219"/>
        <c:overlap val="-27"/>
        <c:axId val="161558432"/>
        <c:axId val="161565488"/>
      </c:barChart>
      <c:catAx>
        <c:axId val="16155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 Subplot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5488"/>
        <c:crosses val="autoZero"/>
        <c:auto val="1"/>
        <c:lblAlgn val="ctr"/>
        <c:lblOffset val="100"/>
        <c:noMultiLvlLbl val="0"/>
      </c:catAx>
      <c:valAx>
        <c:axId val="161565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Density</a:t>
                </a:r>
                <a:r>
                  <a:rPr lang="en-US" baseline="0"/>
                  <a:t> (# of seedlings/m^2)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8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for Unit Data'!$B$11</c:f>
              <c:strCache>
                <c:ptCount val="1"/>
                <c:pt idx="0">
                  <c:v>Ave Height</c:v>
                </c:pt>
              </c:strCache>
            </c:strRef>
          </c:tx>
          <c:spPr>
            <a:solidFill>
              <a:schemeClr val="accent1"/>
            </a:solidFill>
            <a:ln>
              <a:noFill/>
            </a:ln>
            <a:effectLst/>
          </c:spPr>
          <c:invertIfNegative val="0"/>
          <c:cat>
            <c:strRef>
              <c:f>'Pivot Table for Unit Data'!$A$12:$A$15</c:f>
              <c:strCache>
                <c:ptCount val="4"/>
                <c:pt idx="0">
                  <c:v>A</c:v>
                </c:pt>
                <c:pt idx="1">
                  <c:v>B</c:v>
                </c:pt>
                <c:pt idx="2">
                  <c:v>C</c:v>
                </c:pt>
                <c:pt idx="3">
                  <c:v>D</c:v>
                </c:pt>
              </c:strCache>
            </c:strRef>
          </c:cat>
          <c:val>
            <c:numRef>
              <c:f>'Pivot Table for Unit Data'!$B$12:$B$15</c:f>
              <c:numCache>
                <c:formatCode>General</c:formatCode>
                <c:ptCount val="4"/>
                <c:pt idx="0">
                  <c:v>65.928571428571431</c:v>
                </c:pt>
                <c:pt idx="1">
                  <c:v>80.767241379310349</c:v>
                </c:pt>
                <c:pt idx="2">
                  <c:v>77.010638297872347</c:v>
                </c:pt>
                <c:pt idx="3">
                  <c:v>94.635416666666671</c:v>
                </c:pt>
              </c:numCache>
            </c:numRef>
          </c:val>
          <c:extLst xmlns:c16r2="http://schemas.microsoft.com/office/drawing/2015/06/chart">
            <c:ext xmlns:c16="http://schemas.microsoft.com/office/drawing/2014/chart" uri="{C3380CC4-5D6E-409C-BE32-E72D297353CC}">
              <c16:uniqueId val="{00000000-3EF6-4565-B677-B33217DD0981}"/>
            </c:ext>
          </c:extLst>
        </c:ser>
        <c:ser>
          <c:idx val="1"/>
          <c:order val="1"/>
          <c:tx>
            <c:strRef>
              <c:f>'Pivot Table for Unit Data'!$C$11</c:f>
              <c:strCache>
                <c:ptCount val="1"/>
                <c:pt idx="0">
                  <c:v>Ave DBB</c:v>
                </c:pt>
              </c:strCache>
            </c:strRef>
          </c:tx>
          <c:spPr>
            <a:solidFill>
              <a:schemeClr val="accent2"/>
            </a:solidFill>
            <a:ln>
              <a:noFill/>
            </a:ln>
            <a:effectLst/>
          </c:spPr>
          <c:invertIfNegative val="0"/>
          <c:cat>
            <c:strRef>
              <c:f>'Pivot Table for Unit Data'!$A$12:$A$15</c:f>
              <c:strCache>
                <c:ptCount val="4"/>
                <c:pt idx="0">
                  <c:v>A</c:v>
                </c:pt>
                <c:pt idx="1">
                  <c:v>B</c:v>
                </c:pt>
                <c:pt idx="2">
                  <c:v>C</c:v>
                </c:pt>
                <c:pt idx="3">
                  <c:v>D</c:v>
                </c:pt>
              </c:strCache>
            </c:strRef>
          </c:cat>
          <c:val>
            <c:numRef>
              <c:f>'Pivot Table for Unit Data'!$C$12:$C$15</c:f>
              <c:numCache>
                <c:formatCode>General</c:formatCode>
                <c:ptCount val="4"/>
                <c:pt idx="0">
                  <c:v>8.5649350649350655</c:v>
                </c:pt>
                <c:pt idx="1">
                  <c:v>10.267241379310345</c:v>
                </c:pt>
                <c:pt idx="2">
                  <c:v>9.8404255319148941</c:v>
                </c:pt>
                <c:pt idx="3">
                  <c:v>13.286458333333334</c:v>
                </c:pt>
              </c:numCache>
            </c:numRef>
          </c:val>
          <c:extLst xmlns:c16r2="http://schemas.microsoft.com/office/drawing/2015/06/chart">
            <c:ext xmlns:c16="http://schemas.microsoft.com/office/drawing/2014/chart" uri="{C3380CC4-5D6E-409C-BE32-E72D297353CC}">
              <c16:uniqueId val="{00000001-3EF6-4565-B677-B33217DD0981}"/>
            </c:ext>
          </c:extLst>
        </c:ser>
        <c:ser>
          <c:idx val="2"/>
          <c:order val="2"/>
          <c:tx>
            <c:strRef>
              <c:f>'Pivot Table for Unit Data'!$D$11</c:f>
              <c:strCache>
                <c:ptCount val="1"/>
                <c:pt idx="0">
                  <c:v>Ave Volume</c:v>
                </c:pt>
              </c:strCache>
            </c:strRef>
          </c:tx>
          <c:spPr>
            <a:solidFill>
              <a:schemeClr val="accent3"/>
            </a:solidFill>
            <a:ln>
              <a:noFill/>
            </a:ln>
            <a:effectLst/>
          </c:spPr>
          <c:invertIfNegative val="0"/>
          <c:cat>
            <c:strRef>
              <c:f>'Pivot Table for Unit Data'!$A$12:$A$15</c:f>
              <c:strCache>
                <c:ptCount val="4"/>
                <c:pt idx="0">
                  <c:v>A</c:v>
                </c:pt>
                <c:pt idx="1">
                  <c:v>B</c:v>
                </c:pt>
                <c:pt idx="2">
                  <c:v>C</c:v>
                </c:pt>
                <c:pt idx="3">
                  <c:v>D</c:v>
                </c:pt>
              </c:strCache>
            </c:strRef>
          </c:cat>
          <c:val>
            <c:numRef>
              <c:f>'Pivot Table for Unit Data'!$D$12:$D$15</c:f>
              <c:numCache>
                <c:formatCode>General</c:formatCode>
                <c:ptCount val="4"/>
                <c:pt idx="0">
                  <c:v>17.555144948434673</c:v>
                </c:pt>
                <c:pt idx="1">
                  <c:v>34.496301013676927</c:v>
                </c:pt>
                <c:pt idx="2">
                  <c:v>28.563817162817124</c:v>
                </c:pt>
                <c:pt idx="3">
                  <c:v>65.462159702244776</c:v>
                </c:pt>
              </c:numCache>
            </c:numRef>
          </c:val>
          <c:extLst xmlns:c16r2="http://schemas.microsoft.com/office/drawing/2015/06/chart">
            <c:ext xmlns:c16="http://schemas.microsoft.com/office/drawing/2014/chart" uri="{C3380CC4-5D6E-409C-BE32-E72D297353CC}">
              <c16:uniqueId val="{00000002-3EF6-4565-B677-B33217DD0981}"/>
            </c:ext>
          </c:extLst>
        </c:ser>
        <c:dLbls>
          <c:showLegendKey val="0"/>
          <c:showVal val="0"/>
          <c:showCatName val="0"/>
          <c:showSerName val="0"/>
          <c:showPercent val="0"/>
          <c:showBubbleSize val="0"/>
        </c:dLbls>
        <c:gapWidth val="219"/>
        <c:overlap val="-27"/>
        <c:axId val="161559216"/>
        <c:axId val="161561960"/>
      </c:barChart>
      <c:catAx>
        <c:axId val="16155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61960"/>
        <c:crosses val="autoZero"/>
        <c:auto val="1"/>
        <c:lblAlgn val="ctr"/>
        <c:lblOffset val="100"/>
        <c:noMultiLvlLbl val="0"/>
      </c:catAx>
      <c:valAx>
        <c:axId val="161561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92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Height of</a:t>
            </a:r>
            <a:r>
              <a:rPr lang="en-US" baseline="0"/>
              <a:t> Western Redcedar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Height!$B$1</c:f>
              <c:strCache>
                <c:ptCount val="1"/>
                <c:pt idx="0">
                  <c:v>Average Height (cm)</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8717-AB47-A1CB-AECA5059EC37}"/>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2-8717-AB47-A1CB-AECA5059EC37}"/>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8717-AB47-A1CB-AECA5059EC37}"/>
              </c:ext>
            </c:extLst>
          </c:dPt>
          <c:errBars>
            <c:errBarType val="both"/>
            <c:errValType val="cust"/>
            <c:noEndCap val="0"/>
            <c:plus>
              <c:numRef>
                <c:f>Height!$C$2:$C$5</c:f>
                <c:numCache>
                  <c:formatCode>General</c:formatCode>
                  <c:ptCount val="4"/>
                  <c:pt idx="0">
                    <c:v>38.263021529356799</c:v>
                  </c:pt>
                  <c:pt idx="1">
                    <c:v>27.585682509556879</c:v>
                  </c:pt>
                  <c:pt idx="2">
                    <c:v>17.941785671555746</c:v>
                  </c:pt>
                  <c:pt idx="3">
                    <c:v>16.034864611741607</c:v>
                  </c:pt>
                </c:numCache>
              </c:numRef>
            </c:plus>
            <c:minus>
              <c:numRef>
                <c:f>Height!$C$2:$C$5</c:f>
                <c:numCache>
                  <c:formatCode>General</c:formatCode>
                  <c:ptCount val="4"/>
                  <c:pt idx="0">
                    <c:v>38.263021529356799</c:v>
                  </c:pt>
                  <c:pt idx="1">
                    <c:v>27.585682509556879</c:v>
                  </c:pt>
                  <c:pt idx="2">
                    <c:v>17.941785671555746</c:v>
                  </c:pt>
                  <c:pt idx="3">
                    <c:v>16.034864611741607</c:v>
                  </c:pt>
                </c:numCache>
              </c:numRef>
            </c:minus>
            <c:spPr>
              <a:noFill/>
              <a:ln w="9525" cap="flat" cmpd="sng" algn="ctr">
                <a:solidFill>
                  <a:schemeClr val="tx1">
                    <a:lumMod val="65000"/>
                    <a:lumOff val="35000"/>
                  </a:schemeClr>
                </a:solidFill>
                <a:round/>
              </a:ln>
              <a:effectLst/>
            </c:spPr>
          </c:errBars>
          <c:cat>
            <c:strRef>
              <c:f>Height!$A$2:$A$5</c:f>
              <c:strCache>
                <c:ptCount val="4"/>
                <c:pt idx="0">
                  <c:v>Weeded/Fenced</c:v>
                </c:pt>
                <c:pt idx="1">
                  <c:v>Not Weeded/Fenced</c:v>
                </c:pt>
                <c:pt idx="2">
                  <c:v>Weeded/Not Fenced</c:v>
                </c:pt>
                <c:pt idx="3">
                  <c:v>Not Weeded/Not Fenced</c:v>
                </c:pt>
              </c:strCache>
            </c:strRef>
          </c:cat>
          <c:val>
            <c:numRef>
              <c:f>Height!$B$2:$B$5</c:f>
              <c:numCache>
                <c:formatCode>General</c:formatCode>
                <c:ptCount val="4"/>
                <c:pt idx="0">
                  <c:v>96.258196721311478</c:v>
                </c:pt>
                <c:pt idx="1">
                  <c:v>97.5</c:v>
                </c:pt>
                <c:pt idx="2">
                  <c:v>52.141891891891895</c:v>
                </c:pt>
                <c:pt idx="3">
                  <c:v>59.964285714285715</c:v>
                </c:pt>
              </c:numCache>
            </c:numRef>
          </c:val>
          <c:extLst xmlns:c16r2="http://schemas.microsoft.com/office/drawing/2015/06/chart">
            <c:ext xmlns:c16="http://schemas.microsoft.com/office/drawing/2014/chart" uri="{C3380CC4-5D6E-409C-BE32-E72D297353CC}">
              <c16:uniqueId val="{00000000-8717-AB47-A1CB-AECA5059EC37}"/>
            </c:ext>
          </c:extLst>
        </c:ser>
        <c:dLbls>
          <c:showLegendKey val="0"/>
          <c:showVal val="0"/>
          <c:showCatName val="0"/>
          <c:showSerName val="0"/>
          <c:showPercent val="0"/>
          <c:showBubbleSize val="0"/>
        </c:dLbls>
        <c:gapWidth val="219"/>
        <c:overlap val="-27"/>
        <c:axId val="160604560"/>
        <c:axId val="292691216"/>
      </c:barChart>
      <c:catAx>
        <c:axId val="160604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1216"/>
        <c:crosses val="autoZero"/>
        <c:auto val="1"/>
        <c:lblAlgn val="ctr"/>
        <c:lblOffset val="100"/>
        <c:noMultiLvlLbl val="0"/>
      </c:catAx>
      <c:valAx>
        <c:axId val="29269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(cm)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045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Diameter at Base</a:t>
            </a:r>
            <a:r>
              <a:rPr lang="en-US" baseline="0"/>
              <a:t> of </a:t>
            </a:r>
            <a:r>
              <a:rPr lang="en-US"/>
              <a:t>Western Redcedar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'Diameter at Base'!$B$1</c:f>
              <c:strCache>
                <c:ptCount val="1"/>
                <c:pt idx="0">
                  <c:v>Average DB (mm) Western Red Cedar</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F565-F344-A081-828D9B6921B9}"/>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2-F565-F344-A081-828D9B6921B9}"/>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F565-F344-A081-828D9B6921B9}"/>
              </c:ext>
            </c:extLst>
          </c:dPt>
          <c:errBars>
            <c:errBarType val="both"/>
            <c:errValType val="cust"/>
            <c:noEndCap val="0"/>
            <c:plus>
              <c:numRef>
                <c:f>'Diameter at Base'!$C$2:$C$5</c:f>
                <c:numCache>
                  <c:formatCode>General</c:formatCode>
                  <c:ptCount val="4"/>
                  <c:pt idx="0">
                    <c:v>5.2785712642265965</c:v>
                  </c:pt>
                  <c:pt idx="1">
                    <c:v>4.4532215159745308</c:v>
                  </c:pt>
                  <c:pt idx="2">
                    <c:v>2.8031904523825646</c:v>
                  </c:pt>
                  <c:pt idx="3">
                    <c:v>5.7531964576676398</c:v>
                  </c:pt>
                </c:numCache>
              </c:numRef>
            </c:plus>
            <c:minus>
              <c:numRef>
                <c:f>'Diameter at Base'!$C$2:$C$5</c:f>
                <c:numCache>
                  <c:formatCode>General</c:formatCode>
                  <c:ptCount val="4"/>
                  <c:pt idx="0">
                    <c:v>5.2785712642265965</c:v>
                  </c:pt>
                  <c:pt idx="1">
                    <c:v>4.4532215159745308</c:v>
                  </c:pt>
                  <c:pt idx="2">
                    <c:v>2.8031904523825646</c:v>
                  </c:pt>
                  <c:pt idx="3">
                    <c:v>5.7531964576676398</c:v>
                  </c:pt>
                </c:numCache>
              </c:numRef>
            </c:minus>
            <c:spPr>
              <a:noFill/>
              <a:ln w="9525" cap="flat" cmpd="sng" algn="ctr">
                <a:solidFill>
                  <a:schemeClr val="tx1">
                    <a:lumMod val="65000"/>
                    <a:lumOff val="35000"/>
                  </a:schemeClr>
                </a:solidFill>
                <a:round/>
              </a:ln>
              <a:effectLst/>
            </c:spPr>
          </c:errBars>
          <c:cat>
            <c:strRef>
              <c:f>'Diameter at Base'!$A$2:$A$5</c:f>
              <c:strCache>
                <c:ptCount val="4"/>
                <c:pt idx="0">
                  <c:v>Weeded/Fenced</c:v>
                </c:pt>
                <c:pt idx="1">
                  <c:v>Not Weeded/Fenced</c:v>
                </c:pt>
                <c:pt idx="2">
                  <c:v>Weeded/Not Fenced</c:v>
                </c:pt>
                <c:pt idx="3">
                  <c:v>Not Weeded/Not Fenced</c:v>
                </c:pt>
              </c:strCache>
            </c:strRef>
          </c:cat>
          <c:val>
            <c:numRef>
              <c:f>'Diameter at Base'!$B$2:$B$5</c:f>
              <c:numCache>
                <c:formatCode>General</c:formatCode>
                <c:ptCount val="4"/>
                <c:pt idx="0">
                  <c:v>12.323770491803279</c:v>
                </c:pt>
                <c:pt idx="1">
                  <c:v>11.511904761904763</c:v>
                </c:pt>
                <c:pt idx="2">
                  <c:v>7.75</c:v>
                </c:pt>
                <c:pt idx="3">
                  <c:v>9.7232142857142865</c:v>
                </c:pt>
              </c:numCache>
            </c:numRef>
          </c:val>
          <c:extLst xmlns:c16r2="http://schemas.microsoft.com/office/drawing/2015/06/chart">
            <c:ext xmlns:c16="http://schemas.microsoft.com/office/drawing/2014/chart" uri="{C3380CC4-5D6E-409C-BE32-E72D297353CC}">
              <c16:uniqueId val="{00000000-F565-F344-A081-828D9B6921B9}"/>
            </c:ext>
          </c:extLst>
        </c:ser>
        <c:dLbls>
          <c:showLegendKey val="0"/>
          <c:showVal val="0"/>
          <c:showCatName val="0"/>
          <c:showSerName val="0"/>
          <c:showPercent val="0"/>
          <c:showBubbleSize val="0"/>
        </c:dLbls>
        <c:gapWidth val="219"/>
        <c:overlap val="-27"/>
        <c:axId val="292692784"/>
        <c:axId val="292689256"/>
      </c:barChart>
      <c:catAx>
        <c:axId val="29269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89256"/>
        <c:crosses val="autoZero"/>
        <c:auto val="1"/>
        <c:lblAlgn val="ctr"/>
        <c:lblOffset val="100"/>
        <c:noMultiLvlLbl val="0"/>
      </c:catAx>
      <c:valAx>
        <c:axId val="292689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Diameter at base</a:t>
                </a:r>
                <a:r>
                  <a:rPr lang="en-US" baseline="0"/>
                  <a:t> (mm)</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27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Estimated Volume Western Redcedar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Volume!$B$1</c:f>
              <c:strCache>
                <c:ptCount val="1"/>
                <c:pt idx="0">
                  <c:v>Average Estimated Volume(cm^3) Western Red Cedar</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A210-DD44-B542-15286ABB7C8B}"/>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2-A210-DD44-B542-15286ABB7C8B}"/>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A210-DD44-B542-15286ABB7C8B}"/>
              </c:ext>
            </c:extLst>
          </c:dPt>
          <c:errBars>
            <c:errBarType val="both"/>
            <c:errValType val="cust"/>
            <c:noEndCap val="0"/>
            <c:plus>
              <c:numRef>
                <c:f>Volume!$C$2:$C$5</c:f>
                <c:numCache>
                  <c:formatCode>General</c:formatCode>
                  <c:ptCount val="4"/>
                  <c:pt idx="0">
                    <c:v>76.811976156851358</c:v>
                  </c:pt>
                  <c:pt idx="1">
                    <c:v>41.216537453583811</c:v>
                  </c:pt>
                  <c:pt idx="2">
                    <c:v>9.7442496830517182</c:v>
                  </c:pt>
                  <c:pt idx="3">
                    <c:v>39.389066572528968</c:v>
                  </c:pt>
                </c:numCache>
              </c:numRef>
            </c:plus>
            <c:minus>
              <c:numRef>
                <c:f>Volume!$C$2:$C$5</c:f>
                <c:numCache>
                  <c:formatCode>General</c:formatCode>
                  <c:ptCount val="4"/>
                  <c:pt idx="0">
                    <c:v>76.811976156851358</c:v>
                  </c:pt>
                  <c:pt idx="1">
                    <c:v>41.216537453583811</c:v>
                  </c:pt>
                  <c:pt idx="2">
                    <c:v>9.7442496830517182</c:v>
                  </c:pt>
                  <c:pt idx="3">
                    <c:v>39.389066572528968</c:v>
                  </c:pt>
                </c:numCache>
              </c:numRef>
            </c:minus>
            <c:spPr>
              <a:noFill/>
              <a:ln w="9525" cap="flat" cmpd="sng" algn="ctr">
                <a:solidFill>
                  <a:schemeClr val="tx1">
                    <a:lumMod val="65000"/>
                    <a:lumOff val="35000"/>
                  </a:schemeClr>
                </a:solidFill>
                <a:round/>
              </a:ln>
              <a:effectLst/>
            </c:spPr>
          </c:errBars>
          <c:cat>
            <c:strRef>
              <c:f>Volume!$A$2:$A$5</c:f>
              <c:strCache>
                <c:ptCount val="4"/>
                <c:pt idx="0">
                  <c:v>Weeded/Fenced</c:v>
                </c:pt>
                <c:pt idx="1">
                  <c:v>Not Weeded/Fenced</c:v>
                </c:pt>
                <c:pt idx="2">
                  <c:v>Weeded/Not Fenced</c:v>
                </c:pt>
                <c:pt idx="3">
                  <c:v>Not Weeded/Not Fenced</c:v>
                </c:pt>
              </c:strCache>
            </c:strRef>
          </c:cat>
          <c:val>
            <c:numRef>
              <c:f>Volume!$B$2:$B$5</c:f>
              <c:numCache>
                <c:formatCode>General</c:formatCode>
                <c:ptCount val="4"/>
                <c:pt idx="0">
                  <c:v>58.344214574043498</c:v>
                </c:pt>
                <c:pt idx="1">
                  <c:v>44.755750716586213</c:v>
                </c:pt>
                <c:pt idx="2">
                  <c:v>10.450359373324721</c:v>
                </c:pt>
                <c:pt idx="3">
                  <c:v>23.738928300559273</c:v>
                </c:pt>
              </c:numCache>
            </c:numRef>
          </c:val>
          <c:extLst xmlns:c16r2="http://schemas.microsoft.com/office/drawing/2015/06/chart">
            <c:ext xmlns:c16="http://schemas.microsoft.com/office/drawing/2014/chart" uri="{C3380CC4-5D6E-409C-BE32-E72D297353CC}">
              <c16:uniqueId val="{00000000-A210-DD44-B542-15286ABB7C8B}"/>
            </c:ext>
          </c:extLst>
        </c:ser>
        <c:dLbls>
          <c:showLegendKey val="0"/>
          <c:showVal val="0"/>
          <c:showCatName val="0"/>
          <c:showSerName val="0"/>
          <c:showPercent val="0"/>
          <c:showBubbleSize val="0"/>
        </c:dLbls>
        <c:gapWidth val="219"/>
        <c:overlap val="-27"/>
        <c:axId val="292690040"/>
        <c:axId val="292692392"/>
      </c:barChart>
      <c:catAx>
        <c:axId val="292690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2392"/>
        <c:crosses val="autoZero"/>
        <c:auto val="1"/>
        <c:lblAlgn val="ctr"/>
        <c:lblOffset val="100"/>
        <c:noMultiLvlLbl val="0"/>
      </c:catAx>
      <c:valAx>
        <c:axId val="292692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(cm^3)</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00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t>
            </a:r>
            <a:r>
              <a:rPr lang="en-US"/>
              <a:t>urvival of Western Recedar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Survival!$B$1</c:f>
              <c:strCache>
                <c:ptCount val="1"/>
                <c:pt idx="0">
                  <c:v>% Survival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F720-BA4B-8263-622D8783CDAD}"/>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2-F720-BA4B-8263-622D8783CDAD}"/>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F720-BA4B-8263-622D8783CDAD}"/>
              </c:ext>
            </c:extLst>
          </c:dPt>
          <c:errBars>
            <c:errBarType val="both"/>
            <c:errValType val="cust"/>
            <c:noEndCap val="0"/>
            <c:plus>
              <c:numRef>
                <c:f>Survival!$C$2:$C$5</c:f>
                <c:numCache>
                  <c:formatCode>General</c:formatCode>
                  <c:ptCount val="4"/>
                  <c:pt idx="0">
                    <c:v>24.424219300407124</c:v>
                  </c:pt>
                  <c:pt idx="1">
                    <c:v>38.285638488064457</c:v>
                  </c:pt>
                  <c:pt idx="2">
                    <c:v>20.993117473389262</c:v>
                  </c:pt>
                  <c:pt idx="3">
                    <c:v>21.05102963161788</c:v>
                  </c:pt>
                </c:numCache>
              </c:numRef>
            </c:plus>
            <c:minus>
              <c:numRef>
                <c:f>Survival!$C$2:$C$5</c:f>
                <c:numCache>
                  <c:formatCode>General</c:formatCode>
                  <c:ptCount val="4"/>
                  <c:pt idx="0">
                    <c:v>24.424219300407124</c:v>
                  </c:pt>
                  <c:pt idx="1">
                    <c:v>38.285638488064457</c:v>
                  </c:pt>
                  <c:pt idx="2">
                    <c:v>20.993117473389262</c:v>
                  </c:pt>
                  <c:pt idx="3">
                    <c:v>21.05102963161788</c:v>
                  </c:pt>
                </c:numCache>
              </c:numRef>
            </c:minus>
            <c:spPr>
              <a:noFill/>
              <a:ln w="9525" cap="flat" cmpd="sng" algn="ctr">
                <a:solidFill>
                  <a:schemeClr val="tx1">
                    <a:lumMod val="65000"/>
                    <a:lumOff val="35000"/>
                  </a:schemeClr>
                </a:solidFill>
                <a:round/>
              </a:ln>
              <a:effectLst/>
            </c:spPr>
          </c:errBars>
          <c:cat>
            <c:strRef>
              <c:f>Survival!$A$2:$A$5</c:f>
              <c:strCache>
                <c:ptCount val="4"/>
                <c:pt idx="0">
                  <c:v>Weeded/Fenced</c:v>
                </c:pt>
                <c:pt idx="1">
                  <c:v>Not Weeded/Fenced</c:v>
                </c:pt>
                <c:pt idx="2">
                  <c:v>Weeded/Not Fenced</c:v>
                </c:pt>
                <c:pt idx="3">
                  <c:v>Not Weeded/Not Fenced</c:v>
                </c:pt>
              </c:strCache>
            </c:strRef>
          </c:cat>
          <c:val>
            <c:numRef>
              <c:f>Survival!$B$2:$B$5</c:f>
              <c:numCache>
                <c:formatCode>General</c:formatCode>
                <c:ptCount val="4"/>
                <c:pt idx="0">
                  <c:v>82.43</c:v>
                </c:pt>
                <c:pt idx="1">
                  <c:v>56.76</c:v>
                </c:pt>
                <c:pt idx="2">
                  <c:v>50</c:v>
                </c:pt>
                <c:pt idx="3">
                  <c:v>37.840000000000003</c:v>
                </c:pt>
              </c:numCache>
            </c:numRef>
          </c:val>
          <c:extLst xmlns:c16r2="http://schemas.microsoft.com/office/drawing/2015/06/chart">
            <c:ext xmlns:c16="http://schemas.microsoft.com/office/drawing/2014/chart" uri="{C3380CC4-5D6E-409C-BE32-E72D297353CC}">
              <c16:uniqueId val="{00000000-F720-BA4B-8263-622D8783CDAD}"/>
            </c:ext>
          </c:extLst>
        </c:ser>
        <c:dLbls>
          <c:showLegendKey val="0"/>
          <c:showVal val="0"/>
          <c:showCatName val="0"/>
          <c:showSerName val="0"/>
          <c:showPercent val="0"/>
          <c:showBubbleSize val="0"/>
        </c:dLbls>
        <c:gapWidth val="219"/>
        <c:overlap val="-27"/>
        <c:axId val="292691608"/>
        <c:axId val="292690432"/>
      </c:barChart>
      <c:catAx>
        <c:axId val="292691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0432"/>
        <c:crosses val="autoZero"/>
        <c:auto val="1"/>
        <c:lblAlgn val="ctr"/>
        <c:lblOffset val="100"/>
        <c:noMultiLvlLbl val="0"/>
      </c:catAx>
      <c:valAx>
        <c:axId val="29269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Survival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16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Grazed Western Redcedar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'Percent Grazed'!$B$1</c:f>
              <c:strCache>
                <c:ptCount val="1"/>
                <c:pt idx="0">
                  <c:v>% grazed</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3-2ECA-0C47-A62E-0D01372D13AB}"/>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1-2ECA-0C47-A62E-0D01372D13AB}"/>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2-2ECA-0C47-A62E-0D01372D13AB}"/>
              </c:ext>
            </c:extLst>
          </c:dPt>
          <c:errBars>
            <c:errBarType val="both"/>
            <c:errValType val="cust"/>
            <c:noEndCap val="0"/>
            <c:plus>
              <c:numRef>
                <c:f>'Percent Grazed'!$C$2:$C$5</c:f>
                <c:numCache>
                  <c:formatCode>General</c:formatCode>
                  <c:ptCount val="4"/>
                  <c:pt idx="0">
                    <c:v>15.780482671114129</c:v>
                  </c:pt>
                  <c:pt idx="1">
                    <c:v>0</c:v>
                  </c:pt>
                  <c:pt idx="2">
                    <c:v>17.571683660556452</c:v>
                  </c:pt>
                  <c:pt idx="3">
                    <c:v>22.357096375274971</c:v>
                  </c:pt>
                </c:numCache>
              </c:numRef>
            </c:plus>
            <c:minus>
              <c:numRef>
                <c:f>'Percent Grazed'!$C$2:$C$5</c:f>
                <c:numCache>
                  <c:formatCode>General</c:formatCode>
                  <c:ptCount val="4"/>
                  <c:pt idx="0">
                    <c:v>15.780482671114129</c:v>
                  </c:pt>
                  <c:pt idx="1">
                    <c:v>0</c:v>
                  </c:pt>
                  <c:pt idx="2">
                    <c:v>17.571683660556452</c:v>
                  </c:pt>
                  <c:pt idx="3">
                    <c:v>22.357096375274971</c:v>
                  </c:pt>
                </c:numCache>
              </c:numRef>
            </c:minus>
            <c:spPr>
              <a:noFill/>
              <a:ln w="9525" cap="flat" cmpd="sng" algn="ctr">
                <a:solidFill>
                  <a:schemeClr val="tx1">
                    <a:lumMod val="65000"/>
                    <a:lumOff val="35000"/>
                  </a:schemeClr>
                </a:solidFill>
                <a:round/>
              </a:ln>
              <a:effectLst/>
            </c:spPr>
          </c:errBars>
          <c:cat>
            <c:strRef>
              <c:f>'Percent Grazed'!$A$2:$A$5</c:f>
              <c:strCache>
                <c:ptCount val="4"/>
                <c:pt idx="0">
                  <c:v>Weeded/Fenced</c:v>
                </c:pt>
                <c:pt idx="1">
                  <c:v>Not Weeded/Fenced</c:v>
                </c:pt>
                <c:pt idx="2">
                  <c:v>Weeded/Not Fenced</c:v>
                </c:pt>
                <c:pt idx="3">
                  <c:v>Not Weeded/Not Fenced</c:v>
                </c:pt>
              </c:strCache>
            </c:strRef>
          </c:cat>
          <c:val>
            <c:numRef>
              <c:f>'Percent Grazed'!$B$2:$B$5</c:f>
              <c:numCache>
                <c:formatCode>0.00</c:formatCode>
                <c:ptCount val="4"/>
                <c:pt idx="0">
                  <c:v>21.31</c:v>
                </c:pt>
                <c:pt idx="1">
                  <c:v>0</c:v>
                </c:pt>
                <c:pt idx="2">
                  <c:v>40.54</c:v>
                </c:pt>
                <c:pt idx="3" formatCode="General">
                  <c:v>26.79</c:v>
                </c:pt>
              </c:numCache>
            </c:numRef>
          </c:val>
          <c:extLst xmlns:c16r2="http://schemas.microsoft.com/office/drawing/2015/06/chart">
            <c:ext xmlns:c16="http://schemas.microsoft.com/office/drawing/2014/chart" uri="{C3380CC4-5D6E-409C-BE32-E72D297353CC}">
              <c16:uniqueId val="{00000000-2ECA-0C47-A62E-0D01372D13AB}"/>
            </c:ext>
          </c:extLst>
        </c:ser>
        <c:dLbls>
          <c:showLegendKey val="0"/>
          <c:showVal val="0"/>
          <c:showCatName val="0"/>
          <c:showSerName val="0"/>
          <c:showPercent val="0"/>
          <c:showBubbleSize val="0"/>
        </c:dLbls>
        <c:gapWidth val="219"/>
        <c:overlap val="-27"/>
        <c:axId val="292686120"/>
        <c:axId val="292686512"/>
      </c:barChart>
      <c:catAx>
        <c:axId val="292686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86512"/>
        <c:crosses val="autoZero"/>
        <c:auto val="1"/>
        <c:lblAlgn val="ctr"/>
        <c:lblOffset val="100"/>
        <c:noMultiLvlLbl val="0"/>
      </c:catAx>
      <c:valAx>
        <c:axId val="292686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Grazed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861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of Western Redcedar Seedlings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'Density by Species'!$B$1</c:f>
              <c:strCache>
                <c:ptCount val="1"/>
                <c:pt idx="0">
                  <c:v>Density (WRC/m^2)</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xmlns:c16r2="http://schemas.microsoft.com/office/drawing/2015/06/chart">
              <c:ext xmlns:c16="http://schemas.microsoft.com/office/drawing/2014/chart" uri="{C3380CC4-5D6E-409C-BE32-E72D297353CC}">
                <c16:uniqueId val="{00000001-DF79-B744-8077-C27A229B8606}"/>
              </c:ext>
            </c:extLst>
          </c:dPt>
          <c:dPt>
            <c:idx val="2"/>
            <c:invertIfNegative val="0"/>
            <c:bubble3D val="0"/>
            <c:spPr>
              <a:solidFill>
                <a:schemeClr val="accent2">
                  <a:lumMod val="60000"/>
                  <a:lumOff val="40000"/>
                </a:schemeClr>
              </a:solidFill>
              <a:ln>
                <a:noFill/>
              </a:ln>
              <a:effectLst/>
            </c:spPr>
            <c:extLst xmlns:c16r2="http://schemas.microsoft.com/office/drawing/2015/06/chart">
              <c:ext xmlns:c16="http://schemas.microsoft.com/office/drawing/2014/chart" uri="{C3380CC4-5D6E-409C-BE32-E72D297353CC}">
                <c16:uniqueId val="{00000002-DF79-B744-8077-C27A229B8606}"/>
              </c:ext>
            </c:extLst>
          </c:dPt>
          <c:dPt>
            <c:idx val="3"/>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DF79-B744-8077-C27A229B8606}"/>
              </c:ext>
            </c:extLst>
          </c:dPt>
          <c:errBars>
            <c:errBarType val="both"/>
            <c:errValType val="cust"/>
            <c:noEndCap val="0"/>
            <c:plus>
              <c:numRef>
                <c:f>'Density by Species'!$C$2:$C$5</c:f>
                <c:numCache>
                  <c:formatCode>General</c:formatCode>
                  <c:ptCount val="4"/>
                  <c:pt idx="0">
                    <c:v>2.9848596714066044E-2</c:v>
                  </c:pt>
                  <c:pt idx="1">
                    <c:v>4.6788499935869504E-2</c:v>
                  </c:pt>
                  <c:pt idx="2">
                    <c:v>2.5726254999665139E-2</c:v>
                  </c:pt>
                  <c:pt idx="3">
                    <c:v>2.5655481124171049E-2</c:v>
                  </c:pt>
                </c:numCache>
              </c:numRef>
            </c:plus>
            <c:minus>
              <c:numRef>
                <c:f>'Density by Species'!$C$2:$C$5</c:f>
                <c:numCache>
                  <c:formatCode>General</c:formatCode>
                  <c:ptCount val="4"/>
                  <c:pt idx="0">
                    <c:v>2.9848596714066044E-2</c:v>
                  </c:pt>
                  <c:pt idx="1">
                    <c:v>4.6788499935869504E-2</c:v>
                  </c:pt>
                  <c:pt idx="2">
                    <c:v>2.5726254999665139E-2</c:v>
                  </c:pt>
                  <c:pt idx="3">
                    <c:v>2.5655481124171049E-2</c:v>
                  </c:pt>
                </c:numCache>
              </c:numRef>
            </c:minus>
            <c:spPr>
              <a:noFill/>
              <a:ln w="9525" cap="flat" cmpd="sng" algn="ctr">
                <a:solidFill>
                  <a:schemeClr val="tx1">
                    <a:lumMod val="65000"/>
                    <a:lumOff val="35000"/>
                  </a:schemeClr>
                </a:solidFill>
                <a:round/>
              </a:ln>
              <a:effectLst/>
            </c:spPr>
          </c:errBars>
          <c:cat>
            <c:strRef>
              <c:f>'Density by Species'!$A$2:$A$5</c:f>
              <c:strCache>
                <c:ptCount val="4"/>
                <c:pt idx="0">
                  <c:v>Weeded &amp; Fenced</c:v>
                </c:pt>
                <c:pt idx="1">
                  <c:v>Unweeded &amp; Fenced</c:v>
                </c:pt>
                <c:pt idx="2">
                  <c:v>Unweeded &amp; Unfenced</c:v>
                </c:pt>
                <c:pt idx="3">
                  <c:v>Weeded &amp; Unfenced</c:v>
                </c:pt>
              </c:strCache>
            </c:strRef>
          </c:cat>
          <c:val>
            <c:numRef>
              <c:f>'Density by Species'!$B$2:$B$5</c:f>
              <c:numCache>
                <c:formatCode>General</c:formatCode>
                <c:ptCount val="4"/>
                <c:pt idx="0">
                  <c:v>0.10073985995507995</c:v>
                </c:pt>
                <c:pt idx="1">
                  <c:v>6.9361870788743576E-2</c:v>
                </c:pt>
                <c:pt idx="2">
                  <c:v>4.6241247192495713E-2</c:v>
                </c:pt>
                <c:pt idx="3">
                  <c:v>6.1104505218655063E-2</c:v>
                </c:pt>
              </c:numCache>
            </c:numRef>
          </c:val>
          <c:extLst xmlns:c16r2="http://schemas.microsoft.com/office/drawing/2015/06/chart">
            <c:ext xmlns:c16="http://schemas.microsoft.com/office/drawing/2014/chart" uri="{C3380CC4-5D6E-409C-BE32-E72D297353CC}">
              <c16:uniqueId val="{00000000-DF79-B744-8077-C27A229B8606}"/>
            </c:ext>
          </c:extLst>
        </c:ser>
        <c:dLbls>
          <c:showLegendKey val="0"/>
          <c:showVal val="0"/>
          <c:showCatName val="0"/>
          <c:showSerName val="0"/>
          <c:showPercent val="0"/>
          <c:showBubbleSize val="0"/>
        </c:dLbls>
        <c:gapWidth val="219"/>
        <c:overlap val="-27"/>
        <c:axId val="292688864"/>
        <c:axId val="293034336"/>
      </c:barChart>
      <c:catAx>
        <c:axId val="29268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Treatment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34336"/>
        <c:crosses val="autoZero"/>
        <c:auto val="1"/>
        <c:lblAlgn val="ctr"/>
        <c:lblOffset val="100"/>
        <c:noMultiLvlLbl val="0"/>
      </c:catAx>
      <c:valAx>
        <c:axId val="29303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Density (WRC/m^2)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888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12699</xdr:colOff>
      <xdr:row>15</xdr:row>
      <xdr:rowOff>196850</xdr:rowOff>
    </xdr:from>
    <xdr:to>
      <xdr:col>10</xdr:col>
      <xdr:colOff>738716</xdr:colOff>
      <xdr:row>34</xdr:row>
      <xdr:rowOff>63500</xdr:rowOff>
    </xdr:to>
    <xdr:graphicFrame macro="">
      <xdr:nvGraphicFramePr>
        <xdr:cNvPr id="3" name="Chart 2">
          <a:extLst>
            <a:ext uri="{FF2B5EF4-FFF2-40B4-BE49-F238E27FC236}">
              <a16:creationId xmlns:a16="http://schemas.microsoft.com/office/drawing/2014/main" xmlns="" id="{98013C1D-04BC-7D47-98C1-01351C008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1819275</xdr:colOff>
      <xdr:row>12</xdr:row>
      <xdr:rowOff>9525</xdr:rowOff>
    </xdr:from>
    <xdr:to>
      <xdr:col>7</xdr:col>
      <xdr:colOff>2314575</xdr:colOff>
      <xdr:row>25</xdr:row>
      <xdr:rowOff>152400</xdr:rowOff>
    </xdr:to>
    <xdr:graphicFrame macro="">
      <xdr:nvGraphicFramePr>
        <xdr:cNvPr id="3" name="Chart 2">
          <a:extLst>
            <a:ext uri="{FF2B5EF4-FFF2-40B4-BE49-F238E27FC236}">
              <a16:creationId xmlns:a16="http://schemas.microsoft.com/office/drawing/2014/main" xmlns=""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6349</xdr:colOff>
      <xdr:row>4</xdr:row>
      <xdr:rowOff>6350</xdr:rowOff>
    </xdr:from>
    <xdr:to>
      <xdr:col>12</xdr:col>
      <xdr:colOff>461432</xdr:colOff>
      <xdr:row>24</xdr:row>
      <xdr:rowOff>177800</xdr:rowOff>
    </xdr:to>
    <xdr:graphicFrame macro="">
      <xdr:nvGraphicFramePr>
        <xdr:cNvPr id="2" name="Chart 1">
          <a:extLst>
            <a:ext uri="{FF2B5EF4-FFF2-40B4-BE49-F238E27FC236}">
              <a16:creationId xmlns:a16="http://schemas.microsoft.com/office/drawing/2014/main" xmlns="" id="{78ED44AA-2DA5-2D4D-AB45-50FBE6E77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3</xdr:row>
      <xdr:rowOff>196850</xdr:rowOff>
    </xdr:from>
    <xdr:to>
      <xdr:col>11</xdr:col>
      <xdr:colOff>666750</xdr:colOff>
      <xdr:row>23</xdr:row>
      <xdr:rowOff>0</xdr:rowOff>
    </xdr:to>
    <xdr:graphicFrame macro="">
      <xdr:nvGraphicFramePr>
        <xdr:cNvPr id="2" name="Chart 1">
          <a:extLst>
            <a:ext uri="{FF2B5EF4-FFF2-40B4-BE49-F238E27FC236}">
              <a16:creationId xmlns:a16="http://schemas.microsoft.com/office/drawing/2014/main" xmlns="" id="{A5004AD8-C1AD-E449-A91C-3FF3A1100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825499</xdr:colOff>
      <xdr:row>4</xdr:row>
      <xdr:rowOff>184150</xdr:rowOff>
    </xdr:from>
    <xdr:to>
      <xdr:col>11</xdr:col>
      <xdr:colOff>687916</xdr:colOff>
      <xdr:row>24</xdr:row>
      <xdr:rowOff>0</xdr:rowOff>
    </xdr:to>
    <xdr:graphicFrame macro="">
      <xdr:nvGraphicFramePr>
        <xdr:cNvPr id="2" name="Chart 1">
          <a:extLst>
            <a:ext uri="{FF2B5EF4-FFF2-40B4-BE49-F238E27FC236}">
              <a16:creationId xmlns:a16="http://schemas.microsoft.com/office/drawing/2014/main" xmlns="" id="{104A2E69-E777-8B4C-8151-0AD320F9A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190500</xdr:colOff>
      <xdr:row>14</xdr:row>
      <xdr:rowOff>120650</xdr:rowOff>
    </xdr:from>
    <xdr:to>
      <xdr:col>10</xdr:col>
      <xdr:colOff>800100</xdr:colOff>
      <xdr:row>34</xdr:row>
      <xdr:rowOff>133350</xdr:rowOff>
    </xdr:to>
    <xdr:graphicFrame macro="">
      <xdr:nvGraphicFramePr>
        <xdr:cNvPr id="2" name="Chart 1">
          <a:extLst>
            <a:ext uri="{FF2B5EF4-FFF2-40B4-BE49-F238E27FC236}">
              <a16:creationId xmlns:a16="http://schemas.microsoft.com/office/drawing/2014/main" xmlns="" id="{89CB2A77-62B3-A54D-85C9-6C0B7CA88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190499</xdr:colOff>
      <xdr:row>14</xdr:row>
      <xdr:rowOff>95250</xdr:rowOff>
    </xdr:from>
    <xdr:to>
      <xdr:col>11</xdr:col>
      <xdr:colOff>99482</xdr:colOff>
      <xdr:row>33</xdr:row>
      <xdr:rowOff>88900</xdr:rowOff>
    </xdr:to>
    <xdr:graphicFrame macro="">
      <xdr:nvGraphicFramePr>
        <xdr:cNvPr id="2" name="Chart 1">
          <a:extLst>
            <a:ext uri="{FF2B5EF4-FFF2-40B4-BE49-F238E27FC236}">
              <a16:creationId xmlns:a16="http://schemas.microsoft.com/office/drawing/2014/main" xmlns="" id="{A29CF6CA-2AF8-FB43-97DE-0B4916506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812800</xdr:colOff>
      <xdr:row>3</xdr:row>
      <xdr:rowOff>6350</xdr:rowOff>
    </xdr:from>
    <xdr:to>
      <xdr:col>11</xdr:col>
      <xdr:colOff>781050</xdr:colOff>
      <xdr:row>22</xdr:row>
      <xdr:rowOff>88900</xdr:rowOff>
    </xdr:to>
    <xdr:graphicFrame macro="">
      <xdr:nvGraphicFramePr>
        <xdr:cNvPr id="2" name="Chart 1">
          <a:extLst>
            <a:ext uri="{FF2B5EF4-FFF2-40B4-BE49-F238E27FC236}">
              <a16:creationId xmlns:a16="http://schemas.microsoft.com/office/drawing/2014/main" xmlns="" id="{8194CE9D-1D06-C341-A723-7AC09ECA1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TTINGER, RACHEL E" refreshedDate="43791.644025231479" createdVersion="6" refreshedVersion="6" minRefreshableVersion="3" recordCount="438">
  <cacheSource type="worksheet">
    <worksheetSource ref="A1:O439" sheet="Data"/>
  </cacheSource>
  <cacheFields count="14">
    <cacheField name="Plot Name" numFmtId="0">
      <sharedItems count="4">
        <s v="B"/>
        <s v="A"/>
        <s v="C"/>
        <s v="D"/>
      </sharedItems>
    </cacheField>
    <cacheField name="Plot No" numFmtId="0">
      <sharedItems containsSemiMixedTypes="0" containsString="0" containsNumber="1" containsInteger="1" minValue="1" maxValue="4" count="4">
        <n v="1"/>
        <n v="2"/>
        <n v="3"/>
        <n v="4"/>
      </sharedItems>
    </cacheField>
    <cacheField name="Weededis1" numFmtId="0">
      <sharedItems containsSemiMixedTypes="0" containsString="0" containsNumber="1" containsInteger="1" minValue="0" maxValue="1" count="2">
        <n v="1"/>
        <n v="0"/>
      </sharedItems>
    </cacheField>
    <cacheField name="Fencedis1" numFmtId="0">
      <sharedItems containsSemiMixedTypes="0" containsString="0" containsNumber="1" containsInteger="1" minValue="0" maxValue="1" count="2">
        <n v="1"/>
        <n v="0"/>
      </sharedItems>
    </cacheField>
    <cacheField name="Date" numFmtId="14">
      <sharedItems containsSemiMixedTypes="0" containsNonDate="0" containsDate="1" containsString="0" minDate="2019-10-25T00:00:00" maxDate="2019-11-16T00:00:00"/>
    </cacheField>
    <cacheField name="SeedlingNo" numFmtId="0">
      <sharedItems containsSemiMixedTypes="0" containsString="0" containsNumber="1" containsInteger="1" minValue="1" maxValue="62"/>
    </cacheField>
    <cacheField name="SeedlingSP" numFmtId="0">
      <sharedItems count="5">
        <s v="Western Red Cedar"/>
        <s v="Sitka Spruce"/>
        <s v="Douglas-Fir"/>
        <s v="Grand Fir"/>
        <s v="Western White Pine"/>
      </sharedItems>
    </cacheField>
    <cacheField name="SeedlingHTcm" numFmtId="0">
      <sharedItems containsSemiMixedTypes="0" containsString="0" containsNumber="1" minValue="9" maxValue="195" count="149">
        <n v="100"/>
        <n v="163"/>
        <n v="164"/>
        <n v="157"/>
        <n v="149"/>
        <n v="125.5"/>
        <n v="125"/>
        <n v="142.5"/>
        <n v="115"/>
        <n v="126"/>
        <n v="137"/>
        <n v="117"/>
        <n v="92.5"/>
        <n v="93"/>
        <n v="87.5"/>
        <n v="136"/>
        <n v="72"/>
        <n v="109"/>
        <n v="82"/>
        <n v="89"/>
        <n v="122"/>
        <n v="55"/>
        <n v="90"/>
        <n v="91"/>
        <n v="73"/>
        <n v="107"/>
        <n v="57"/>
        <n v="78"/>
        <n v="62"/>
        <n v="94"/>
        <n v="90.5"/>
        <n v="36"/>
        <n v="69"/>
        <n v="85"/>
        <n v="43"/>
        <n v="58"/>
        <n v="49"/>
        <n v="77"/>
        <n v="29"/>
        <n v="56"/>
        <n v="27"/>
        <n v="9"/>
        <n v="39"/>
        <n v="32"/>
        <n v="22"/>
        <n v="16"/>
        <n v="133"/>
        <n v="143"/>
        <n v="153"/>
        <n v="120"/>
        <n v="146"/>
        <n v="92"/>
        <n v="130"/>
        <n v="95"/>
        <n v="166"/>
        <n v="116"/>
        <n v="108.5"/>
        <n v="129"/>
        <n v="128"/>
        <n v="140.5"/>
        <n v="110"/>
        <n v="102"/>
        <n v="105"/>
        <n v="124"/>
        <n v="101"/>
        <n v="79"/>
        <n v="70"/>
        <n v="81"/>
        <n v="42"/>
        <n v="76"/>
        <n v="48"/>
        <n v="86"/>
        <n v="24"/>
        <n v="34.5"/>
        <n v="19"/>
        <n v="25"/>
        <n v="21"/>
        <n v="30"/>
        <n v="12"/>
        <n v="17"/>
        <n v="20"/>
        <n v="14"/>
        <n v="111"/>
        <n v="67"/>
        <n v="47"/>
        <n v="52"/>
        <n v="63"/>
        <n v="59"/>
        <n v="51"/>
        <n v="37"/>
        <n v="38"/>
        <n v="50"/>
        <n v="26"/>
        <n v="23"/>
        <n v="64"/>
        <n v="60"/>
        <n v="61"/>
        <n v="53"/>
        <n v="34"/>
        <n v="66"/>
        <n v="99"/>
        <n v="83"/>
        <n v="62.5"/>
        <n v="96"/>
        <n v="127"/>
        <n v="35"/>
        <n v="40"/>
        <n v="42.5"/>
        <n v="80"/>
        <n v="44"/>
        <n v="75"/>
        <n v="68.5"/>
        <n v="41.5"/>
        <n v="71"/>
        <n v="54"/>
        <n v="45"/>
        <n v="65"/>
        <n v="46"/>
        <n v="31"/>
        <n v="41"/>
        <n v="98"/>
        <n v="159"/>
        <n v="88"/>
        <n v="56.5"/>
        <n v="123"/>
        <n v="108"/>
        <n v="84"/>
        <n v="74"/>
        <n v="28"/>
        <n v="103"/>
        <n v="106"/>
        <n v="44.5"/>
        <n v="150"/>
        <n v="195"/>
        <n v="113"/>
        <n v="191"/>
        <n v="169"/>
        <n v="140"/>
        <n v="135"/>
        <n v="147"/>
        <n v="156"/>
        <n v="176"/>
        <n v="132"/>
        <n v="97"/>
        <n v="171"/>
        <n v="104"/>
        <n v="119"/>
        <n v="142"/>
        <n v="87"/>
      </sharedItems>
    </cacheField>
    <cacheField name="SeedlingDBmm" numFmtId="0">
      <sharedItems containsSemiMixedTypes="0" containsString="0" containsNumber="1" minValue="1" maxValue="31" count="36">
        <n v="15"/>
        <n v="26"/>
        <n v="25"/>
        <n v="21"/>
        <n v="19"/>
        <n v="18"/>
        <n v="17"/>
        <n v="16"/>
        <n v="14"/>
        <n v="13"/>
        <n v="12"/>
        <n v="11"/>
        <n v="10"/>
        <n v="9"/>
        <n v="8"/>
        <n v="7"/>
        <n v="6"/>
        <n v="5"/>
        <n v="4"/>
        <n v="3"/>
        <n v="2"/>
        <n v="1"/>
        <n v="20"/>
        <n v="13.5"/>
        <n v="22"/>
        <n v="6.5"/>
        <n v="18.5"/>
        <n v="9.5"/>
        <n v="7.5"/>
        <n v="30"/>
        <n v="31"/>
        <n v="24"/>
        <n v="23"/>
        <n v="10.5"/>
        <n v="12.5"/>
        <n v="28"/>
      </sharedItems>
    </cacheField>
    <cacheField name="SeedlingVolumecm^3" numFmtId="0">
      <sharedItems containsSemiMixedTypes="0" containsString="0" containsNumber="1" minValue="3.1415926535897934E-2" maxValue="480.53539429921676" count="370">
        <n v="58.90486225480862"/>
        <n v="288.47150942812681"/>
        <n v="268.34437249412815"/>
        <n v="181.26204213049709"/>
        <n v="140.81927270328447"/>
        <n v="106.45286706689016"/>
        <n v="106.02875205865553"/>
        <n v="120.8727773468673"/>
        <n v="97.546451893963081"/>
        <n v="95.33162907318227"/>
        <n v="91.818281288917703"/>
        <n v="60.035835610100939"/>
        <n v="47.464229007985779"/>
        <n v="51.312680008633286"/>
        <n v="47.720792408028949"/>
        <n v="38.713584470799226"/>
        <n v="60.171971291756513"/>
        <n v="31.855749507400503"/>
        <n v="48.226065226481317"/>
        <n v="30.91327171132356"/>
        <n v="33.552209540338993"/>
        <n v="45.992916448554574"/>
        <n v="20.734511513692635"/>
        <n v="28.509953331327377"/>
        <n v="28.826730590564349"/>
        <n v="19.111355309337906"/>
        <n v="28.012534494508987"/>
        <n v="14.922565104551516"/>
        <n v="20.420352248333653"/>
        <n v="16.231562043547264"/>
        <n v="19.933405387027243"/>
        <n v="19.19120412261665"/>
        <n v="7.6340701482231985"/>
        <n v="11.561060965210439"/>
        <n v="14.241886696273731"/>
        <n v="14.912093129039553"/>
        <n v="7.2047191522325926"/>
        <n v="7.4403386012518267"/>
        <n v="6.2858033010575767"/>
        <n v="7.2570790297924219"/>
        <n v="3.3929200658769765"/>
        <n v="2.7331856086231201"/>
        <n v="3.6651914291880918"/>
        <n v="1.7671458676442586"/>
        <n v="0.37699111843077521"/>
        <n v="1.6336281798666927"/>
        <n v="1.3404128655316452"/>
        <n v="0.51836278784231571"/>
        <n v="0.16755160819145565"/>
        <n v="4.1887902047863912E-2"/>
        <n v="153.55319492583513"/>
        <n v="165.09854792777762"/>
        <n v="160.22122533307945"/>
        <n v="113.41149479459152"/>
        <n v="137.98398533341967"/>
        <n v="88.839004255763356"/>
        <n v="86.948812675853503"/>
        <n v="98.358029996140431"/>
        <n v="71.877021920256468"/>
        <n v="92.305228150224096"/>
        <n v="61.658991814455675"/>
        <n v="111.25426783912657"/>
        <n v="68.329640215577996"/>
        <n v="43.615778007338292"/>
        <n v="55.674257809367106"/>
        <n v="66.193357211136927"/>
        <n v="65.680230411050601"/>
        <n v="55.305120672570318"/>
        <n v="62.162955635969041"/>
        <n v="37.699111843077517"/>
        <n v="41.469023027385269"/>
        <n v="40.338049672092943"/>
        <n v="38.453094079939063"/>
        <n v="29.405307237600457"/>
        <n v="39.584067435231397"/>
        <n v="35.437165132492865"/>
        <n v="35.060174014062085"/>
        <n v="46.746898685416113"/>
        <n v="38.07610296150829"/>
        <n v="25.025403479720698"/>
        <n v="18.32595714594046"/>
        <n v="21.205750411731103"/>
        <n v="21.205750411731106"/>
        <n v="17.388715337619505"/>
        <n v="13.147565255273285"/>
        <n v="13.739231871699362"/>
        <n v="5.3878314009064949"/>
        <n v="9.7494092016403222"/>
        <n v="3.1415926535897931"/>
        <n v="5.6286868376817125"/>
        <n v="1.0053096491487339"/>
        <n v="1.8011797880581482"/>
        <n v="0.75398223686155041"/>
        <n v="0.56548667764616278"/>
        <n v="0.81288709911635892"/>
        <n v="0.44767695313654543"/>
        <n v="0.58904862254808621"/>
        <n v="0.21991148575128558"/>
        <n v="0.31415926535897931"/>
        <n v="3.1415926535897934E-2"/>
        <n v="4.450589592585541E-2"/>
        <n v="5.2359877559829883E-2"/>
        <n v="3.6651914291880923E-2"/>
        <n v="116.23892818282235"/>
        <n v="53.014376029327764"/>
        <n v="25.258404934861932"/>
        <n v="14.888531184137632"/>
        <n v="12.304571226560023"/>
        <n v="20.158552860534506"/>
        <n v="13.613568165555771"/>
        <n v="16.493361431346415"/>
        <n v="12.511392742921352"/>
        <n v="11.026990214100174"/>
        <n v="8.5451320177642387"/>
        <n v="5.026548245743669"/>
        <n v="15.247196345422465"/>
        <n v="9.3828900587215163"/>
        <n v="4.7464229007985788"/>
        <n v="8.9797190015108246"/>
        <n v="4.8747046008201611"/>
        <n v="6.0292399010144111"/>
        <n v="4.9008845396000771"/>
        <n v="2.748893571891069"/>
        <n v="3.2724923474893681"/>
        <n v="2.8902652413026098"/>
        <n v="1.089085453244462"/>
        <n v="0.96342174710086992"/>
        <n v="0.91891585117501429"/>
        <n v="1.2959069696057897"/>
        <n v="32.840115205525301"/>
        <n v="26.389378290154255"/>
        <n v="18.472564803107982"/>
        <n v="15.707963267948964"/>
        <n v="17.540558982543011"/>
        <n v="15.969762655748115"/>
        <n v="16.755160819145562"/>
        <n v="13.571680263507908"/>
        <n v="12.299335238804041"/>
        <n v="8.210028801381327"/>
        <n v="8.8802352341471504"/>
        <n v="6.5423667011007431"/>
        <n v="3.2044245066615891"/>
        <n v="4.5238934211693023"/>
        <n v="2.167698930976957"/>
        <n v="2.3561944901923448"/>
        <n v="2.5525440310417067"/>
        <n v="4.5814892864851151"/>
        <n v="1.7016960206944713"/>
        <n v="2.8143434188408563"/>
        <n v="1.7592918860102846"/>
        <n v="1.36659280431156"/>
        <n v="1.5786503084288708"/>
        <n v="1.1545353001942489"/>
        <n v="0.1989675347273536"/>
        <n v="0.23038346126325152"/>
        <n v="0.60737457969402675"/>
        <n v="78.343466798895463"/>
        <n v="32.311280442171032"/>
        <n v="6.2203534541077898"/>
        <n v="25.918139392115794"/>
        <n v="25.658957998194637"/>
        <n v="5.1836278784231586"/>
        <n v="38.997636806561289"/>
        <n v="4.9741883681838388"/>
        <n v="32.044245066615886"/>
        <n v="18.849555921538759"/>
        <n v="3.599741582238305"/>
        <n v="94.575028842442734"/>
        <n v="26.292512516668584"/>
        <n v="31.677725923697086"/>
        <n v="10.390817701748242"/>
        <n v="8.3775804095727828"/>
        <n v="52.484232269034493"/>
        <n v="12.063715789784807"/>
        <n v="9.717993275104428"/>
        <n v="11.225957748827527"/>
        <n v="7.8749255849984161"/>
        <n v="27.520351645446581"/>
        <n v="26.926067035142523"/>
        <n v="32.070425005395798"/>
        <n v="22.807962665061904"/>
        <n v="24.870941840919198"/>
        <n v="49.260172808287955"/>
        <n v="3.4871678454846702"/>
        <n v="41.147009780392317"/>
        <n v="100.62783068835905"/>
        <n v="2.4216443371421321"/>
        <n v="6.2831853071795868E-2"/>
        <n v="0.70685834705770334"/>
        <n v="85.116216961259468"/>
        <n v="7.4220126441058873"/>
        <n v="0.43982297150257116"/>
        <n v="1.0471975511965979"/>
        <n v="7.6969020012949914"/>
        <n v="10.471975511965978"/>
        <n v="5.4519722509172865"/>
        <n v="2.5446900494077322"/>
        <n v="35.395277230445011"/>
        <n v="7.3722707604240485"/>
        <n v="1.2566370614359172"/>
        <n v="28.274333882308138"/>
        <n v="25.823891612508103"/>
        <n v="1.0471975511965976"/>
        <n v="17.739526517270367"/>
        <n v="5.3236905508957033"/>
        <n v="26.766369408585035"/>
        <n v="6.927211801165492"/>
        <n v="5.7726765009712437"/>
        <n v="7.822565707438585"/>
        <n v="24.504422698000383"/>
        <n v="4.6181412007769955"/>
        <n v="2.3457225146803791"/>
        <n v="0.28274333882308139"/>
        <n v="5.9009582009928279"/>
        <n v="6.1994095030838601"/>
        <n v="0.3351032163829113"/>
        <n v="6.702064327658225"/>
        <n v="11.686724671354028"/>
        <n v="7.2858769624503301"/>
        <n v="8.6943576688097526"/>
        <n v="6.2831853071795862"/>
        <n v="41.846014145816042"/>
        <n v="16.964600329384883"/>
        <n v="3.7960911230876668"/>
        <n v="2.3876104167282426"/>
        <n v="14.844025288211775"/>
        <n v="36.945129606215964"/>
        <n v="59.941587830493255"/>
        <n v="27.876398812853434"/>
        <n v="5.0893800988154645"/>
        <n v="3.0578168494940656"/>
        <n v="4.0526545231308324"/>
        <n v="4.2411500823462207"/>
        <n v="0.45029494701453704"/>
        <n v="17.897915146888852"/>
        <n v="43.398484515465015"/>
        <n v="15.268140296446397"/>
        <n v="52.338933608805945"/>
        <n v="88.522226996526385"/>
        <n v="48.747046008201615"/>
        <n v="18.06415775814131"/>
        <n v="128.80529879718151"/>
        <n v="44.244096538056255"/>
        <n v="12.566370614359174"/>
        <n v="159.65573865543331"/>
        <n v="11.780972450961725"/>
        <n v="1.3744467859455345"/>
        <n v="34.211943997592847"/>
        <n v="96.088229303921807"/>
        <n v="21.991148575128552"/>
        <n v="24.708626220483726"/>
        <n v="47.341183295720192"/>
        <n v="3.8615409700374541"/>
        <n v="27.897342763877361"/>
        <n v="51.323151984145255"/>
        <n v="75.398223686155035"/>
        <n v="1.2147491593880535"/>
        <n v="0.63617251235193306"/>
        <n v="2.638937829015426"/>
        <n v="4.6456301364959067"/>
        <n v="48.301987048943062"/>
        <n v="28.193176072090409"/>
        <n v="0.79587013890941438"/>
        <n v="1.9634954084936205"/>
        <n v="0.73042029195962677"/>
        <n v="3.4033920413889427"/>
        <n v="80.956224689130977"/>
        <n v="11.392854858549486"/>
        <n v="10.903944501834573"/>
        <n v="13.084733402201486"/>
        <n v="68.918688838126087"/>
        <n v="4.335397861953914"/>
        <n v="39.961058553662163"/>
        <n v="13.99579527174253"/>
        <n v="103.04096654539774"/>
        <n v="20.943951023931955"/>
        <n v="11.896164181593351"/>
        <n v="12.935507751155974"/>
        <n v="14.412710796812673"/>
        <n v="54.391440809151277"/>
        <n v="4.7123889803846897"/>
        <n v="5.0029863008417443"/>
        <n v="14.207852775859841"/>
        <n v="18.665641851609855"/>
        <n v="6.0318578948924033"/>
        <n v="2.9125181892655374"/>
        <n v="4.9951323192077703"/>
        <n v="5.3014376029327757"/>
        <n v="3.7699111843077517"/>
        <n v="6.1575216010359943"/>
        <n v="18.587756533739611"/>
        <n v="10.38819970787025"/>
        <n v="31.29026282975434"/>
        <n v="141.7643684932394"/>
        <n v="459.45792558750719"/>
        <n v="16.752542825267575"/>
        <n v="72.382294738708836"/>
        <n v="31.044171405223143"/>
        <n v="35.795830293777705"/>
        <n v="102.89763138057769"/>
        <n v="480.53539429921676"/>
        <n v="193.86768265302621"/>
        <n v="195.11646573282806"/>
        <n v="146.60765716752368"/>
        <n v="79.521564043991631"/>
        <n v="239.76635132197302"/>
        <n v="26.179938779914945"/>
        <n v="111.22023391871267"/>
        <n v="170.69320084504542"/>
        <n v="132.32388256920208"/>
        <n v="65.167103610964261"/>
        <n v="227.12667687903001"/>
        <n v="133.16164061015934"/>
        <n v="67.732737611395933"/>
        <n v="16.252505994571198"/>
        <n v="60.614412257137076"/>
        <n v="115.30168637450139"/>
        <n v="129.37863945646166"/>
        <n v="32.724923474893679"/>
        <n v="55.417694409323936"/>
        <n v="24.334253095930944"/>
        <n v="5.5606189968539326"/>
        <n v="24.075071702009783"/>
        <n v="49.77329960837428"/>
        <n v="8.2100288013813252"/>
        <n v="22.24247598741573"/>
        <n v="25.656340004316643"/>
        <n v="4.1050144006906626"/>
        <n v="30.093839627512228"/>
        <n v="13.089969389957473"/>
        <n v="9.3305301811616861"/>
        <n v="6.5345127194667709"/>
        <n v="12.828170002158322"/>
        <n v="8.8514373014892413"/>
        <n v="4.858996637552214"/>
        <n v="21.865484868984961"/>
        <n v="61.261056745000964"/>
        <n v="168.56215382836035"/>
        <n v="24.822508954176357"/>
        <n v="90.035427458005472"/>
        <n v="8.5948739014460749"/>
        <n v="102.54158421317085"/>
        <n v="36.746162071488619"/>
        <n v="13.236577047124996"/>
        <n v="30.630528372500482"/>
        <n v="30.368728984701335"/>
        <n v="14.074335088082277"/>
        <n v="11.780972450961722"/>
        <n v="120.44866233863269"/>
        <n v="33.175218421908205"/>
        <n v="24.347343065320896"/>
        <n v="18.901915799098585"/>
        <n v="19.634954084936208"/>
        <n v="41.822452200914121"/>
        <n v="29.04336958396814"/>
        <n v="73.303828583761842"/>
        <n v="13.273228961416876"/>
        <n v="66.156705296845047"/>
        <n v="41.584214758016884"/>
        <n v="22.776546738525997"/>
        <n v="15.833626974092558"/>
        <n v="13.783737767625219"/>
        <n v="155.443386505745"/>
        <n v="6.3047837566730154"/>
        <n v="12.723450247038663"/>
        <n v="138.04158119873551"/>
        <n v="13.304644887952778"/>
        <n v="72.947781416354999"/>
        <n v="43.563418129778476"/>
        <n v="213.46074883591447"/>
      </sharedItems>
    </cacheField>
    <cacheField name="Cond1isNo" numFmtId="0">
      <sharedItems containsSemiMixedTypes="0" containsString="0" containsNumber="1" containsInteger="1" minValue="0" maxValue="1"/>
    </cacheField>
    <cacheField name="Planted1isNo" numFmtId="0">
      <sharedItems containsSemiMixedTypes="0" containsString="0" containsNumber="1" containsInteger="1" minValue="0" maxValue="1"/>
    </cacheField>
    <cacheField name="Graze1isYes" numFmtId="0">
      <sharedItems containsSemiMixedTypes="0" containsString="0" containsNumber="1" containsInteger="1" minValue="0" maxValue="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8">
  <r>
    <x v="0"/>
    <x v="0"/>
    <x v="0"/>
    <x v="0"/>
    <d v="2019-10-25T00:00:00"/>
    <n v="45"/>
    <x v="0"/>
    <x v="0"/>
    <x v="0"/>
    <x v="0"/>
    <n v="0"/>
    <n v="0"/>
    <n v="0"/>
    <m/>
  </r>
  <r>
    <x v="0"/>
    <x v="0"/>
    <x v="0"/>
    <x v="0"/>
    <d v="2019-10-25T00:00:00"/>
    <n v="54"/>
    <x v="1"/>
    <x v="1"/>
    <x v="1"/>
    <x v="1"/>
    <n v="0"/>
    <n v="0"/>
    <n v="0"/>
    <m/>
  </r>
  <r>
    <x v="0"/>
    <x v="0"/>
    <x v="0"/>
    <x v="0"/>
    <d v="2019-10-25T00:00:00"/>
    <n v="53"/>
    <x v="1"/>
    <x v="2"/>
    <x v="2"/>
    <x v="2"/>
    <n v="0"/>
    <n v="0"/>
    <n v="0"/>
    <m/>
  </r>
  <r>
    <x v="0"/>
    <x v="0"/>
    <x v="0"/>
    <x v="0"/>
    <d v="2019-10-25T00:00:00"/>
    <n v="2"/>
    <x v="0"/>
    <x v="3"/>
    <x v="3"/>
    <x v="3"/>
    <n v="0"/>
    <n v="0"/>
    <n v="0"/>
    <m/>
  </r>
  <r>
    <x v="0"/>
    <x v="0"/>
    <x v="0"/>
    <x v="0"/>
    <d v="2019-10-25T00:00:00"/>
    <n v="40"/>
    <x v="0"/>
    <x v="4"/>
    <x v="4"/>
    <x v="4"/>
    <n v="0"/>
    <n v="0"/>
    <n v="1"/>
    <m/>
  </r>
  <r>
    <x v="0"/>
    <x v="0"/>
    <x v="0"/>
    <x v="0"/>
    <d v="2019-10-25T00:00:00"/>
    <n v="55"/>
    <x v="2"/>
    <x v="5"/>
    <x v="5"/>
    <x v="5"/>
    <n v="0"/>
    <n v="0"/>
    <n v="0"/>
    <m/>
  </r>
  <r>
    <x v="0"/>
    <x v="0"/>
    <x v="0"/>
    <x v="0"/>
    <d v="2019-10-25T00:00:00"/>
    <n v="44"/>
    <x v="1"/>
    <x v="6"/>
    <x v="5"/>
    <x v="6"/>
    <n v="0"/>
    <n v="0"/>
    <n v="0"/>
    <m/>
  </r>
  <r>
    <x v="0"/>
    <x v="0"/>
    <x v="0"/>
    <x v="0"/>
    <d v="2019-10-25T00:00:00"/>
    <n v="46"/>
    <x v="0"/>
    <x v="7"/>
    <x v="5"/>
    <x v="7"/>
    <n v="0"/>
    <n v="0"/>
    <n v="0"/>
    <m/>
  </r>
  <r>
    <x v="0"/>
    <x v="0"/>
    <x v="0"/>
    <x v="0"/>
    <d v="2019-10-25T00:00:00"/>
    <n v="49"/>
    <x v="2"/>
    <x v="8"/>
    <x v="5"/>
    <x v="8"/>
    <n v="1"/>
    <n v="0"/>
    <n v="0"/>
    <m/>
  </r>
  <r>
    <x v="0"/>
    <x v="0"/>
    <x v="0"/>
    <x v="0"/>
    <d v="2019-10-25T00:00:00"/>
    <n v="47"/>
    <x v="0"/>
    <x v="9"/>
    <x v="6"/>
    <x v="9"/>
    <n v="0"/>
    <n v="0"/>
    <n v="0"/>
    <m/>
  </r>
  <r>
    <x v="0"/>
    <x v="0"/>
    <x v="0"/>
    <x v="0"/>
    <d v="2019-10-25T00:00:00"/>
    <n v="13"/>
    <x v="0"/>
    <x v="10"/>
    <x v="7"/>
    <x v="10"/>
    <n v="0"/>
    <n v="0"/>
    <n v="1"/>
    <m/>
  </r>
  <r>
    <x v="0"/>
    <x v="0"/>
    <x v="0"/>
    <x v="0"/>
    <d v="2019-10-25T00:00:00"/>
    <n v="17"/>
    <x v="0"/>
    <x v="11"/>
    <x v="8"/>
    <x v="11"/>
    <n v="0"/>
    <n v="0"/>
    <n v="0"/>
    <m/>
  </r>
  <r>
    <x v="0"/>
    <x v="0"/>
    <x v="0"/>
    <x v="0"/>
    <d v="2019-10-25T00:00:00"/>
    <n v="33"/>
    <x v="0"/>
    <x v="12"/>
    <x v="8"/>
    <x v="12"/>
    <n v="0"/>
    <n v="0"/>
    <n v="0"/>
    <m/>
  </r>
  <r>
    <x v="0"/>
    <x v="0"/>
    <x v="0"/>
    <x v="0"/>
    <d v="2019-10-25T00:00:00"/>
    <n v="56"/>
    <x v="0"/>
    <x v="0"/>
    <x v="8"/>
    <x v="13"/>
    <n v="0"/>
    <n v="0"/>
    <n v="0"/>
    <m/>
  </r>
  <r>
    <x v="0"/>
    <x v="0"/>
    <x v="0"/>
    <x v="0"/>
    <d v="2019-10-25T00:00:00"/>
    <n v="41"/>
    <x v="2"/>
    <x v="13"/>
    <x v="8"/>
    <x v="14"/>
    <n v="0"/>
    <n v="0"/>
    <n v="1"/>
    <m/>
  </r>
  <r>
    <x v="0"/>
    <x v="0"/>
    <x v="0"/>
    <x v="0"/>
    <d v="2019-10-25T00:00:00"/>
    <n v="3"/>
    <x v="0"/>
    <x v="14"/>
    <x v="9"/>
    <x v="15"/>
    <n v="0"/>
    <n v="0"/>
    <n v="0"/>
    <m/>
  </r>
  <r>
    <x v="0"/>
    <x v="0"/>
    <x v="0"/>
    <x v="0"/>
    <d v="2019-10-25T00:00:00"/>
    <n v="39"/>
    <x v="0"/>
    <x v="15"/>
    <x v="9"/>
    <x v="16"/>
    <n v="0"/>
    <n v="0"/>
    <n v="0"/>
    <m/>
  </r>
  <r>
    <x v="0"/>
    <x v="0"/>
    <x v="0"/>
    <x v="0"/>
    <d v="2019-10-25T00:00:00"/>
    <n v="43"/>
    <x v="1"/>
    <x v="16"/>
    <x v="9"/>
    <x v="17"/>
    <n v="0"/>
    <n v="0"/>
    <n v="1"/>
    <m/>
  </r>
  <r>
    <x v="0"/>
    <x v="0"/>
    <x v="0"/>
    <x v="0"/>
    <d v="2019-10-25T00:00:00"/>
    <n v="32"/>
    <x v="0"/>
    <x v="17"/>
    <x v="9"/>
    <x v="18"/>
    <n v="1"/>
    <n v="0"/>
    <n v="1"/>
    <m/>
  </r>
  <r>
    <x v="0"/>
    <x v="0"/>
    <x v="0"/>
    <x v="0"/>
    <d v="2019-10-25T00:00:00"/>
    <n v="6"/>
    <x v="0"/>
    <x v="18"/>
    <x v="10"/>
    <x v="19"/>
    <n v="0"/>
    <n v="0"/>
    <n v="0"/>
    <m/>
  </r>
  <r>
    <x v="0"/>
    <x v="0"/>
    <x v="0"/>
    <x v="0"/>
    <d v="2019-10-25T00:00:00"/>
    <n v="36"/>
    <x v="0"/>
    <x v="19"/>
    <x v="10"/>
    <x v="20"/>
    <n v="0"/>
    <n v="0"/>
    <n v="0"/>
    <m/>
  </r>
  <r>
    <x v="0"/>
    <x v="0"/>
    <x v="0"/>
    <x v="0"/>
    <d v="2019-10-25T00:00:00"/>
    <n v="23"/>
    <x v="0"/>
    <x v="20"/>
    <x v="10"/>
    <x v="21"/>
    <n v="0"/>
    <n v="0"/>
    <n v="0"/>
    <m/>
  </r>
  <r>
    <x v="0"/>
    <x v="0"/>
    <x v="0"/>
    <x v="0"/>
    <d v="2019-10-25T00:00:00"/>
    <n v="8"/>
    <x v="0"/>
    <x v="21"/>
    <x v="10"/>
    <x v="22"/>
    <n v="0"/>
    <n v="0"/>
    <n v="1"/>
    <m/>
  </r>
  <r>
    <x v="0"/>
    <x v="0"/>
    <x v="0"/>
    <x v="0"/>
    <d v="2019-10-25T00:00:00"/>
    <n v="9"/>
    <x v="0"/>
    <x v="22"/>
    <x v="11"/>
    <x v="23"/>
    <n v="0"/>
    <n v="0"/>
    <n v="0"/>
    <m/>
  </r>
  <r>
    <x v="0"/>
    <x v="0"/>
    <x v="0"/>
    <x v="0"/>
    <d v="2019-10-25T00:00:00"/>
    <n v="42"/>
    <x v="0"/>
    <x v="23"/>
    <x v="11"/>
    <x v="24"/>
    <n v="0"/>
    <n v="0"/>
    <n v="0"/>
    <m/>
  </r>
  <r>
    <x v="0"/>
    <x v="0"/>
    <x v="0"/>
    <x v="0"/>
    <d v="2019-10-25T00:00:00"/>
    <n v="4"/>
    <x v="0"/>
    <x v="24"/>
    <x v="12"/>
    <x v="25"/>
    <n v="0"/>
    <n v="0"/>
    <n v="0"/>
    <m/>
  </r>
  <r>
    <x v="0"/>
    <x v="0"/>
    <x v="0"/>
    <x v="0"/>
    <d v="2019-10-25T00:00:00"/>
    <n v="12"/>
    <x v="0"/>
    <x v="25"/>
    <x v="12"/>
    <x v="26"/>
    <n v="0"/>
    <n v="0"/>
    <n v="0"/>
    <m/>
  </r>
  <r>
    <x v="0"/>
    <x v="0"/>
    <x v="0"/>
    <x v="0"/>
    <d v="2019-10-25T00:00:00"/>
    <n v="16"/>
    <x v="0"/>
    <x v="26"/>
    <x v="12"/>
    <x v="27"/>
    <n v="0"/>
    <n v="0"/>
    <n v="0"/>
    <m/>
  </r>
  <r>
    <x v="0"/>
    <x v="0"/>
    <x v="0"/>
    <x v="0"/>
    <d v="2019-10-25T00:00:00"/>
    <n v="22"/>
    <x v="0"/>
    <x v="24"/>
    <x v="12"/>
    <x v="25"/>
    <n v="0"/>
    <n v="0"/>
    <n v="0"/>
    <m/>
  </r>
  <r>
    <x v="0"/>
    <x v="0"/>
    <x v="0"/>
    <x v="0"/>
    <d v="2019-10-25T00:00:00"/>
    <n v="50"/>
    <x v="0"/>
    <x v="27"/>
    <x v="12"/>
    <x v="28"/>
    <n v="0"/>
    <n v="0"/>
    <n v="0"/>
    <m/>
  </r>
  <r>
    <x v="0"/>
    <x v="0"/>
    <x v="0"/>
    <x v="0"/>
    <d v="2019-10-25T00:00:00"/>
    <n v="24"/>
    <x v="0"/>
    <x v="28"/>
    <x v="12"/>
    <x v="29"/>
    <n v="0"/>
    <n v="0"/>
    <n v="1"/>
    <m/>
  </r>
  <r>
    <x v="0"/>
    <x v="0"/>
    <x v="0"/>
    <x v="0"/>
    <d v="2019-10-25T00:00:00"/>
    <n v="11"/>
    <x v="0"/>
    <x v="29"/>
    <x v="13"/>
    <x v="30"/>
    <n v="0"/>
    <n v="0"/>
    <n v="0"/>
    <m/>
  </r>
  <r>
    <x v="0"/>
    <x v="0"/>
    <x v="0"/>
    <x v="0"/>
    <d v="2019-10-25T00:00:00"/>
    <n v="51"/>
    <x v="0"/>
    <x v="30"/>
    <x v="13"/>
    <x v="31"/>
    <n v="0"/>
    <n v="0"/>
    <n v="0"/>
    <m/>
  </r>
  <r>
    <x v="0"/>
    <x v="0"/>
    <x v="0"/>
    <x v="0"/>
    <d v="2019-10-25T00:00:00"/>
    <n v="21"/>
    <x v="0"/>
    <x v="31"/>
    <x v="13"/>
    <x v="32"/>
    <n v="1"/>
    <n v="0"/>
    <n v="1"/>
    <m/>
  </r>
  <r>
    <x v="0"/>
    <x v="0"/>
    <x v="0"/>
    <x v="0"/>
    <d v="2019-10-25T00:00:00"/>
    <n v="1"/>
    <x v="0"/>
    <x v="32"/>
    <x v="14"/>
    <x v="33"/>
    <n v="0"/>
    <n v="0"/>
    <n v="0"/>
    <m/>
  </r>
  <r>
    <x v="0"/>
    <x v="0"/>
    <x v="0"/>
    <x v="0"/>
    <d v="2019-10-25T00:00:00"/>
    <n v="7"/>
    <x v="0"/>
    <x v="33"/>
    <x v="14"/>
    <x v="34"/>
    <n v="0"/>
    <n v="0"/>
    <n v="0"/>
    <m/>
  </r>
  <r>
    <x v="0"/>
    <x v="0"/>
    <x v="0"/>
    <x v="0"/>
    <d v="2019-10-25T00:00:00"/>
    <n v="48"/>
    <x v="0"/>
    <x v="19"/>
    <x v="14"/>
    <x v="35"/>
    <n v="0"/>
    <n v="0"/>
    <n v="0"/>
    <m/>
  </r>
  <r>
    <x v="0"/>
    <x v="0"/>
    <x v="0"/>
    <x v="0"/>
    <d v="2019-10-25T00:00:00"/>
    <n v="19"/>
    <x v="0"/>
    <x v="34"/>
    <x v="14"/>
    <x v="36"/>
    <n v="0"/>
    <n v="0"/>
    <n v="1"/>
    <m/>
  </r>
  <r>
    <x v="0"/>
    <x v="0"/>
    <x v="0"/>
    <x v="0"/>
    <d v="2019-10-25T00:00:00"/>
    <n v="15"/>
    <x v="0"/>
    <x v="35"/>
    <x v="15"/>
    <x v="37"/>
    <n v="1"/>
    <n v="0"/>
    <n v="0"/>
    <m/>
  </r>
  <r>
    <x v="0"/>
    <x v="0"/>
    <x v="0"/>
    <x v="0"/>
    <d v="2019-10-25T00:00:00"/>
    <n v="5"/>
    <x v="0"/>
    <x v="36"/>
    <x v="15"/>
    <x v="38"/>
    <n v="0"/>
    <n v="0"/>
    <n v="1"/>
    <m/>
  </r>
  <r>
    <x v="0"/>
    <x v="0"/>
    <x v="0"/>
    <x v="0"/>
    <d v="2019-10-25T00:00:00"/>
    <n v="20"/>
    <x v="0"/>
    <x v="37"/>
    <x v="16"/>
    <x v="39"/>
    <n v="0"/>
    <n v="0"/>
    <n v="0"/>
    <m/>
  </r>
  <r>
    <x v="0"/>
    <x v="0"/>
    <x v="0"/>
    <x v="0"/>
    <d v="2019-10-25T00:00:00"/>
    <n v="10"/>
    <x v="0"/>
    <x v="31"/>
    <x v="16"/>
    <x v="40"/>
    <n v="0"/>
    <n v="0"/>
    <n v="1"/>
    <m/>
  </r>
  <r>
    <x v="0"/>
    <x v="0"/>
    <x v="0"/>
    <x v="0"/>
    <d v="2019-10-25T00:00:00"/>
    <n v="14"/>
    <x v="0"/>
    <x v="38"/>
    <x v="16"/>
    <x v="41"/>
    <n v="0"/>
    <n v="0"/>
    <n v="1"/>
    <m/>
  </r>
  <r>
    <x v="0"/>
    <x v="0"/>
    <x v="0"/>
    <x v="0"/>
    <d v="2019-10-25T00:00:00"/>
    <n v="34"/>
    <x v="0"/>
    <x v="31"/>
    <x v="16"/>
    <x v="40"/>
    <n v="0"/>
    <n v="0"/>
    <n v="1"/>
    <m/>
  </r>
  <r>
    <x v="0"/>
    <x v="0"/>
    <x v="0"/>
    <x v="0"/>
    <d v="2019-10-25T00:00:00"/>
    <n v="37"/>
    <x v="0"/>
    <x v="39"/>
    <x v="17"/>
    <x v="42"/>
    <n v="1"/>
    <n v="0"/>
    <n v="0"/>
    <m/>
  </r>
  <r>
    <x v="0"/>
    <x v="0"/>
    <x v="0"/>
    <x v="0"/>
    <d v="2019-10-25T00:00:00"/>
    <n v="35"/>
    <x v="0"/>
    <x v="40"/>
    <x v="17"/>
    <x v="43"/>
    <n v="1"/>
    <n v="0"/>
    <n v="1"/>
    <m/>
  </r>
  <r>
    <x v="0"/>
    <x v="0"/>
    <x v="0"/>
    <x v="0"/>
    <d v="2019-10-25T00:00:00"/>
    <n v="57"/>
    <x v="2"/>
    <x v="41"/>
    <x v="18"/>
    <x v="44"/>
    <n v="0"/>
    <n v="1"/>
    <n v="0"/>
    <m/>
  </r>
  <r>
    <x v="0"/>
    <x v="0"/>
    <x v="0"/>
    <x v="0"/>
    <d v="2019-10-25T00:00:00"/>
    <n v="58"/>
    <x v="0"/>
    <x v="42"/>
    <x v="18"/>
    <x v="45"/>
    <n v="0"/>
    <n v="0"/>
    <n v="0"/>
    <m/>
  </r>
  <r>
    <x v="0"/>
    <x v="0"/>
    <x v="0"/>
    <x v="0"/>
    <d v="2019-10-25T00:00:00"/>
    <n v="18"/>
    <x v="0"/>
    <x v="43"/>
    <x v="18"/>
    <x v="46"/>
    <n v="1"/>
    <n v="0"/>
    <n v="0"/>
    <m/>
  </r>
  <r>
    <x v="0"/>
    <x v="0"/>
    <x v="0"/>
    <x v="0"/>
    <d v="2019-10-25T00:00:00"/>
    <n v="52"/>
    <x v="2"/>
    <x v="44"/>
    <x v="19"/>
    <x v="47"/>
    <n v="0"/>
    <n v="1"/>
    <n v="0"/>
    <m/>
  </r>
  <r>
    <x v="0"/>
    <x v="0"/>
    <x v="0"/>
    <x v="0"/>
    <d v="2019-10-25T00:00:00"/>
    <n v="59"/>
    <x v="2"/>
    <x v="45"/>
    <x v="20"/>
    <x v="48"/>
    <n v="0"/>
    <n v="1"/>
    <n v="0"/>
    <m/>
  </r>
  <r>
    <x v="0"/>
    <x v="0"/>
    <x v="0"/>
    <x v="0"/>
    <d v="2019-10-25T00:00:00"/>
    <n v="38"/>
    <x v="2"/>
    <x v="45"/>
    <x v="21"/>
    <x v="49"/>
    <n v="0"/>
    <n v="1"/>
    <n v="0"/>
    <m/>
  </r>
  <r>
    <x v="0"/>
    <x v="1"/>
    <x v="1"/>
    <x v="0"/>
    <d v="2019-10-25T00:00:00"/>
    <n v="36"/>
    <x v="0"/>
    <x v="46"/>
    <x v="3"/>
    <x v="50"/>
    <n v="0"/>
    <n v="0"/>
    <n v="0"/>
    <m/>
  </r>
  <r>
    <x v="0"/>
    <x v="1"/>
    <x v="1"/>
    <x v="0"/>
    <d v="2019-10-25T00:00:00"/>
    <n v="62"/>
    <x v="0"/>
    <x v="47"/>
    <x v="3"/>
    <x v="51"/>
    <n v="0"/>
    <n v="0"/>
    <n v="0"/>
    <m/>
  </r>
  <r>
    <x v="0"/>
    <x v="1"/>
    <x v="1"/>
    <x v="0"/>
    <d v="2019-10-25T00:00:00"/>
    <n v="16"/>
    <x v="0"/>
    <x v="48"/>
    <x v="22"/>
    <x v="52"/>
    <n v="0"/>
    <n v="0"/>
    <n v="0"/>
    <m/>
  </r>
  <r>
    <x v="0"/>
    <x v="1"/>
    <x v="1"/>
    <x v="0"/>
    <d v="2019-10-25T00:00:00"/>
    <n v="21"/>
    <x v="0"/>
    <x v="49"/>
    <x v="4"/>
    <x v="53"/>
    <n v="0"/>
    <n v="0"/>
    <n v="0"/>
    <m/>
  </r>
  <r>
    <x v="0"/>
    <x v="1"/>
    <x v="1"/>
    <x v="0"/>
    <d v="2019-10-25T00:00:00"/>
    <n v="22"/>
    <x v="0"/>
    <x v="50"/>
    <x v="4"/>
    <x v="54"/>
    <n v="0"/>
    <n v="0"/>
    <n v="0"/>
    <m/>
  </r>
  <r>
    <x v="0"/>
    <x v="1"/>
    <x v="1"/>
    <x v="0"/>
    <d v="2019-10-25T00:00:00"/>
    <n v="23"/>
    <x v="0"/>
    <x v="29"/>
    <x v="4"/>
    <x v="55"/>
    <n v="0"/>
    <n v="0"/>
    <n v="0"/>
    <m/>
  </r>
  <r>
    <x v="0"/>
    <x v="1"/>
    <x v="1"/>
    <x v="0"/>
    <d v="2019-10-25T00:00:00"/>
    <n v="33"/>
    <x v="0"/>
    <x v="51"/>
    <x v="4"/>
    <x v="56"/>
    <n v="0"/>
    <n v="0"/>
    <n v="0"/>
    <m/>
  </r>
  <r>
    <x v="0"/>
    <x v="1"/>
    <x v="1"/>
    <x v="0"/>
    <d v="2019-10-25T00:00:00"/>
    <n v="17"/>
    <x v="0"/>
    <x v="52"/>
    <x v="6"/>
    <x v="57"/>
    <n v="0"/>
    <n v="0"/>
    <n v="0"/>
    <m/>
  </r>
  <r>
    <x v="0"/>
    <x v="1"/>
    <x v="1"/>
    <x v="0"/>
    <d v="2019-10-25T00:00:00"/>
    <n v="50"/>
    <x v="0"/>
    <x v="53"/>
    <x v="6"/>
    <x v="58"/>
    <n v="0"/>
    <n v="0"/>
    <n v="0"/>
    <m/>
  </r>
  <r>
    <x v="0"/>
    <x v="1"/>
    <x v="1"/>
    <x v="0"/>
    <d v="2019-10-25T00:00:00"/>
    <n v="60"/>
    <x v="0"/>
    <x v="20"/>
    <x v="6"/>
    <x v="59"/>
    <n v="0"/>
    <n v="0"/>
    <n v="0"/>
    <s v="adjacent to #61"/>
  </r>
  <r>
    <x v="0"/>
    <x v="1"/>
    <x v="1"/>
    <x v="0"/>
    <d v="2019-10-25T00:00:00"/>
    <n v="7"/>
    <x v="0"/>
    <x v="51"/>
    <x v="7"/>
    <x v="60"/>
    <n v="0"/>
    <n v="0"/>
    <n v="0"/>
    <s v="suppressed"/>
  </r>
  <r>
    <x v="0"/>
    <x v="1"/>
    <x v="1"/>
    <x v="0"/>
    <d v="2019-10-25T00:00:00"/>
    <n v="9"/>
    <x v="0"/>
    <x v="54"/>
    <x v="7"/>
    <x v="61"/>
    <n v="0"/>
    <n v="0"/>
    <n v="0"/>
    <m/>
  </r>
  <r>
    <x v="0"/>
    <x v="1"/>
    <x v="1"/>
    <x v="0"/>
    <d v="2019-10-25T00:00:00"/>
    <n v="45"/>
    <x v="0"/>
    <x v="55"/>
    <x v="0"/>
    <x v="62"/>
    <n v="0"/>
    <n v="0"/>
    <n v="0"/>
    <m/>
  </r>
  <r>
    <x v="0"/>
    <x v="1"/>
    <x v="1"/>
    <x v="0"/>
    <d v="2019-10-25T00:00:00"/>
    <n v="1"/>
    <x v="0"/>
    <x v="33"/>
    <x v="8"/>
    <x v="63"/>
    <n v="0"/>
    <n v="0"/>
    <n v="0"/>
    <m/>
  </r>
  <r>
    <x v="0"/>
    <x v="1"/>
    <x v="1"/>
    <x v="0"/>
    <d v="2019-10-25T00:00:00"/>
    <n v="6"/>
    <x v="0"/>
    <x v="56"/>
    <x v="8"/>
    <x v="64"/>
    <n v="0"/>
    <n v="0"/>
    <n v="0"/>
    <m/>
  </r>
  <r>
    <x v="0"/>
    <x v="1"/>
    <x v="1"/>
    <x v="0"/>
    <d v="2019-10-25T00:00:00"/>
    <n v="20"/>
    <x v="0"/>
    <x v="57"/>
    <x v="8"/>
    <x v="65"/>
    <n v="0"/>
    <n v="0"/>
    <n v="0"/>
    <m/>
  </r>
  <r>
    <x v="0"/>
    <x v="1"/>
    <x v="1"/>
    <x v="0"/>
    <d v="2019-10-25T00:00:00"/>
    <n v="61"/>
    <x v="0"/>
    <x v="58"/>
    <x v="8"/>
    <x v="66"/>
    <n v="0"/>
    <n v="0"/>
    <n v="0"/>
    <m/>
  </r>
  <r>
    <x v="0"/>
    <x v="1"/>
    <x v="1"/>
    <x v="0"/>
    <d v="2019-10-25T00:00:00"/>
    <n v="24"/>
    <x v="0"/>
    <x v="6"/>
    <x v="9"/>
    <x v="67"/>
    <n v="0"/>
    <n v="0"/>
    <n v="0"/>
    <m/>
  </r>
  <r>
    <x v="0"/>
    <x v="1"/>
    <x v="1"/>
    <x v="0"/>
    <d v="2019-10-25T00:00:00"/>
    <n v="47"/>
    <x v="0"/>
    <x v="59"/>
    <x v="9"/>
    <x v="68"/>
    <n v="0"/>
    <n v="0"/>
    <n v="0"/>
    <m/>
  </r>
  <r>
    <x v="0"/>
    <x v="1"/>
    <x v="1"/>
    <x v="0"/>
    <d v="2019-10-25T00:00:00"/>
    <n v="5"/>
    <x v="0"/>
    <x v="0"/>
    <x v="10"/>
    <x v="69"/>
    <n v="0"/>
    <n v="0"/>
    <n v="0"/>
    <m/>
  </r>
  <r>
    <x v="0"/>
    <x v="1"/>
    <x v="1"/>
    <x v="0"/>
    <d v="2019-10-25T00:00:00"/>
    <n v="8"/>
    <x v="0"/>
    <x v="60"/>
    <x v="10"/>
    <x v="70"/>
    <n v="0"/>
    <n v="0"/>
    <n v="0"/>
    <m/>
  </r>
  <r>
    <x v="0"/>
    <x v="1"/>
    <x v="1"/>
    <x v="0"/>
    <d v="2019-10-25T00:00:00"/>
    <n v="10"/>
    <x v="0"/>
    <x v="25"/>
    <x v="10"/>
    <x v="71"/>
    <n v="0"/>
    <n v="0"/>
    <n v="0"/>
    <m/>
  </r>
  <r>
    <x v="0"/>
    <x v="1"/>
    <x v="1"/>
    <x v="0"/>
    <d v="2019-10-25T00:00:00"/>
    <n v="12"/>
    <x v="0"/>
    <x v="61"/>
    <x v="10"/>
    <x v="72"/>
    <n v="0"/>
    <n v="0"/>
    <n v="0"/>
    <m/>
  </r>
  <r>
    <x v="0"/>
    <x v="1"/>
    <x v="1"/>
    <x v="0"/>
    <d v="2019-10-25T00:00:00"/>
    <n v="13"/>
    <x v="0"/>
    <x v="27"/>
    <x v="10"/>
    <x v="73"/>
    <n v="0"/>
    <n v="0"/>
    <n v="0"/>
    <s v="heavily buried"/>
  </r>
  <r>
    <x v="0"/>
    <x v="1"/>
    <x v="1"/>
    <x v="0"/>
    <d v="2019-10-25T00:00:00"/>
    <n v="19"/>
    <x v="0"/>
    <x v="62"/>
    <x v="10"/>
    <x v="74"/>
    <n v="0"/>
    <n v="0"/>
    <n v="0"/>
    <m/>
  </r>
  <r>
    <x v="0"/>
    <x v="1"/>
    <x v="1"/>
    <x v="0"/>
    <d v="2019-10-25T00:00:00"/>
    <n v="32"/>
    <x v="0"/>
    <x v="29"/>
    <x v="10"/>
    <x v="75"/>
    <n v="0"/>
    <n v="0"/>
    <n v="0"/>
    <m/>
  </r>
  <r>
    <x v="0"/>
    <x v="1"/>
    <x v="1"/>
    <x v="0"/>
    <d v="2019-10-25T00:00:00"/>
    <n v="34"/>
    <x v="0"/>
    <x v="13"/>
    <x v="10"/>
    <x v="76"/>
    <n v="0"/>
    <n v="0"/>
    <n v="0"/>
    <m/>
  </r>
  <r>
    <x v="0"/>
    <x v="1"/>
    <x v="1"/>
    <x v="0"/>
    <d v="2019-10-25T00:00:00"/>
    <n v="48"/>
    <x v="0"/>
    <x v="63"/>
    <x v="10"/>
    <x v="77"/>
    <n v="0"/>
    <n v="0"/>
    <n v="0"/>
    <m/>
  </r>
  <r>
    <x v="0"/>
    <x v="1"/>
    <x v="1"/>
    <x v="0"/>
    <d v="2019-10-25T00:00:00"/>
    <n v="51"/>
    <x v="0"/>
    <x v="64"/>
    <x v="10"/>
    <x v="78"/>
    <n v="0"/>
    <n v="0"/>
    <n v="0"/>
    <m/>
  </r>
  <r>
    <x v="0"/>
    <x v="1"/>
    <x v="1"/>
    <x v="0"/>
    <d v="2019-10-25T00:00:00"/>
    <n v="4"/>
    <x v="0"/>
    <x v="65"/>
    <x v="11"/>
    <x v="79"/>
    <n v="0"/>
    <n v="0"/>
    <n v="0"/>
    <s v="slightly suppressed"/>
  </r>
  <r>
    <x v="0"/>
    <x v="1"/>
    <x v="1"/>
    <x v="0"/>
    <d v="2019-10-25T00:00:00"/>
    <n v="35"/>
    <x v="0"/>
    <x v="66"/>
    <x v="12"/>
    <x v="80"/>
    <n v="0"/>
    <n v="0"/>
    <n v="0"/>
    <m/>
  </r>
  <r>
    <x v="0"/>
    <x v="1"/>
    <x v="1"/>
    <x v="0"/>
    <d v="2019-10-25T00:00:00"/>
    <n v="37"/>
    <x v="0"/>
    <x v="67"/>
    <x v="12"/>
    <x v="81"/>
    <n v="0"/>
    <n v="0"/>
    <n v="0"/>
    <m/>
  </r>
  <r>
    <x v="0"/>
    <x v="1"/>
    <x v="1"/>
    <x v="0"/>
    <d v="2019-10-25T00:00:00"/>
    <n v="11"/>
    <x v="0"/>
    <x v="0"/>
    <x v="13"/>
    <x v="82"/>
    <n v="0"/>
    <n v="0"/>
    <n v="0"/>
    <s v="buried/suppressed"/>
  </r>
  <r>
    <x v="0"/>
    <x v="1"/>
    <x v="1"/>
    <x v="0"/>
    <d v="2019-10-25T00:00:00"/>
    <n v="15"/>
    <x v="0"/>
    <x v="18"/>
    <x v="13"/>
    <x v="83"/>
    <n v="0"/>
    <n v="0"/>
    <n v="0"/>
    <m/>
  </r>
  <r>
    <x v="0"/>
    <x v="1"/>
    <x v="1"/>
    <x v="0"/>
    <d v="2019-10-25T00:00:00"/>
    <n v="57"/>
    <x v="0"/>
    <x v="28"/>
    <x v="13"/>
    <x v="84"/>
    <n v="0"/>
    <n v="0"/>
    <n v="0"/>
    <m/>
  </r>
  <r>
    <x v="0"/>
    <x v="1"/>
    <x v="1"/>
    <x v="0"/>
    <d v="2019-10-25T00:00:00"/>
    <n v="18"/>
    <x v="0"/>
    <x v="18"/>
    <x v="14"/>
    <x v="85"/>
    <n v="0"/>
    <n v="0"/>
    <n v="0"/>
    <m/>
  </r>
  <r>
    <x v="0"/>
    <x v="1"/>
    <x v="1"/>
    <x v="0"/>
    <d v="2019-10-25T00:00:00"/>
    <n v="56"/>
    <x v="0"/>
    <x v="33"/>
    <x v="14"/>
    <x v="34"/>
    <n v="0"/>
    <n v="0"/>
    <n v="0"/>
    <m/>
  </r>
  <r>
    <x v="0"/>
    <x v="1"/>
    <x v="1"/>
    <x v="0"/>
    <d v="2019-10-25T00:00:00"/>
    <n v="52"/>
    <x v="2"/>
    <x v="68"/>
    <x v="15"/>
    <x v="86"/>
    <n v="0"/>
    <n v="1"/>
    <n v="0"/>
    <m/>
  </r>
  <r>
    <x v="0"/>
    <x v="1"/>
    <x v="1"/>
    <x v="0"/>
    <d v="2019-10-25T00:00:00"/>
    <n v="46"/>
    <x v="0"/>
    <x v="69"/>
    <x v="15"/>
    <x v="87"/>
    <n v="0"/>
    <n v="0"/>
    <n v="0"/>
    <m/>
  </r>
  <r>
    <x v="0"/>
    <x v="1"/>
    <x v="1"/>
    <x v="0"/>
    <d v="2019-10-25T00:00:00"/>
    <n v="3"/>
    <x v="0"/>
    <x v="70"/>
    <x v="17"/>
    <x v="88"/>
    <n v="1"/>
    <n v="0"/>
    <n v="0"/>
    <s v="suppressed"/>
  </r>
  <r>
    <x v="0"/>
    <x v="1"/>
    <x v="1"/>
    <x v="0"/>
    <d v="2019-10-25T00:00:00"/>
    <n v="14"/>
    <x v="0"/>
    <x v="71"/>
    <x v="17"/>
    <x v="89"/>
    <n v="1"/>
    <n v="0"/>
    <n v="0"/>
    <m/>
  </r>
  <r>
    <x v="0"/>
    <x v="1"/>
    <x v="1"/>
    <x v="0"/>
    <d v="2019-10-25T00:00:00"/>
    <n v="43"/>
    <x v="2"/>
    <x v="72"/>
    <x v="18"/>
    <x v="90"/>
    <n v="0"/>
    <n v="1"/>
    <n v="0"/>
    <s v="adjacent to #44 in nursery log"/>
  </r>
  <r>
    <x v="0"/>
    <x v="1"/>
    <x v="1"/>
    <x v="0"/>
    <d v="2019-10-25T00:00:00"/>
    <n v="49"/>
    <x v="2"/>
    <x v="72"/>
    <x v="18"/>
    <x v="90"/>
    <n v="0"/>
    <n v="1"/>
    <n v="0"/>
    <m/>
  </r>
  <r>
    <x v="0"/>
    <x v="1"/>
    <x v="1"/>
    <x v="0"/>
    <d v="2019-10-25T00:00:00"/>
    <n v="2"/>
    <x v="0"/>
    <x v="34"/>
    <x v="18"/>
    <x v="91"/>
    <n v="1"/>
    <n v="0"/>
    <n v="0"/>
    <m/>
  </r>
  <r>
    <x v="0"/>
    <x v="1"/>
    <x v="1"/>
    <x v="0"/>
    <d v="2019-10-25T00:00:00"/>
    <n v="39"/>
    <x v="2"/>
    <x v="43"/>
    <x v="19"/>
    <x v="92"/>
    <n v="0"/>
    <n v="1"/>
    <n v="0"/>
    <m/>
  </r>
  <r>
    <x v="0"/>
    <x v="1"/>
    <x v="1"/>
    <x v="0"/>
    <d v="2019-10-25T00:00:00"/>
    <n v="40"/>
    <x v="2"/>
    <x v="72"/>
    <x v="19"/>
    <x v="93"/>
    <n v="0"/>
    <n v="1"/>
    <n v="0"/>
    <m/>
  </r>
  <r>
    <x v="0"/>
    <x v="1"/>
    <x v="1"/>
    <x v="0"/>
    <d v="2019-10-25T00:00:00"/>
    <n v="41"/>
    <x v="2"/>
    <x v="73"/>
    <x v="19"/>
    <x v="94"/>
    <n v="0"/>
    <n v="1"/>
    <n v="0"/>
    <s v="nursery log"/>
  </r>
  <r>
    <x v="0"/>
    <x v="1"/>
    <x v="1"/>
    <x v="0"/>
    <d v="2019-10-25T00:00:00"/>
    <n v="44"/>
    <x v="2"/>
    <x v="74"/>
    <x v="19"/>
    <x v="95"/>
    <n v="0"/>
    <n v="1"/>
    <n v="0"/>
    <m/>
  </r>
  <r>
    <x v="0"/>
    <x v="1"/>
    <x v="1"/>
    <x v="0"/>
    <d v="2019-10-25T00:00:00"/>
    <n v="53"/>
    <x v="2"/>
    <x v="75"/>
    <x v="19"/>
    <x v="96"/>
    <n v="0"/>
    <n v="1"/>
    <n v="0"/>
    <m/>
  </r>
  <r>
    <x v="0"/>
    <x v="1"/>
    <x v="1"/>
    <x v="0"/>
    <d v="2019-10-25T00:00:00"/>
    <n v="58"/>
    <x v="2"/>
    <x v="76"/>
    <x v="20"/>
    <x v="97"/>
    <n v="0"/>
    <n v="1"/>
    <n v="0"/>
    <m/>
  </r>
  <r>
    <x v="0"/>
    <x v="1"/>
    <x v="1"/>
    <x v="0"/>
    <d v="2019-10-25T00:00:00"/>
    <n v="42"/>
    <x v="2"/>
    <x v="77"/>
    <x v="20"/>
    <x v="98"/>
    <n v="0"/>
    <n v="0"/>
    <n v="0"/>
    <m/>
  </r>
  <r>
    <x v="0"/>
    <x v="1"/>
    <x v="1"/>
    <x v="0"/>
    <d v="2019-10-25T00:00:00"/>
    <n v="38"/>
    <x v="2"/>
    <x v="78"/>
    <x v="21"/>
    <x v="99"/>
    <n v="0"/>
    <n v="1"/>
    <n v="0"/>
    <m/>
  </r>
  <r>
    <x v="0"/>
    <x v="1"/>
    <x v="1"/>
    <x v="0"/>
    <d v="2019-10-25T00:00:00"/>
    <n v="54"/>
    <x v="2"/>
    <x v="79"/>
    <x v="21"/>
    <x v="100"/>
    <n v="0"/>
    <n v="1"/>
    <n v="0"/>
    <m/>
  </r>
  <r>
    <x v="0"/>
    <x v="1"/>
    <x v="1"/>
    <x v="0"/>
    <d v="2019-10-25T00:00:00"/>
    <n v="55"/>
    <x v="2"/>
    <x v="80"/>
    <x v="21"/>
    <x v="101"/>
    <n v="0"/>
    <n v="1"/>
    <n v="0"/>
    <m/>
  </r>
  <r>
    <x v="0"/>
    <x v="1"/>
    <x v="1"/>
    <x v="0"/>
    <d v="2019-10-25T00:00:00"/>
    <n v="59"/>
    <x v="2"/>
    <x v="81"/>
    <x v="21"/>
    <x v="102"/>
    <n v="0"/>
    <n v="1"/>
    <n v="0"/>
    <m/>
  </r>
  <r>
    <x v="0"/>
    <x v="2"/>
    <x v="1"/>
    <x v="1"/>
    <d v="2019-10-25T00:00:00"/>
    <n v="41"/>
    <x v="2"/>
    <x v="82"/>
    <x v="22"/>
    <x v="103"/>
    <n v="0"/>
    <n v="0"/>
    <n v="1"/>
    <m/>
  </r>
  <r>
    <x v="0"/>
    <x v="2"/>
    <x v="1"/>
    <x v="1"/>
    <d v="2019-10-25T00:00:00"/>
    <n v="48"/>
    <x v="2"/>
    <x v="22"/>
    <x v="0"/>
    <x v="104"/>
    <n v="0"/>
    <n v="0"/>
    <n v="0"/>
    <m/>
  </r>
  <r>
    <x v="0"/>
    <x v="2"/>
    <x v="1"/>
    <x v="1"/>
    <d v="2019-10-25T00:00:00"/>
    <n v="12"/>
    <x v="0"/>
    <x v="83"/>
    <x v="10"/>
    <x v="105"/>
    <n v="0"/>
    <n v="0"/>
    <n v="1"/>
    <m/>
  </r>
  <r>
    <x v="0"/>
    <x v="2"/>
    <x v="1"/>
    <x v="1"/>
    <d v="2019-10-25T00:00:00"/>
    <n v="13"/>
    <x v="0"/>
    <x v="84"/>
    <x v="11"/>
    <x v="106"/>
    <n v="0"/>
    <n v="0"/>
    <n v="1"/>
    <m/>
  </r>
  <r>
    <x v="0"/>
    <x v="2"/>
    <x v="1"/>
    <x v="1"/>
    <d v="2019-10-25T00:00:00"/>
    <n v="43"/>
    <x v="3"/>
    <x v="84"/>
    <x v="12"/>
    <x v="107"/>
    <n v="0"/>
    <n v="0"/>
    <n v="0"/>
    <m/>
  </r>
  <r>
    <x v="0"/>
    <x v="2"/>
    <x v="1"/>
    <x v="1"/>
    <d v="2019-10-25T00:00:00"/>
    <n v="2"/>
    <x v="0"/>
    <x v="37"/>
    <x v="12"/>
    <x v="108"/>
    <n v="0"/>
    <n v="0"/>
    <n v="0"/>
    <m/>
  </r>
  <r>
    <x v="0"/>
    <x v="2"/>
    <x v="1"/>
    <x v="1"/>
    <d v="2019-10-25T00:00:00"/>
    <n v="5"/>
    <x v="0"/>
    <x v="85"/>
    <x v="12"/>
    <x v="109"/>
    <n v="0"/>
    <n v="0"/>
    <n v="0"/>
    <m/>
  </r>
  <r>
    <x v="0"/>
    <x v="2"/>
    <x v="1"/>
    <x v="1"/>
    <d v="2019-10-25T00:00:00"/>
    <n v="4"/>
    <x v="0"/>
    <x v="86"/>
    <x v="12"/>
    <x v="110"/>
    <n v="0"/>
    <n v="0"/>
    <n v="1"/>
    <m/>
  </r>
  <r>
    <x v="0"/>
    <x v="2"/>
    <x v="1"/>
    <x v="1"/>
    <d v="2019-10-25T00:00:00"/>
    <n v="10"/>
    <x v="0"/>
    <x v="66"/>
    <x v="12"/>
    <x v="80"/>
    <n v="0"/>
    <n v="0"/>
    <n v="1"/>
    <m/>
  </r>
  <r>
    <x v="0"/>
    <x v="2"/>
    <x v="1"/>
    <x v="1"/>
    <d v="2019-10-25T00:00:00"/>
    <n v="7"/>
    <x v="0"/>
    <x v="87"/>
    <x v="13"/>
    <x v="111"/>
    <n v="0"/>
    <n v="0"/>
    <n v="1"/>
    <m/>
  </r>
  <r>
    <x v="0"/>
    <x v="2"/>
    <x v="1"/>
    <x v="1"/>
    <d v="2019-10-25T00:00:00"/>
    <n v="16"/>
    <x v="0"/>
    <x v="85"/>
    <x v="13"/>
    <x v="112"/>
    <n v="0"/>
    <n v="0"/>
    <n v="1"/>
    <m/>
  </r>
  <r>
    <x v="0"/>
    <x v="2"/>
    <x v="1"/>
    <x v="1"/>
    <d v="2019-10-25T00:00:00"/>
    <n v="40"/>
    <x v="3"/>
    <x v="88"/>
    <x v="14"/>
    <x v="113"/>
    <n v="0"/>
    <n v="0"/>
    <n v="0"/>
    <m/>
  </r>
  <r>
    <x v="0"/>
    <x v="2"/>
    <x v="1"/>
    <x v="1"/>
    <d v="2019-10-25T00:00:00"/>
    <n v="44"/>
    <x v="4"/>
    <x v="77"/>
    <x v="14"/>
    <x v="114"/>
    <n v="0"/>
    <n v="0"/>
    <n v="0"/>
    <m/>
  </r>
  <r>
    <x v="0"/>
    <x v="2"/>
    <x v="1"/>
    <x v="1"/>
    <d v="2019-10-25T00:00:00"/>
    <n v="47"/>
    <x v="2"/>
    <x v="23"/>
    <x v="14"/>
    <x v="115"/>
    <n v="0"/>
    <n v="0"/>
    <n v="1"/>
    <m/>
  </r>
  <r>
    <x v="0"/>
    <x v="2"/>
    <x v="1"/>
    <x v="1"/>
    <d v="2019-10-25T00:00:00"/>
    <n v="46"/>
    <x v="3"/>
    <x v="39"/>
    <x v="14"/>
    <x v="116"/>
    <n v="0"/>
    <n v="0"/>
    <n v="1"/>
    <m/>
  </r>
  <r>
    <x v="0"/>
    <x v="2"/>
    <x v="1"/>
    <x v="1"/>
    <d v="2019-10-25T00:00:00"/>
    <n v="42"/>
    <x v="3"/>
    <x v="89"/>
    <x v="15"/>
    <x v="117"/>
    <n v="0"/>
    <n v="0"/>
    <n v="0"/>
    <m/>
  </r>
  <r>
    <x v="0"/>
    <x v="2"/>
    <x v="1"/>
    <x v="1"/>
    <d v="2019-10-25T00:00:00"/>
    <n v="1"/>
    <x v="0"/>
    <x v="66"/>
    <x v="15"/>
    <x v="118"/>
    <n v="0"/>
    <n v="0"/>
    <n v="0"/>
    <s v="supressed"/>
  </r>
  <r>
    <x v="0"/>
    <x v="2"/>
    <x v="1"/>
    <x v="1"/>
    <d v="2019-10-25T00:00:00"/>
    <n v="18"/>
    <x v="0"/>
    <x v="35"/>
    <x v="15"/>
    <x v="37"/>
    <n v="0"/>
    <n v="0"/>
    <n v="0"/>
    <m/>
  </r>
  <r>
    <x v="0"/>
    <x v="2"/>
    <x v="1"/>
    <x v="1"/>
    <d v="2019-10-25T00:00:00"/>
    <n v="45"/>
    <x v="4"/>
    <x v="90"/>
    <x v="15"/>
    <x v="119"/>
    <n v="0"/>
    <n v="0"/>
    <n v="0"/>
    <m/>
  </r>
  <r>
    <x v="0"/>
    <x v="2"/>
    <x v="1"/>
    <x v="1"/>
    <d v="2019-10-25T00:00:00"/>
    <n v="17"/>
    <x v="0"/>
    <x v="84"/>
    <x v="15"/>
    <x v="120"/>
    <n v="0"/>
    <n v="0"/>
    <n v="1"/>
    <m/>
  </r>
  <r>
    <x v="0"/>
    <x v="2"/>
    <x v="1"/>
    <x v="1"/>
    <d v="2019-10-25T00:00:00"/>
    <n v="15"/>
    <x v="0"/>
    <x v="85"/>
    <x v="16"/>
    <x v="121"/>
    <n v="0"/>
    <n v="0"/>
    <n v="1"/>
    <m/>
  </r>
  <r>
    <x v="0"/>
    <x v="2"/>
    <x v="1"/>
    <x v="1"/>
    <d v="2019-10-25T00:00:00"/>
    <n v="6"/>
    <x v="0"/>
    <x v="68"/>
    <x v="17"/>
    <x v="122"/>
    <n v="0"/>
    <n v="0"/>
    <n v="0"/>
    <s v="supressed"/>
  </r>
  <r>
    <x v="0"/>
    <x v="2"/>
    <x v="1"/>
    <x v="1"/>
    <d v="2019-10-25T00:00:00"/>
    <n v="8"/>
    <x v="0"/>
    <x v="91"/>
    <x v="17"/>
    <x v="123"/>
    <n v="0"/>
    <n v="0"/>
    <n v="0"/>
    <s v="supressed"/>
  </r>
  <r>
    <x v="0"/>
    <x v="2"/>
    <x v="1"/>
    <x v="1"/>
    <d v="2019-10-25T00:00:00"/>
    <n v="9"/>
    <x v="0"/>
    <x v="32"/>
    <x v="18"/>
    <x v="124"/>
    <n v="0"/>
    <n v="0"/>
    <n v="0"/>
    <m/>
  </r>
  <r>
    <x v="0"/>
    <x v="2"/>
    <x v="1"/>
    <x v="1"/>
    <d v="2019-10-25T00:00:00"/>
    <n v="14"/>
    <x v="0"/>
    <x v="92"/>
    <x v="18"/>
    <x v="125"/>
    <n v="0"/>
    <n v="0"/>
    <n v="0"/>
    <m/>
  </r>
  <r>
    <x v="0"/>
    <x v="2"/>
    <x v="1"/>
    <x v="1"/>
    <d v="2019-10-25T00:00:00"/>
    <n v="49"/>
    <x v="4"/>
    <x v="93"/>
    <x v="18"/>
    <x v="126"/>
    <n v="0"/>
    <n v="0"/>
    <n v="0"/>
    <s v="supressed"/>
  </r>
  <r>
    <x v="0"/>
    <x v="2"/>
    <x v="1"/>
    <x v="1"/>
    <d v="2019-10-25T00:00:00"/>
    <n v="11"/>
    <x v="0"/>
    <x v="42"/>
    <x v="19"/>
    <x v="127"/>
    <n v="0"/>
    <n v="1"/>
    <n v="0"/>
    <m/>
  </r>
  <r>
    <x v="0"/>
    <x v="2"/>
    <x v="1"/>
    <x v="1"/>
    <d v="2019-10-25T00:00:00"/>
    <n v="3"/>
    <x v="0"/>
    <x v="21"/>
    <x v="19"/>
    <x v="128"/>
    <n v="0"/>
    <n v="0"/>
    <n v="0"/>
    <s v="fair"/>
  </r>
  <r>
    <x v="0"/>
    <x v="3"/>
    <x v="0"/>
    <x v="1"/>
    <d v="2019-10-25T00:00:00"/>
    <n v="46"/>
    <x v="2"/>
    <x v="94"/>
    <x v="8"/>
    <x v="129"/>
    <n v="0"/>
    <n v="0"/>
    <n v="1"/>
    <m/>
  </r>
  <r>
    <x v="0"/>
    <x v="3"/>
    <x v="0"/>
    <x v="1"/>
    <d v="2019-10-25T00:00:00"/>
    <n v="42"/>
    <x v="1"/>
    <x v="66"/>
    <x v="10"/>
    <x v="130"/>
    <n v="0"/>
    <n v="0"/>
    <n v="1"/>
    <m/>
  </r>
  <r>
    <x v="0"/>
    <x v="3"/>
    <x v="0"/>
    <x v="1"/>
    <d v="2019-10-25T00:00:00"/>
    <n v="2"/>
    <x v="0"/>
    <x v="36"/>
    <x v="10"/>
    <x v="131"/>
    <n v="0"/>
    <n v="0"/>
    <n v="1"/>
    <m/>
  </r>
  <r>
    <x v="0"/>
    <x v="3"/>
    <x v="0"/>
    <x v="1"/>
    <d v="2019-10-25T00:00:00"/>
    <n v="43"/>
    <x v="2"/>
    <x v="95"/>
    <x v="12"/>
    <x v="132"/>
    <n v="0"/>
    <n v="0"/>
    <n v="0"/>
    <m/>
  </r>
  <r>
    <x v="0"/>
    <x v="3"/>
    <x v="0"/>
    <x v="1"/>
    <d v="2019-10-25T00:00:00"/>
    <n v="45"/>
    <x v="2"/>
    <x v="83"/>
    <x v="12"/>
    <x v="133"/>
    <n v="0"/>
    <n v="0"/>
    <n v="0"/>
    <m/>
  </r>
  <r>
    <x v="0"/>
    <x v="3"/>
    <x v="0"/>
    <x v="1"/>
    <d v="2019-10-25T00:00:00"/>
    <n v="8"/>
    <x v="0"/>
    <x v="96"/>
    <x v="12"/>
    <x v="134"/>
    <n v="0"/>
    <n v="0"/>
    <n v="0"/>
    <m/>
  </r>
  <r>
    <x v="0"/>
    <x v="3"/>
    <x v="0"/>
    <x v="1"/>
    <d v="2019-10-25T00:00:00"/>
    <n v="6"/>
    <x v="0"/>
    <x v="94"/>
    <x v="12"/>
    <x v="135"/>
    <n v="0"/>
    <n v="0"/>
    <n v="1"/>
    <m/>
  </r>
  <r>
    <x v="0"/>
    <x v="3"/>
    <x v="0"/>
    <x v="1"/>
    <d v="2019-10-25T00:00:00"/>
    <n v="51"/>
    <x v="2"/>
    <x v="94"/>
    <x v="13"/>
    <x v="136"/>
    <n v="0"/>
    <n v="0"/>
    <n v="0"/>
    <m/>
  </r>
  <r>
    <x v="0"/>
    <x v="3"/>
    <x v="0"/>
    <x v="1"/>
    <d v="2019-10-25T00:00:00"/>
    <n v="50"/>
    <x v="3"/>
    <x v="35"/>
    <x v="13"/>
    <x v="137"/>
    <n v="0"/>
    <n v="0"/>
    <n v="0"/>
    <m/>
  </r>
  <r>
    <x v="0"/>
    <x v="3"/>
    <x v="0"/>
    <x v="1"/>
    <d v="2019-10-25T00:00:00"/>
    <n v="40"/>
    <x v="2"/>
    <x v="36"/>
    <x v="14"/>
    <x v="138"/>
    <n v="0"/>
    <n v="0"/>
    <n v="0"/>
    <m/>
  </r>
  <r>
    <x v="0"/>
    <x v="3"/>
    <x v="0"/>
    <x v="1"/>
    <d v="2019-10-25T00:00:00"/>
    <n v="39"/>
    <x v="1"/>
    <x v="33"/>
    <x v="14"/>
    <x v="34"/>
    <n v="0"/>
    <n v="0"/>
    <n v="0"/>
    <m/>
  </r>
  <r>
    <x v="0"/>
    <x v="3"/>
    <x v="0"/>
    <x v="1"/>
    <d v="2019-10-25T00:00:00"/>
    <n v="5"/>
    <x v="0"/>
    <x v="97"/>
    <x v="14"/>
    <x v="139"/>
    <n v="0"/>
    <n v="0"/>
    <n v="1"/>
    <m/>
  </r>
  <r>
    <x v="0"/>
    <x v="3"/>
    <x v="0"/>
    <x v="1"/>
    <d v="2019-10-25T00:00:00"/>
    <n v="15"/>
    <x v="0"/>
    <x v="88"/>
    <x v="15"/>
    <x v="140"/>
    <n v="0"/>
    <n v="0"/>
    <n v="1"/>
    <m/>
  </r>
  <r>
    <x v="0"/>
    <x v="3"/>
    <x v="0"/>
    <x v="1"/>
    <d v="2019-10-25T00:00:00"/>
    <n v="44"/>
    <x v="4"/>
    <x v="98"/>
    <x v="16"/>
    <x v="141"/>
    <n v="0"/>
    <n v="1"/>
    <n v="0"/>
    <s v="nursery log"/>
  </r>
  <r>
    <x v="0"/>
    <x v="3"/>
    <x v="0"/>
    <x v="1"/>
    <d v="2019-10-25T00:00:00"/>
    <n v="38"/>
    <x v="2"/>
    <x v="70"/>
    <x v="16"/>
    <x v="142"/>
    <n v="0"/>
    <n v="0"/>
    <n v="0"/>
    <m/>
  </r>
  <r>
    <x v="0"/>
    <x v="3"/>
    <x v="0"/>
    <x v="1"/>
    <d v="2019-10-25T00:00:00"/>
    <n v="9"/>
    <x v="0"/>
    <x v="93"/>
    <x v="16"/>
    <x v="143"/>
    <n v="1"/>
    <n v="0"/>
    <n v="1"/>
    <m/>
  </r>
  <r>
    <x v="0"/>
    <x v="3"/>
    <x v="0"/>
    <x v="1"/>
    <d v="2019-10-25T00:00:00"/>
    <n v="47"/>
    <x v="2"/>
    <x v="40"/>
    <x v="17"/>
    <x v="43"/>
    <n v="0"/>
    <n v="1"/>
    <n v="0"/>
    <m/>
  </r>
  <r>
    <x v="0"/>
    <x v="3"/>
    <x v="0"/>
    <x v="1"/>
    <d v="2019-10-25T00:00:00"/>
    <n v="1"/>
    <x v="0"/>
    <x v="31"/>
    <x v="17"/>
    <x v="144"/>
    <n v="0"/>
    <n v="0"/>
    <n v="0"/>
    <m/>
  </r>
  <r>
    <x v="0"/>
    <x v="3"/>
    <x v="0"/>
    <x v="1"/>
    <d v="2019-10-25T00:00:00"/>
    <n v="3"/>
    <x v="0"/>
    <x v="42"/>
    <x v="17"/>
    <x v="145"/>
    <n v="0"/>
    <n v="0"/>
    <n v="0"/>
    <m/>
  </r>
  <r>
    <x v="0"/>
    <x v="3"/>
    <x v="0"/>
    <x v="1"/>
    <d v="2019-10-25T00:00:00"/>
    <n v="4"/>
    <x v="0"/>
    <x v="66"/>
    <x v="17"/>
    <x v="146"/>
    <n v="0"/>
    <n v="0"/>
    <n v="0"/>
    <m/>
  </r>
  <r>
    <x v="0"/>
    <x v="3"/>
    <x v="0"/>
    <x v="1"/>
    <d v="2019-10-25T00:00:00"/>
    <n v="10"/>
    <x v="0"/>
    <x v="92"/>
    <x v="17"/>
    <x v="147"/>
    <n v="0"/>
    <n v="0"/>
    <n v="0"/>
    <m/>
  </r>
  <r>
    <x v="0"/>
    <x v="3"/>
    <x v="0"/>
    <x v="1"/>
    <d v="2019-10-25T00:00:00"/>
    <n v="11"/>
    <x v="0"/>
    <x v="34"/>
    <x v="17"/>
    <x v="148"/>
    <n v="0"/>
    <n v="0"/>
    <n v="0"/>
    <s v="snapped"/>
  </r>
  <r>
    <x v="0"/>
    <x v="3"/>
    <x v="0"/>
    <x v="1"/>
    <d v="2019-10-25T00:00:00"/>
    <n v="14"/>
    <x v="0"/>
    <x v="42"/>
    <x v="18"/>
    <x v="45"/>
    <n v="0"/>
    <n v="1"/>
    <n v="0"/>
    <m/>
  </r>
  <r>
    <x v="0"/>
    <x v="3"/>
    <x v="0"/>
    <x v="1"/>
    <d v="2019-10-25T00:00:00"/>
    <n v="16"/>
    <x v="0"/>
    <x v="68"/>
    <x v="18"/>
    <x v="149"/>
    <n v="0"/>
    <n v="0"/>
    <n v="1"/>
    <m/>
  </r>
  <r>
    <x v="0"/>
    <x v="3"/>
    <x v="0"/>
    <x v="1"/>
    <d v="2019-10-25T00:00:00"/>
    <n v="41"/>
    <x v="1"/>
    <x v="35"/>
    <x v="19"/>
    <x v="150"/>
    <n v="0"/>
    <n v="0"/>
    <n v="0"/>
    <m/>
  </r>
  <r>
    <x v="0"/>
    <x v="3"/>
    <x v="0"/>
    <x v="1"/>
    <d v="2019-10-25T00:00:00"/>
    <n v="7"/>
    <x v="0"/>
    <x v="83"/>
    <x v="19"/>
    <x v="151"/>
    <n v="0"/>
    <n v="0"/>
    <n v="0"/>
    <m/>
  </r>
  <r>
    <x v="0"/>
    <x v="3"/>
    <x v="0"/>
    <x v="1"/>
    <d v="2019-10-25T00:00:00"/>
    <n v="13"/>
    <x v="0"/>
    <x v="36"/>
    <x v="19"/>
    <x v="152"/>
    <n v="0"/>
    <n v="0"/>
    <n v="0"/>
    <s v="snapped"/>
  </r>
  <r>
    <x v="0"/>
    <x v="3"/>
    <x v="0"/>
    <x v="1"/>
    <d v="2019-10-25T00:00:00"/>
    <n v="48"/>
    <x v="2"/>
    <x v="74"/>
    <x v="20"/>
    <x v="153"/>
    <n v="0"/>
    <n v="1"/>
    <n v="0"/>
    <m/>
  </r>
  <r>
    <x v="0"/>
    <x v="3"/>
    <x v="0"/>
    <x v="1"/>
    <d v="2019-10-25T00:00:00"/>
    <n v="49"/>
    <x v="2"/>
    <x v="44"/>
    <x v="20"/>
    <x v="154"/>
    <n v="0"/>
    <n v="0"/>
    <n v="0"/>
    <m/>
  </r>
  <r>
    <x v="0"/>
    <x v="3"/>
    <x v="0"/>
    <x v="1"/>
    <d v="2019-10-25T00:00:00"/>
    <n v="12"/>
    <x v="0"/>
    <x v="35"/>
    <x v="20"/>
    <x v="155"/>
    <n v="0"/>
    <n v="0"/>
    <n v="1"/>
    <m/>
  </r>
  <r>
    <x v="1"/>
    <x v="0"/>
    <x v="0"/>
    <x v="0"/>
    <d v="2019-11-15T00:00:00"/>
    <n v="1"/>
    <x v="0"/>
    <x v="46"/>
    <x v="0"/>
    <x v="156"/>
    <n v="0"/>
    <n v="0"/>
    <n v="0"/>
    <s v="Tag #32"/>
  </r>
  <r>
    <x v="1"/>
    <x v="0"/>
    <x v="0"/>
    <x v="0"/>
    <d v="2019-11-15T00:00:00"/>
    <n v="2"/>
    <x v="0"/>
    <x v="61"/>
    <x v="11"/>
    <x v="157"/>
    <n v="0"/>
    <n v="0"/>
    <n v="0"/>
    <s v="Tag #28"/>
  </r>
  <r>
    <x v="1"/>
    <x v="0"/>
    <x v="0"/>
    <x v="0"/>
    <d v="2019-11-15T00:00:00"/>
    <n v="3"/>
    <x v="0"/>
    <x v="99"/>
    <x v="16"/>
    <x v="158"/>
    <n v="1"/>
    <n v="0"/>
    <n v="0"/>
    <s v="Tag #30, brown, near snag"/>
  </r>
  <r>
    <x v="1"/>
    <x v="0"/>
    <x v="0"/>
    <x v="0"/>
    <d v="2019-11-15T00:00:00"/>
    <n v="4"/>
    <x v="0"/>
    <x v="100"/>
    <x v="12"/>
    <x v="159"/>
    <n v="0"/>
    <n v="0"/>
    <n v="0"/>
    <s v="Tag #31"/>
  </r>
  <r>
    <x v="1"/>
    <x v="0"/>
    <x v="0"/>
    <x v="0"/>
    <d v="2019-11-15T00:00:00"/>
    <n v="5"/>
    <x v="0"/>
    <x v="67"/>
    <x v="11"/>
    <x v="160"/>
    <n v="0"/>
    <n v="0"/>
    <n v="0"/>
    <s v="Tag #27"/>
  </r>
  <r>
    <x v="1"/>
    <x v="0"/>
    <x v="0"/>
    <x v="0"/>
    <d v="2019-11-15T00:00:00"/>
    <n v="6"/>
    <x v="0"/>
    <x v="21"/>
    <x v="16"/>
    <x v="161"/>
    <n v="0"/>
    <n v="0"/>
    <n v="0"/>
    <s v="Tag #24"/>
  </r>
  <r>
    <x v="1"/>
    <x v="0"/>
    <x v="0"/>
    <x v="0"/>
    <d v="2019-11-15T00:00:00"/>
    <n v="7"/>
    <x v="0"/>
    <x v="69"/>
    <x v="8"/>
    <x v="162"/>
    <n v="1"/>
    <n v="0"/>
    <n v="0"/>
    <s v="Tag #26"/>
  </r>
  <r>
    <x v="1"/>
    <x v="0"/>
    <x v="0"/>
    <x v="0"/>
    <d v="2019-11-15T00:00:00"/>
    <n v="8"/>
    <x v="0"/>
    <x v="69"/>
    <x v="17"/>
    <x v="163"/>
    <n v="0"/>
    <n v="0"/>
    <n v="0"/>
    <s v="Tag #29"/>
  </r>
  <r>
    <x v="1"/>
    <x v="0"/>
    <x v="0"/>
    <x v="0"/>
    <d v="2019-11-15T00:00:00"/>
    <n v="9"/>
    <x v="0"/>
    <x v="33"/>
    <x v="10"/>
    <x v="164"/>
    <n v="0"/>
    <n v="0"/>
    <n v="1"/>
    <s v="Tag #22, grazed at 60cm"/>
  </r>
  <r>
    <x v="1"/>
    <x v="0"/>
    <x v="0"/>
    <x v="0"/>
    <d v="2019-11-15T00:00:00"/>
    <n v="10"/>
    <x v="0"/>
    <x v="16"/>
    <x v="12"/>
    <x v="165"/>
    <n v="0"/>
    <n v="0"/>
    <n v="1"/>
    <s v="Tag #20"/>
  </r>
  <r>
    <x v="1"/>
    <x v="0"/>
    <x v="0"/>
    <x v="0"/>
    <d v="2019-11-15T00:00:00"/>
    <n v="11"/>
    <x v="0"/>
    <x v="21"/>
    <x v="17"/>
    <x v="166"/>
    <n v="0"/>
    <n v="0"/>
    <n v="0"/>
    <s v="Tag #25"/>
  </r>
  <r>
    <x v="1"/>
    <x v="0"/>
    <x v="0"/>
    <x v="0"/>
    <d v="2019-11-15T00:00:00"/>
    <n v="12"/>
    <x v="0"/>
    <x v="6"/>
    <x v="6"/>
    <x v="167"/>
    <n v="0"/>
    <n v="0"/>
    <n v="0"/>
    <s v="Tag #19"/>
  </r>
  <r>
    <x v="1"/>
    <x v="0"/>
    <x v="0"/>
    <x v="0"/>
    <d v="2019-11-15T00:00:00"/>
    <n v="13"/>
    <x v="0"/>
    <x v="101"/>
    <x v="11"/>
    <x v="168"/>
    <n v="0"/>
    <n v="0"/>
    <n v="0"/>
    <s v="Tag #23"/>
  </r>
  <r>
    <x v="1"/>
    <x v="0"/>
    <x v="0"/>
    <x v="0"/>
    <d v="2019-11-15T00:00:00"/>
    <n v="14"/>
    <x v="0"/>
    <x v="0"/>
    <x v="11"/>
    <x v="169"/>
    <n v="0"/>
    <n v="0"/>
    <n v="0"/>
    <s v="Tag #21"/>
  </r>
  <r>
    <x v="1"/>
    <x v="0"/>
    <x v="0"/>
    <x v="0"/>
    <d v="2019-11-15T00:00:00"/>
    <n v="15"/>
    <x v="0"/>
    <x v="36"/>
    <x v="13"/>
    <x v="170"/>
    <n v="1"/>
    <n v="0"/>
    <n v="1"/>
    <s v="Tag #17, grazed at bottom"/>
  </r>
  <r>
    <x v="1"/>
    <x v="0"/>
    <x v="0"/>
    <x v="0"/>
    <d v="2019-11-15T00:00:00"/>
    <n v="16"/>
    <x v="0"/>
    <x v="0"/>
    <x v="10"/>
    <x v="69"/>
    <n v="0"/>
    <n v="0"/>
    <n v="0"/>
    <s v="Tag #18"/>
  </r>
  <r>
    <x v="1"/>
    <x v="0"/>
    <x v="0"/>
    <x v="0"/>
    <d v="2019-11-15T00:00:00"/>
    <n v="17"/>
    <x v="0"/>
    <x v="91"/>
    <x v="14"/>
    <x v="171"/>
    <n v="0"/>
    <n v="0"/>
    <n v="0"/>
    <s v="Tag #13"/>
  </r>
  <r>
    <x v="1"/>
    <x v="0"/>
    <x v="0"/>
    <x v="0"/>
    <d v="2019-11-15T00:00:00"/>
    <n v="18"/>
    <x v="0"/>
    <x v="18"/>
    <x v="14"/>
    <x v="85"/>
    <n v="0"/>
    <n v="0"/>
    <n v="1"/>
    <s v="Tag #15, grazed at bottom"/>
  </r>
  <r>
    <x v="1"/>
    <x v="0"/>
    <x v="0"/>
    <x v="0"/>
    <d v="2019-11-15T00:00:00"/>
    <n v="19"/>
    <x v="0"/>
    <x v="60"/>
    <x v="23"/>
    <x v="172"/>
    <n v="0"/>
    <n v="0"/>
    <n v="1"/>
    <s v="Tag #16, grazed on side"/>
  </r>
  <r>
    <x v="1"/>
    <x v="0"/>
    <x v="0"/>
    <x v="0"/>
    <d v="2019-11-15T00:00:00"/>
    <n v="20"/>
    <x v="0"/>
    <x v="16"/>
    <x v="14"/>
    <x v="173"/>
    <n v="0"/>
    <n v="0"/>
    <n v="0"/>
    <s v="Tag #14"/>
  </r>
  <r>
    <x v="1"/>
    <x v="0"/>
    <x v="0"/>
    <x v="0"/>
    <d v="2019-11-15T00:00:00"/>
    <n v="21"/>
    <x v="0"/>
    <x v="35"/>
    <x v="14"/>
    <x v="174"/>
    <n v="1"/>
    <n v="0"/>
    <n v="1"/>
    <s v="Tag #10, grazed on top"/>
  </r>
  <r>
    <x v="1"/>
    <x v="0"/>
    <x v="0"/>
    <x v="0"/>
    <d v="2019-11-15T00:00:00"/>
    <n v="22"/>
    <x v="0"/>
    <x v="83"/>
    <x v="14"/>
    <x v="175"/>
    <n v="0"/>
    <n v="0"/>
    <n v="0"/>
    <s v="Tag #12"/>
  </r>
  <r>
    <x v="1"/>
    <x v="0"/>
    <x v="0"/>
    <x v="0"/>
    <d v="2019-11-15T00:00:00"/>
    <n v="23"/>
    <x v="0"/>
    <x v="84"/>
    <x v="14"/>
    <x v="176"/>
    <n v="1"/>
    <n v="0"/>
    <n v="1"/>
    <s v="Tag #9, grazed on top"/>
  </r>
  <r>
    <x v="1"/>
    <x v="0"/>
    <x v="0"/>
    <x v="0"/>
    <d v="2019-11-15T00:00:00"/>
    <n v="24"/>
    <x v="0"/>
    <x v="24"/>
    <x v="10"/>
    <x v="177"/>
    <n v="0"/>
    <n v="0"/>
    <n v="1"/>
    <s v="Tag #11, suppressed, grazed on sides"/>
  </r>
  <r>
    <x v="1"/>
    <x v="0"/>
    <x v="0"/>
    <x v="0"/>
    <d v="2019-11-15T00:00:00"/>
    <n v="32"/>
    <x v="0"/>
    <x v="33"/>
    <x v="11"/>
    <x v="178"/>
    <n v="0"/>
    <n v="0"/>
    <n v="0"/>
    <s v="Tag #6"/>
  </r>
  <r>
    <x v="1"/>
    <x v="0"/>
    <x v="0"/>
    <x v="0"/>
    <d v="2019-11-15T00:00:00"/>
    <n v="33"/>
    <x v="0"/>
    <x v="102"/>
    <x v="8"/>
    <x v="179"/>
    <n v="0"/>
    <n v="0"/>
    <n v="1"/>
    <s v="Tag #8, grazed on top"/>
  </r>
  <r>
    <x v="1"/>
    <x v="0"/>
    <x v="0"/>
    <x v="0"/>
    <d v="2019-11-15T00:00:00"/>
    <n v="34"/>
    <x v="0"/>
    <x v="16"/>
    <x v="11"/>
    <x v="180"/>
    <n v="0"/>
    <n v="0"/>
    <n v="0"/>
    <s v="Tag #5"/>
  </r>
  <r>
    <x v="1"/>
    <x v="0"/>
    <x v="0"/>
    <x v="0"/>
    <d v="2019-11-15T00:00:00"/>
    <n v="35"/>
    <x v="0"/>
    <x v="53"/>
    <x v="12"/>
    <x v="181"/>
    <n v="0"/>
    <n v="0"/>
    <n v="0"/>
    <s v="Tag #7"/>
  </r>
  <r>
    <x v="1"/>
    <x v="0"/>
    <x v="0"/>
    <x v="0"/>
    <d v="2019-11-15T00:00:00"/>
    <n v="36"/>
    <x v="0"/>
    <x v="35"/>
    <x v="15"/>
    <x v="37"/>
    <n v="1"/>
    <n v="0"/>
    <n v="0"/>
    <s v="Tag #1"/>
  </r>
  <r>
    <x v="1"/>
    <x v="0"/>
    <x v="0"/>
    <x v="0"/>
    <d v="2019-11-15T00:00:00"/>
    <n v="37"/>
    <x v="0"/>
    <x v="103"/>
    <x v="8"/>
    <x v="182"/>
    <n v="0"/>
    <n v="0"/>
    <n v="0"/>
    <s v="Tag #4"/>
  </r>
  <r>
    <x v="1"/>
    <x v="0"/>
    <x v="0"/>
    <x v="0"/>
    <d v="2019-11-15T00:00:00"/>
    <n v="38"/>
    <x v="2"/>
    <x v="89"/>
    <x v="16"/>
    <x v="183"/>
    <n v="0"/>
    <n v="1"/>
    <n v="0"/>
    <m/>
  </r>
  <r>
    <x v="1"/>
    <x v="0"/>
    <x v="0"/>
    <x v="0"/>
    <d v="2019-11-15T00:00:00"/>
    <n v="39"/>
    <x v="2"/>
    <x v="13"/>
    <x v="9"/>
    <x v="184"/>
    <n v="0"/>
    <n v="1"/>
    <n v="0"/>
    <m/>
  </r>
  <r>
    <x v="1"/>
    <x v="0"/>
    <x v="0"/>
    <x v="0"/>
    <d v="2019-11-15T00:00:00"/>
    <n v="40"/>
    <x v="2"/>
    <x v="46"/>
    <x v="6"/>
    <x v="185"/>
    <n v="1"/>
    <n v="0"/>
    <n v="0"/>
    <s v="dead/snapped"/>
  </r>
  <r>
    <x v="1"/>
    <x v="0"/>
    <x v="0"/>
    <x v="0"/>
    <d v="2019-11-15T00:00:00"/>
    <n v="41"/>
    <x v="2"/>
    <x v="89"/>
    <x v="17"/>
    <x v="186"/>
    <n v="0"/>
    <n v="1"/>
    <n v="0"/>
    <m/>
  </r>
  <r>
    <x v="1"/>
    <x v="0"/>
    <x v="0"/>
    <x v="0"/>
    <d v="2019-11-15T00:00:00"/>
    <n v="42"/>
    <x v="2"/>
    <x v="68"/>
    <x v="17"/>
    <x v="122"/>
    <n v="0"/>
    <n v="1"/>
    <n v="0"/>
    <m/>
  </r>
  <r>
    <x v="1"/>
    <x v="0"/>
    <x v="0"/>
    <x v="0"/>
    <d v="2019-11-15T00:00:00"/>
    <n v="43"/>
    <x v="2"/>
    <x v="72"/>
    <x v="21"/>
    <x v="187"/>
    <n v="0"/>
    <n v="1"/>
    <n v="0"/>
    <m/>
  </r>
  <r>
    <x v="1"/>
    <x v="0"/>
    <x v="0"/>
    <x v="0"/>
    <d v="2019-11-15T00:00:00"/>
    <n v="44"/>
    <x v="2"/>
    <x v="77"/>
    <x v="19"/>
    <x v="188"/>
    <n v="0"/>
    <n v="1"/>
    <n v="0"/>
    <m/>
  </r>
  <r>
    <x v="1"/>
    <x v="0"/>
    <x v="0"/>
    <x v="0"/>
    <d v="2019-11-15T00:00:00"/>
    <n v="45"/>
    <x v="2"/>
    <x v="104"/>
    <x v="7"/>
    <x v="189"/>
    <n v="0"/>
    <n v="0"/>
    <n v="0"/>
    <m/>
  </r>
  <r>
    <x v="1"/>
    <x v="0"/>
    <x v="0"/>
    <x v="0"/>
    <d v="2019-11-15T00:00:00"/>
    <n v="46"/>
    <x v="2"/>
    <x v="18"/>
    <x v="10"/>
    <x v="19"/>
    <n v="0"/>
    <n v="0"/>
    <n v="1"/>
    <s v="grazed on top"/>
  </r>
  <r>
    <x v="1"/>
    <x v="0"/>
    <x v="0"/>
    <x v="0"/>
    <d v="2019-11-15T00:00:00"/>
    <n v="47"/>
    <x v="2"/>
    <x v="105"/>
    <x v="13"/>
    <x v="190"/>
    <n v="0"/>
    <n v="1"/>
    <n v="0"/>
    <s v="undetermined planting"/>
  </r>
  <r>
    <x v="1"/>
    <x v="0"/>
    <x v="0"/>
    <x v="0"/>
    <d v="2019-11-15T00:00:00"/>
    <n v="48"/>
    <x v="0"/>
    <x v="68"/>
    <x v="20"/>
    <x v="191"/>
    <n v="1"/>
    <n v="0"/>
    <n v="0"/>
    <s v="Tag #3 "/>
  </r>
  <r>
    <x v="1"/>
    <x v="0"/>
    <x v="0"/>
    <x v="0"/>
    <d v="2019-11-15T00:00:00"/>
    <n v="49"/>
    <x v="0"/>
    <x v="46"/>
    <x v="0"/>
    <x v="156"/>
    <n v="0"/>
    <n v="0"/>
    <n v="0"/>
    <m/>
  </r>
  <r>
    <x v="1"/>
    <x v="3"/>
    <x v="0"/>
    <x v="1"/>
    <d v="2019-11-15T00:00:00"/>
    <n v="1"/>
    <x v="0"/>
    <x v="75"/>
    <x v="18"/>
    <x v="192"/>
    <n v="0"/>
    <n v="0"/>
    <n v="1"/>
    <s v="Tag #21"/>
  </r>
  <r>
    <x v="1"/>
    <x v="3"/>
    <x v="0"/>
    <x v="1"/>
    <d v="2019-11-15T00:00:00"/>
    <n v="2"/>
    <x v="0"/>
    <x v="95"/>
    <x v="15"/>
    <x v="193"/>
    <n v="0"/>
    <n v="0"/>
    <n v="0"/>
    <s v="Tag #8 "/>
  </r>
  <r>
    <x v="1"/>
    <x v="3"/>
    <x v="0"/>
    <x v="1"/>
    <d v="2019-11-15T00:00:00"/>
    <n v="3"/>
    <x v="0"/>
    <x v="106"/>
    <x v="12"/>
    <x v="194"/>
    <n v="1"/>
    <n v="0"/>
    <n v="0"/>
    <s v="Tag #2, brown"/>
  </r>
  <r>
    <x v="1"/>
    <x v="3"/>
    <x v="0"/>
    <x v="1"/>
    <d v="2019-11-15T00:00:00"/>
    <n v="4"/>
    <x v="0"/>
    <x v="107"/>
    <x v="15"/>
    <x v="195"/>
    <n v="0"/>
    <n v="0"/>
    <n v="0"/>
    <s v="Tag #25"/>
  </r>
  <r>
    <x v="1"/>
    <x v="3"/>
    <x v="0"/>
    <x v="1"/>
    <d v="2019-11-15T00:00:00"/>
    <n v="5"/>
    <x v="0"/>
    <x v="40"/>
    <x v="16"/>
    <x v="196"/>
    <n v="0"/>
    <n v="0"/>
    <n v="0"/>
    <s v="Tag #9 "/>
  </r>
  <r>
    <x v="1"/>
    <x v="3"/>
    <x v="0"/>
    <x v="1"/>
    <d v="2019-11-15T00:00:00"/>
    <n v="6"/>
    <x v="0"/>
    <x v="108"/>
    <x v="9"/>
    <x v="197"/>
    <n v="0"/>
    <n v="0"/>
    <n v="0"/>
    <s v="Tag #26"/>
  </r>
  <r>
    <x v="1"/>
    <x v="3"/>
    <x v="0"/>
    <x v="1"/>
    <d v="2019-11-15T00:00:00"/>
    <n v="7"/>
    <x v="0"/>
    <x v="109"/>
    <x v="14"/>
    <x v="198"/>
    <n v="0"/>
    <n v="0"/>
    <n v="1"/>
    <s v="Tag #16 "/>
  </r>
  <r>
    <x v="1"/>
    <x v="3"/>
    <x v="0"/>
    <x v="1"/>
    <d v="2019-11-15T00:00:00"/>
    <n v="8"/>
    <x v="0"/>
    <x v="89"/>
    <x v="16"/>
    <x v="183"/>
    <n v="0"/>
    <n v="0"/>
    <n v="1"/>
    <s v="Tag #15 "/>
  </r>
  <r>
    <x v="1"/>
    <x v="3"/>
    <x v="0"/>
    <x v="1"/>
    <d v="2019-11-15T00:00:00"/>
    <n v="9"/>
    <x v="0"/>
    <x v="77"/>
    <x v="18"/>
    <x v="199"/>
    <n v="0"/>
    <n v="0"/>
    <n v="0"/>
    <s v="Tag #7"/>
  </r>
  <r>
    <x v="1"/>
    <x v="3"/>
    <x v="0"/>
    <x v="1"/>
    <d v="2019-11-15T00:00:00"/>
    <n v="10"/>
    <x v="0"/>
    <x v="110"/>
    <x v="10"/>
    <x v="200"/>
    <n v="0"/>
    <n v="0"/>
    <n v="0"/>
    <s v="Tag #24"/>
  </r>
  <r>
    <x v="1"/>
    <x v="3"/>
    <x v="0"/>
    <x v="1"/>
    <d v="2019-11-15T00:00:00"/>
    <n v="11"/>
    <x v="0"/>
    <x v="70"/>
    <x v="16"/>
    <x v="142"/>
    <n v="0"/>
    <n v="0"/>
    <n v="1"/>
    <s v="Tag #10 "/>
  </r>
  <r>
    <x v="1"/>
    <x v="3"/>
    <x v="0"/>
    <x v="1"/>
    <d v="2019-11-15T00:00:00"/>
    <n v="12"/>
    <x v="0"/>
    <x v="111"/>
    <x v="10"/>
    <x v="201"/>
    <n v="0"/>
    <n v="0"/>
    <n v="0"/>
    <s v="Tag #23"/>
  </r>
  <r>
    <x v="1"/>
    <x v="3"/>
    <x v="0"/>
    <x v="1"/>
    <d v="2019-11-15T00:00:00"/>
    <n v="13"/>
    <x v="0"/>
    <x v="45"/>
    <x v="17"/>
    <x v="202"/>
    <n v="0"/>
    <n v="0"/>
    <n v="0"/>
    <s v="Tag #27"/>
  </r>
  <r>
    <x v="1"/>
    <x v="3"/>
    <x v="0"/>
    <x v="1"/>
    <d v="2019-11-15T00:00:00"/>
    <n v="14"/>
    <x v="0"/>
    <x v="39"/>
    <x v="11"/>
    <x v="203"/>
    <n v="0"/>
    <n v="0"/>
    <n v="1"/>
    <s v="Tag #20, brown bottom"/>
  </r>
  <r>
    <x v="1"/>
    <x v="3"/>
    <x v="0"/>
    <x v="1"/>
    <d v="2019-11-15T00:00:00"/>
    <n v="15"/>
    <x v="0"/>
    <x v="112"/>
    <x v="15"/>
    <x v="204"/>
    <n v="0"/>
    <n v="0"/>
    <n v="1"/>
    <s v="Tag #19"/>
  </r>
  <r>
    <x v="1"/>
    <x v="3"/>
    <x v="0"/>
    <x v="1"/>
    <d v="2019-11-15T00:00:00"/>
    <n v="16"/>
    <x v="0"/>
    <x v="113"/>
    <x v="10"/>
    <x v="205"/>
    <n v="0"/>
    <n v="0"/>
    <n v="1"/>
    <s v="Tag #13"/>
  </r>
  <r>
    <x v="1"/>
    <x v="3"/>
    <x v="0"/>
    <x v="1"/>
    <d v="2019-11-15T00:00:00"/>
    <n v="17"/>
    <x v="0"/>
    <x v="114"/>
    <x v="15"/>
    <x v="206"/>
    <n v="0"/>
    <n v="0"/>
    <n v="0"/>
    <s v="Tag #18"/>
  </r>
  <r>
    <x v="1"/>
    <x v="3"/>
    <x v="0"/>
    <x v="1"/>
    <d v="2019-11-15T00:00:00"/>
    <n v="18"/>
    <x v="0"/>
    <x v="89"/>
    <x v="16"/>
    <x v="183"/>
    <n v="0"/>
    <n v="0"/>
    <n v="0"/>
    <s v="Tag #17 "/>
  </r>
  <r>
    <x v="1"/>
    <x v="3"/>
    <x v="0"/>
    <x v="1"/>
    <d v="2019-11-15T00:00:00"/>
    <n v="19"/>
    <x v="0"/>
    <x v="68"/>
    <x v="18"/>
    <x v="149"/>
    <n v="0"/>
    <n v="0"/>
    <n v="0"/>
    <s v="Tag #6"/>
  </r>
  <r>
    <x v="1"/>
    <x v="3"/>
    <x v="0"/>
    <x v="1"/>
    <d v="2019-11-15T00:00:00"/>
    <n v="20"/>
    <x v="0"/>
    <x v="115"/>
    <x v="15"/>
    <x v="207"/>
    <n v="0"/>
    <n v="0"/>
    <n v="1"/>
    <s v="Tag #14"/>
  </r>
  <r>
    <x v="1"/>
    <x v="3"/>
    <x v="0"/>
    <x v="1"/>
    <d v="2019-11-15T00:00:00"/>
    <n v="21"/>
    <x v="0"/>
    <x v="89"/>
    <x v="17"/>
    <x v="186"/>
    <n v="0"/>
    <n v="0"/>
    <n v="0"/>
    <s v="Tag #12"/>
  </r>
  <r>
    <x v="1"/>
    <x v="3"/>
    <x v="0"/>
    <x v="1"/>
    <d v="2019-11-15T00:00:00"/>
    <n v="22"/>
    <x v="0"/>
    <x v="101"/>
    <x v="16"/>
    <x v="208"/>
    <n v="1"/>
    <n v="0"/>
    <n v="0"/>
    <s v="Tag #11, Dead"/>
  </r>
  <r>
    <x v="1"/>
    <x v="3"/>
    <x v="0"/>
    <x v="1"/>
    <d v="2019-11-15T00:00:00"/>
    <n v="23"/>
    <x v="0"/>
    <x v="40"/>
    <x v="17"/>
    <x v="43"/>
    <n v="1"/>
    <n v="0"/>
    <n v="1"/>
    <s v="Tag #2"/>
  </r>
  <r>
    <x v="1"/>
    <x v="3"/>
    <x v="0"/>
    <x v="1"/>
    <d v="2019-11-15T00:00:00"/>
    <n v="24"/>
    <x v="0"/>
    <x v="116"/>
    <x v="10"/>
    <x v="209"/>
    <n v="0"/>
    <n v="0"/>
    <n v="0"/>
    <s v="Tag #5"/>
  </r>
  <r>
    <x v="1"/>
    <x v="3"/>
    <x v="0"/>
    <x v="1"/>
    <d v="2019-11-15T00:00:00"/>
    <n v="32"/>
    <x v="0"/>
    <x v="85"/>
    <x v="12"/>
    <x v="109"/>
    <n v="0"/>
    <n v="0"/>
    <n v="0"/>
    <s v="Tag #22 "/>
  </r>
  <r>
    <x v="1"/>
    <x v="3"/>
    <x v="0"/>
    <x v="1"/>
    <d v="2019-11-15T00:00:00"/>
    <n v="33"/>
    <x v="0"/>
    <x v="36"/>
    <x v="16"/>
    <x v="210"/>
    <n v="0"/>
    <n v="0"/>
    <n v="1"/>
    <s v="Tag #1 "/>
  </r>
  <r>
    <x v="1"/>
    <x v="3"/>
    <x v="0"/>
    <x v="1"/>
    <d v="2019-11-15T00:00:00"/>
    <n v="34"/>
    <x v="0"/>
    <x v="39"/>
    <x v="18"/>
    <x v="211"/>
    <n v="0"/>
    <n v="0"/>
    <n v="1"/>
    <s v="Tag #3 "/>
  </r>
  <r>
    <x v="1"/>
    <x v="3"/>
    <x v="0"/>
    <x v="1"/>
    <d v="2019-11-15T00:00:00"/>
    <n v="38"/>
    <x v="2"/>
    <x v="78"/>
    <x v="19"/>
    <x v="212"/>
    <n v="0"/>
    <n v="1"/>
    <n v="0"/>
    <m/>
  </r>
  <r>
    <x v="1"/>
    <x v="3"/>
    <x v="0"/>
    <x v="1"/>
    <d v="2019-11-15T00:00:00"/>
    <n v="39"/>
    <x v="2"/>
    <x v="117"/>
    <x v="15"/>
    <x v="213"/>
    <n v="0"/>
    <n v="1"/>
    <n v="0"/>
    <m/>
  </r>
  <r>
    <x v="1"/>
    <x v="3"/>
    <x v="0"/>
    <x v="1"/>
    <d v="2019-11-15T00:00:00"/>
    <n v="40"/>
    <x v="2"/>
    <x v="89"/>
    <x v="14"/>
    <x v="214"/>
    <n v="0"/>
    <n v="1"/>
    <n v="0"/>
    <m/>
  </r>
  <r>
    <x v="1"/>
    <x v="3"/>
    <x v="0"/>
    <x v="1"/>
    <d v="2019-11-15T00:00:00"/>
    <n v="41"/>
    <x v="2"/>
    <x v="43"/>
    <x v="20"/>
    <x v="215"/>
    <n v="0"/>
    <n v="1"/>
    <n v="0"/>
    <m/>
  </r>
  <r>
    <x v="1"/>
    <x v="3"/>
    <x v="0"/>
    <x v="1"/>
    <d v="2019-11-15T00:00:00"/>
    <n v="42"/>
    <x v="2"/>
    <x v="106"/>
    <x v="14"/>
    <x v="216"/>
    <n v="0"/>
    <n v="1"/>
    <n v="0"/>
    <m/>
  </r>
  <r>
    <x v="1"/>
    <x v="3"/>
    <x v="0"/>
    <x v="1"/>
    <d v="2019-11-15T00:00:00"/>
    <n v="43"/>
    <x v="2"/>
    <x v="40"/>
    <x v="16"/>
    <x v="196"/>
    <n v="0"/>
    <n v="1"/>
    <n v="0"/>
    <m/>
  </r>
  <r>
    <x v="1"/>
    <x v="3"/>
    <x v="0"/>
    <x v="1"/>
    <d v="2019-11-15T00:00:00"/>
    <n v="44"/>
    <x v="2"/>
    <x v="118"/>
    <x v="10"/>
    <x v="217"/>
    <n v="0"/>
    <n v="1"/>
    <n v="0"/>
    <m/>
  </r>
  <r>
    <x v="1"/>
    <x v="3"/>
    <x v="0"/>
    <x v="1"/>
    <d v="2019-11-15T00:00:00"/>
    <n v="45"/>
    <x v="2"/>
    <x v="93"/>
    <x v="11"/>
    <x v="218"/>
    <n v="0"/>
    <n v="1"/>
    <n v="0"/>
    <m/>
  </r>
  <r>
    <x v="1"/>
    <x v="3"/>
    <x v="0"/>
    <x v="1"/>
    <d v="2019-11-15T00:00:00"/>
    <n v="46"/>
    <x v="2"/>
    <x v="119"/>
    <x v="13"/>
    <x v="219"/>
    <n v="0"/>
    <n v="1"/>
    <n v="0"/>
    <m/>
  </r>
  <r>
    <x v="1"/>
    <x v="3"/>
    <x v="0"/>
    <x v="1"/>
    <d v="2019-11-15T00:00:00"/>
    <n v="47"/>
    <x v="2"/>
    <x v="72"/>
    <x v="12"/>
    <x v="220"/>
    <n v="0"/>
    <n v="1"/>
    <n v="0"/>
    <m/>
  </r>
  <r>
    <x v="1"/>
    <x v="1"/>
    <x v="1"/>
    <x v="0"/>
    <d v="2019-11-15T00:00:00"/>
    <n v="1"/>
    <x v="0"/>
    <x v="85"/>
    <x v="16"/>
    <x v="121"/>
    <n v="0"/>
    <n v="0"/>
    <n v="0"/>
    <m/>
  </r>
  <r>
    <x v="1"/>
    <x v="1"/>
    <x v="1"/>
    <x v="0"/>
    <d v="2019-11-15T00:00:00"/>
    <n v="2"/>
    <x v="0"/>
    <x v="82"/>
    <x v="10"/>
    <x v="221"/>
    <n v="0"/>
    <n v="0"/>
    <n v="0"/>
    <s v="covered"/>
  </r>
  <r>
    <x v="1"/>
    <x v="1"/>
    <x v="1"/>
    <x v="0"/>
    <d v="2019-11-15T00:00:00"/>
    <n v="3"/>
    <x v="0"/>
    <x v="35"/>
    <x v="14"/>
    <x v="174"/>
    <n v="0"/>
    <n v="0"/>
    <n v="0"/>
    <m/>
  </r>
  <r>
    <x v="1"/>
    <x v="1"/>
    <x v="1"/>
    <x v="0"/>
    <d v="2019-11-15T00:00:00"/>
    <n v="4"/>
    <x v="0"/>
    <x v="108"/>
    <x v="13"/>
    <x v="222"/>
    <n v="0"/>
    <n v="0"/>
    <n v="0"/>
    <m/>
  </r>
  <r>
    <x v="1"/>
    <x v="1"/>
    <x v="1"/>
    <x v="0"/>
    <d v="2019-11-15T00:00:00"/>
    <n v="5"/>
    <x v="0"/>
    <x v="19"/>
    <x v="14"/>
    <x v="35"/>
    <n v="0"/>
    <n v="0"/>
    <n v="0"/>
    <m/>
  </r>
  <r>
    <x v="1"/>
    <x v="1"/>
    <x v="1"/>
    <x v="0"/>
    <d v="2019-11-15T00:00:00"/>
    <n v="6"/>
    <x v="0"/>
    <x v="27"/>
    <x v="12"/>
    <x v="28"/>
    <n v="0"/>
    <n v="0"/>
    <n v="0"/>
    <m/>
  </r>
  <r>
    <x v="1"/>
    <x v="1"/>
    <x v="1"/>
    <x v="0"/>
    <d v="2019-11-15T00:00:00"/>
    <n v="7"/>
    <x v="0"/>
    <x v="35"/>
    <x v="17"/>
    <x v="223"/>
    <n v="0"/>
    <n v="0"/>
    <n v="0"/>
    <m/>
  </r>
  <r>
    <x v="1"/>
    <x v="1"/>
    <x v="1"/>
    <x v="0"/>
    <d v="2019-11-15T00:00:00"/>
    <n v="8"/>
    <x v="0"/>
    <x v="26"/>
    <x v="18"/>
    <x v="224"/>
    <n v="0"/>
    <n v="0"/>
    <n v="0"/>
    <m/>
  </r>
  <r>
    <x v="1"/>
    <x v="1"/>
    <x v="1"/>
    <x v="0"/>
    <d v="2019-11-15T00:00:00"/>
    <n v="9"/>
    <x v="0"/>
    <x v="66"/>
    <x v="13"/>
    <x v="225"/>
    <n v="0"/>
    <n v="0"/>
    <n v="0"/>
    <m/>
  </r>
  <r>
    <x v="1"/>
    <x v="1"/>
    <x v="1"/>
    <x v="0"/>
    <d v="2019-11-15T00:00:00"/>
    <n v="10"/>
    <x v="0"/>
    <x v="120"/>
    <x v="10"/>
    <x v="226"/>
    <n v="0"/>
    <n v="0"/>
    <n v="0"/>
    <s v="*"/>
  </r>
  <r>
    <x v="1"/>
    <x v="1"/>
    <x v="1"/>
    <x v="0"/>
    <d v="2019-11-15T00:00:00"/>
    <n v="38"/>
    <x v="2"/>
    <x v="121"/>
    <x v="10"/>
    <x v="227"/>
    <n v="0"/>
    <n v="0"/>
    <n v="0"/>
    <s v="nearly bent"/>
  </r>
  <r>
    <x v="1"/>
    <x v="2"/>
    <x v="1"/>
    <x v="1"/>
    <d v="2019-11-15T00:00:00"/>
    <n v="1"/>
    <x v="0"/>
    <x v="122"/>
    <x v="11"/>
    <x v="228"/>
    <n v="0"/>
    <n v="0"/>
    <n v="0"/>
    <m/>
  </r>
  <r>
    <x v="1"/>
    <x v="2"/>
    <x v="1"/>
    <x v="1"/>
    <d v="2019-11-15T00:00:00"/>
    <n v="2"/>
    <x v="0"/>
    <x v="114"/>
    <x v="16"/>
    <x v="229"/>
    <n v="0"/>
    <n v="0"/>
    <n v="0"/>
    <m/>
  </r>
  <r>
    <x v="1"/>
    <x v="2"/>
    <x v="1"/>
    <x v="1"/>
    <d v="2019-11-15T00:00:00"/>
    <n v="3"/>
    <x v="0"/>
    <x v="21"/>
    <x v="16"/>
    <x v="161"/>
    <n v="0"/>
    <n v="0"/>
    <n v="0"/>
    <m/>
  </r>
  <r>
    <x v="1"/>
    <x v="2"/>
    <x v="1"/>
    <x v="1"/>
    <d v="2019-11-15T00:00:00"/>
    <n v="4"/>
    <x v="0"/>
    <x v="24"/>
    <x v="18"/>
    <x v="230"/>
    <n v="0"/>
    <n v="0"/>
    <n v="0"/>
    <m/>
  </r>
  <r>
    <x v="1"/>
    <x v="2"/>
    <x v="1"/>
    <x v="1"/>
    <d v="2019-11-15T00:00:00"/>
    <n v="5"/>
    <x v="0"/>
    <x v="34"/>
    <x v="16"/>
    <x v="231"/>
    <n v="0"/>
    <n v="0"/>
    <n v="0"/>
    <m/>
  </r>
  <r>
    <x v="1"/>
    <x v="2"/>
    <x v="1"/>
    <x v="1"/>
    <d v="2019-11-15T00:00:00"/>
    <n v="6"/>
    <x v="0"/>
    <x v="115"/>
    <x v="16"/>
    <x v="232"/>
    <n v="0"/>
    <n v="0"/>
    <n v="0"/>
    <m/>
  </r>
  <r>
    <x v="1"/>
    <x v="2"/>
    <x v="1"/>
    <x v="1"/>
    <d v="2019-11-15T00:00:00"/>
    <n v="7"/>
    <x v="0"/>
    <x v="34"/>
    <x v="20"/>
    <x v="233"/>
    <n v="0"/>
    <n v="0"/>
    <n v="0"/>
    <m/>
  </r>
  <r>
    <x v="1"/>
    <x v="2"/>
    <x v="1"/>
    <x v="1"/>
    <d v="2019-11-15T00:00:00"/>
    <n v="8"/>
    <x v="0"/>
    <x v="123"/>
    <x v="11"/>
    <x v="234"/>
    <n v="0"/>
    <n v="0"/>
    <n v="0"/>
    <m/>
  </r>
  <r>
    <x v="1"/>
    <x v="2"/>
    <x v="1"/>
    <x v="1"/>
    <d v="2019-11-15T00:00:00"/>
    <n v="38"/>
    <x v="2"/>
    <x v="16"/>
    <x v="14"/>
    <x v="173"/>
    <n v="0"/>
    <n v="0"/>
    <n v="0"/>
    <m/>
  </r>
  <r>
    <x v="1"/>
    <x v="2"/>
    <x v="1"/>
    <x v="1"/>
    <d v="2019-11-15T00:00:00"/>
    <n v="39"/>
    <x v="2"/>
    <x v="10"/>
    <x v="11"/>
    <x v="235"/>
    <n v="0"/>
    <n v="0"/>
    <n v="0"/>
    <m/>
  </r>
  <r>
    <x v="1"/>
    <x v="2"/>
    <x v="1"/>
    <x v="1"/>
    <d v="2019-11-15T00:00:00"/>
    <n v="40"/>
    <x v="2"/>
    <x v="16"/>
    <x v="13"/>
    <x v="236"/>
    <n v="0"/>
    <n v="0"/>
    <n v="0"/>
    <m/>
  </r>
  <r>
    <x v="1"/>
    <x v="2"/>
    <x v="1"/>
    <x v="1"/>
    <d v="2019-11-15T00:00:00"/>
    <n v="41"/>
    <x v="2"/>
    <x v="16"/>
    <x v="12"/>
    <x v="165"/>
    <n v="0"/>
    <n v="0"/>
    <n v="0"/>
    <m/>
  </r>
  <r>
    <x v="1"/>
    <x v="2"/>
    <x v="1"/>
    <x v="1"/>
    <d v="2019-11-15T00:00:00"/>
    <n v="42"/>
    <x v="2"/>
    <x v="61"/>
    <x v="8"/>
    <x v="237"/>
    <n v="0"/>
    <n v="0"/>
    <n v="0"/>
    <m/>
  </r>
  <r>
    <x v="2"/>
    <x v="0"/>
    <x v="0"/>
    <x v="0"/>
    <d v="2019-11-15T00:00:00"/>
    <n v="1"/>
    <x v="0"/>
    <x v="11"/>
    <x v="6"/>
    <x v="238"/>
    <n v="0"/>
    <n v="0"/>
    <n v="0"/>
    <m/>
  </r>
  <r>
    <x v="2"/>
    <x v="0"/>
    <x v="0"/>
    <x v="0"/>
    <d v="2019-11-15T00:00:00"/>
    <n v="2"/>
    <x v="0"/>
    <x v="0"/>
    <x v="0"/>
    <x v="0"/>
    <n v="0"/>
    <n v="0"/>
    <n v="0"/>
    <m/>
  </r>
  <r>
    <x v="2"/>
    <x v="0"/>
    <x v="0"/>
    <x v="0"/>
    <d v="2019-11-15T00:00:00"/>
    <n v="3"/>
    <x v="0"/>
    <x v="53"/>
    <x v="8"/>
    <x v="239"/>
    <n v="0"/>
    <n v="0"/>
    <n v="0"/>
    <m/>
  </r>
  <r>
    <x v="2"/>
    <x v="0"/>
    <x v="0"/>
    <x v="0"/>
    <d v="2019-11-15T00:00:00"/>
    <n v="4"/>
    <x v="0"/>
    <x v="27"/>
    <x v="12"/>
    <x v="28"/>
    <n v="0"/>
    <n v="0"/>
    <n v="0"/>
    <m/>
  </r>
  <r>
    <x v="2"/>
    <x v="0"/>
    <x v="0"/>
    <x v="0"/>
    <d v="2019-11-15T00:00:00"/>
    <n v="5"/>
    <x v="0"/>
    <x v="32"/>
    <x v="12"/>
    <x v="240"/>
    <n v="1"/>
    <n v="0"/>
    <n v="0"/>
    <m/>
  </r>
  <r>
    <x v="2"/>
    <x v="0"/>
    <x v="0"/>
    <x v="0"/>
    <d v="2019-11-15T00:00:00"/>
    <n v="6"/>
    <x v="0"/>
    <x v="124"/>
    <x v="22"/>
    <x v="241"/>
    <n v="0"/>
    <n v="0"/>
    <n v="0"/>
    <m/>
  </r>
  <r>
    <x v="2"/>
    <x v="0"/>
    <x v="0"/>
    <x v="0"/>
    <d v="2019-11-15T00:00:00"/>
    <n v="7"/>
    <x v="0"/>
    <x v="0"/>
    <x v="9"/>
    <x v="242"/>
    <n v="0"/>
    <n v="0"/>
    <n v="0"/>
    <m/>
  </r>
  <r>
    <x v="2"/>
    <x v="0"/>
    <x v="0"/>
    <x v="0"/>
    <d v="2019-11-15T00:00:00"/>
    <n v="8"/>
    <x v="0"/>
    <x v="110"/>
    <x v="14"/>
    <x v="243"/>
    <n v="0"/>
    <n v="0"/>
    <n v="0"/>
    <s v="damaged"/>
  </r>
  <r>
    <x v="2"/>
    <x v="0"/>
    <x v="0"/>
    <x v="0"/>
    <d v="2019-11-15T00:00:00"/>
    <n v="9"/>
    <x v="0"/>
    <x v="9"/>
    <x v="24"/>
    <x v="244"/>
    <n v="0"/>
    <n v="0"/>
    <n v="0"/>
    <m/>
  </r>
  <r>
    <x v="2"/>
    <x v="0"/>
    <x v="0"/>
    <x v="0"/>
    <d v="2019-11-15T00:00:00"/>
    <n v="10"/>
    <x v="0"/>
    <x v="115"/>
    <x v="12"/>
    <x v="245"/>
    <n v="0"/>
    <n v="0"/>
    <n v="1"/>
    <m/>
  </r>
  <r>
    <x v="2"/>
    <x v="0"/>
    <x v="0"/>
    <x v="0"/>
    <d v="2019-11-15T00:00:00"/>
    <n v="11"/>
    <x v="0"/>
    <x v="0"/>
    <x v="8"/>
    <x v="13"/>
    <n v="0"/>
    <n v="0"/>
    <n v="0"/>
    <m/>
  </r>
  <r>
    <x v="2"/>
    <x v="0"/>
    <x v="0"/>
    <x v="0"/>
    <d v="2019-11-15T00:00:00"/>
    <n v="12"/>
    <x v="0"/>
    <x v="76"/>
    <x v="17"/>
    <x v="246"/>
    <n v="1"/>
    <n v="0"/>
    <n v="0"/>
    <m/>
  </r>
  <r>
    <x v="2"/>
    <x v="0"/>
    <x v="0"/>
    <x v="0"/>
    <d v="2019-11-15T00:00:00"/>
    <n v="13"/>
    <x v="0"/>
    <x v="125"/>
    <x v="11"/>
    <x v="247"/>
    <n v="0"/>
    <n v="0"/>
    <n v="0"/>
    <m/>
  </r>
  <r>
    <x v="2"/>
    <x v="0"/>
    <x v="0"/>
    <x v="0"/>
    <d v="2019-11-15T00:00:00"/>
    <n v="14"/>
    <x v="0"/>
    <x v="104"/>
    <x v="6"/>
    <x v="248"/>
    <n v="0"/>
    <n v="0"/>
    <n v="0"/>
    <m/>
  </r>
  <r>
    <x v="2"/>
    <x v="0"/>
    <x v="0"/>
    <x v="0"/>
    <d v="2019-11-15T00:00:00"/>
    <n v="15"/>
    <x v="0"/>
    <x v="126"/>
    <x v="12"/>
    <x v="249"/>
    <n v="0"/>
    <n v="0"/>
    <n v="0"/>
    <m/>
  </r>
  <r>
    <x v="2"/>
    <x v="0"/>
    <x v="0"/>
    <x v="0"/>
    <d v="2019-11-15T00:00:00"/>
    <n v="16"/>
    <x v="0"/>
    <x v="27"/>
    <x v="11"/>
    <x v="250"/>
    <n v="0"/>
    <n v="0"/>
    <n v="0"/>
    <m/>
  </r>
  <r>
    <x v="2"/>
    <x v="0"/>
    <x v="0"/>
    <x v="0"/>
    <d v="2019-11-15T00:00:00"/>
    <n v="17"/>
    <x v="0"/>
    <x v="25"/>
    <x v="9"/>
    <x v="251"/>
    <n v="0"/>
    <n v="0"/>
    <n v="0"/>
    <m/>
  </r>
  <r>
    <x v="2"/>
    <x v="0"/>
    <x v="0"/>
    <x v="0"/>
    <d v="2019-11-15T00:00:00"/>
    <n v="18"/>
    <x v="0"/>
    <x v="23"/>
    <x v="11"/>
    <x v="24"/>
    <n v="0"/>
    <n v="0"/>
    <n v="0"/>
    <m/>
  </r>
  <r>
    <x v="2"/>
    <x v="0"/>
    <x v="0"/>
    <x v="0"/>
    <d v="2019-11-15T00:00:00"/>
    <n v="19"/>
    <x v="0"/>
    <x v="87"/>
    <x v="17"/>
    <x v="252"/>
    <n v="0"/>
    <n v="0"/>
    <n v="0"/>
    <m/>
  </r>
  <r>
    <x v="2"/>
    <x v="0"/>
    <x v="0"/>
    <x v="0"/>
    <d v="2019-11-15T00:00:00"/>
    <n v="38"/>
    <x v="2"/>
    <x v="127"/>
    <x v="10"/>
    <x v="253"/>
    <n v="0"/>
    <n v="0"/>
    <n v="0"/>
    <s v="undetermined planting"/>
  </r>
  <r>
    <x v="2"/>
    <x v="0"/>
    <x v="0"/>
    <x v="0"/>
    <d v="2019-11-15T00:00:00"/>
    <n v="39"/>
    <x v="2"/>
    <x v="55"/>
    <x v="9"/>
    <x v="254"/>
    <n v="0"/>
    <n v="0"/>
    <n v="0"/>
    <m/>
  </r>
  <r>
    <x v="2"/>
    <x v="0"/>
    <x v="0"/>
    <x v="0"/>
    <d v="2019-11-15T00:00:00"/>
    <n v="40"/>
    <x v="2"/>
    <x v="58"/>
    <x v="0"/>
    <x v="255"/>
    <n v="0"/>
    <n v="0"/>
    <n v="0"/>
    <m/>
  </r>
  <r>
    <x v="2"/>
    <x v="0"/>
    <x v="0"/>
    <x v="0"/>
    <d v="2019-11-15T00:00:00"/>
    <n v="41"/>
    <x v="2"/>
    <x v="25"/>
    <x v="10"/>
    <x v="71"/>
    <n v="0"/>
    <n v="0"/>
    <n v="0"/>
    <m/>
  </r>
  <r>
    <x v="2"/>
    <x v="0"/>
    <x v="0"/>
    <x v="0"/>
    <d v="2019-11-15T00:00:00"/>
    <n v="42"/>
    <x v="2"/>
    <x v="38"/>
    <x v="18"/>
    <x v="256"/>
    <n v="0"/>
    <n v="1"/>
    <n v="0"/>
    <m/>
  </r>
  <r>
    <x v="2"/>
    <x v="0"/>
    <x v="0"/>
    <x v="0"/>
    <d v="2019-11-15T00:00:00"/>
    <n v="43"/>
    <x v="2"/>
    <x v="40"/>
    <x v="20"/>
    <x v="212"/>
    <n v="0"/>
    <n v="1"/>
    <n v="0"/>
    <m/>
  </r>
  <r>
    <x v="2"/>
    <x v="0"/>
    <x v="0"/>
    <x v="0"/>
    <d v="2019-11-15T00:00:00"/>
    <n v="44"/>
    <x v="2"/>
    <x v="74"/>
    <x v="19"/>
    <x v="95"/>
    <n v="0"/>
    <n v="1"/>
    <n v="0"/>
    <m/>
  </r>
  <r>
    <x v="2"/>
    <x v="0"/>
    <x v="0"/>
    <x v="0"/>
    <d v="2019-11-15T00:00:00"/>
    <n v="45"/>
    <x v="2"/>
    <x v="40"/>
    <x v="19"/>
    <x v="257"/>
    <n v="0"/>
    <n v="1"/>
    <n v="0"/>
    <m/>
  </r>
  <r>
    <x v="2"/>
    <x v="0"/>
    <x v="0"/>
    <x v="0"/>
    <d v="2019-11-15T00:00:00"/>
    <n v="46"/>
    <x v="2"/>
    <x v="128"/>
    <x v="16"/>
    <x v="258"/>
    <n v="0"/>
    <n v="1"/>
    <n v="1"/>
    <m/>
  </r>
  <r>
    <x v="2"/>
    <x v="0"/>
    <x v="0"/>
    <x v="0"/>
    <d v="2019-11-15T00:00:00"/>
    <n v="47"/>
    <x v="2"/>
    <x v="77"/>
    <x v="20"/>
    <x v="98"/>
    <n v="0"/>
    <n v="1"/>
    <n v="0"/>
    <m/>
  </r>
  <r>
    <x v="2"/>
    <x v="0"/>
    <x v="0"/>
    <x v="0"/>
    <d v="2019-11-15T00:00:00"/>
    <n v="48"/>
    <x v="2"/>
    <x v="68"/>
    <x v="25"/>
    <x v="259"/>
    <n v="0"/>
    <n v="0"/>
    <n v="0"/>
    <m/>
  </r>
  <r>
    <x v="2"/>
    <x v="0"/>
    <x v="0"/>
    <x v="0"/>
    <d v="2019-11-15T00:00:00"/>
    <n v="49"/>
    <x v="2"/>
    <x v="72"/>
    <x v="18"/>
    <x v="90"/>
    <n v="0"/>
    <n v="1"/>
    <n v="1"/>
    <s v="grazed on top"/>
  </r>
  <r>
    <x v="2"/>
    <x v="0"/>
    <x v="0"/>
    <x v="0"/>
    <d v="2019-11-15T00:00:00"/>
    <n v="50"/>
    <x v="2"/>
    <x v="41"/>
    <x v="15"/>
    <x v="152"/>
    <n v="1"/>
    <n v="1"/>
    <n v="1"/>
    <s v="heavily damaged, grazed or stomped"/>
  </r>
  <r>
    <x v="2"/>
    <x v="0"/>
    <x v="0"/>
    <x v="0"/>
    <d v="2019-11-15T00:00:00"/>
    <n v="51"/>
    <x v="2"/>
    <x v="18"/>
    <x v="0"/>
    <x v="260"/>
    <n v="0"/>
    <n v="0"/>
    <n v="0"/>
    <m/>
  </r>
  <r>
    <x v="2"/>
    <x v="0"/>
    <x v="0"/>
    <x v="0"/>
    <d v="2019-11-15T00:00:00"/>
    <n v="52"/>
    <x v="2"/>
    <x v="19"/>
    <x v="11"/>
    <x v="261"/>
    <n v="0"/>
    <n v="0"/>
    <n v="0"/>
    <m/>
  </r>
  <r>
    <x v="2"/>
    <x v="0"/>
    <x v="0"/>
    <x v="0"/>
    <d v="2019-11-15T00:00:00"/>
    <n v="53"/>
    <x v="2"/>
    <x v="74"/>
    <x v="18"/>
    <x v="262"/>
    <n v="0"/>
    <n v="1"/>
    <n v="0"/>
    <m/>
  </r>
  <r>
    <x v="2"/>
    <x v="0"/>
    <x v="0"/>
    <x v="0"/>
    <d v="2019-11-15T00:00:00"/>
    <n v="54"/>
    <x v="2"/>
    <x v="77"/>
    <x v="17"/>
    <x v="263"/>
    <n v="0"/>
    <n v="1"/>
    <n v="0"/>
    <m/>
  </r>
  <r>
    <x v="2"/>
    <x v="0"/>
    <x v="0"/>
    <x v="0"/>
    <d v="2019-11-15T00:00:00"/>
    <n v="55"/>
    <x v="2"/>
    <x v="92"/>
    <x v="18"/>
    <x v="125"/>
    <n v="0"/>
    <n v="1"/>
    <n v="0"/>
    <m/>
  </r>
  <r>
    <x v="2"/>
    <x v="0"/>
    <x v="0"/>
    <x v="0"/>
    <d v="2019-11-15T00:00:00"/>
    <n v="56"/>
    <x v="2"/>
    <x v="118"/>
    <x v="19"/>
    <x v="264"/>
    <n v="0"/>
    <n v="1"/>
    <n v="0"/>
    <m/>
  </r>
  <r>
    <x v="2"/>
    <x v="1"/>
    <x v="1"/>
    <x v="0"/>
    <d v="2019-11-15T00:00:00"/>
    <n v="1"/>
    <x v="0"/>
    <x v="85"/>
    <x v="17"/>
    <x v="265"/>
    <n v="0"/>
    <n v="0"/>
    <n v="0"/>
    <m/>
  </r>
  <r>
    <x v="2"/>
    <x v="1"/>
    <x v="1"/>
    <x v="0"/>
    <d v="2019-11-15T00:00:00"/>
    <n v="2"/>
    <x v="0"/>
    <x v="18"/>
    <x v="13"/>
    <x v="83"/>
    <n v="0"/>
    <n v="0"/>
    <n v="0"/>
    <m/>
  </r>
  <r>
    <x v="2"/>
    <x v="1"/>
    <x v="1"/>
    <x v="0"/>
    <d v="2019-11-15T00:00:00"/>
    <n v="3"/>
    <x v="0"/>
    <x v="25"/>
    <x v="6"/>
    <x v="266"/>
    <n v="0"/>
    <n v="0"/>
    <n v="0"/>
    <m/>
  </r>
  <r>
    <x v="2"/>
    <x v="1"/>
    <x v="1"/>
    <x v="0"/>
    <d v="2019-11-15T00:00:00"/>
    <n v="4"/>
    <x v="0"/>
    <x v="87"/>
    <x v="17"/>
    <x v="252"/>
    <n v="0"/>
    <n v="0"/>
    <n v="0"/>
    <m/>
  </r>
  <r>
    <x v="2"/>
    <x v="1"/>
    <x v="1"/>
    <x v="0"/>
    <d v="2019-11-15T00:00:00"/>
    <n v="5"/>
    <x v="0"/>
    <x v="61"/>
    <x v="11"/>
    <x v="157"/>
    <n v="0"/>
    <n v="0"/>
    <n v="0"/>
    <m/>
  </r>
  <r>
    <x v="2"/>
    <x v="1"/>
    <x v="1"/>
    <x v="0"/>
    <d v="2019-11-15T00:00:00"/>
    <n v="6"/>
    <x v="0"/>
    <x v="129"/>
    <x v="25"/>
    <x v="267"/>
    <n v="0"/>
    <n v="0"/>
    <n v="0"/>
    <m/>
  </r>
  <r>
    <x v="2"/>
    <x v="1"/>
    <x v="1"/>
    <x v="0"/>
    <d v="2019-11-15T00:00:00"/>
    <n v="7"/>
    <x v="0"/>
    <x v="32"/>
    <x v="18"/>
    <x v="124"/>
    <n v="0"/>
    <n v="0"/>
    <n v="0"/>
    <m/>
  </r>
  <r>
    <x v="2"/>
    <x v="1"/>
    <x v="1"/>
    <x v="0"/>
    <d v="2019-11-15T00:00:00"/>
    <n v="8"/>
    <x v="0"/>
    <x v="33"/>
    <x v="15"/>
    <x v="268"/>
    <n v="0"/>
    <n v="0"/>
    <n v="0"/>
    <m/>
  </r>
  <r>
    <x v="2"/>
    <x v="1"/>
    <x v="1"/>
    <x v="0"/>
    <d v="2019-11-15T00:00:00"/>
    <n v="9"/>
    <x v="0"/>
    <x v="61"/>
    <x v="15"/>
    <x v="269"/>
    <n v="0"/>
    <n v="0"/>
    <n v="0"/>
    <m/>
  </r>
  <r>
    <x v="2"/>
    <x v="1"/>
    <x v="1"/>
    <x v="0"/>
    <d v="2019-11-15T00:00:00"/>
    <n v="10"/>
    <x v="0"/>
    <x v="11"/>
    <x v="0"/>
    <x v="270"/>
    <n v="0"/>
    <n v="0"/>
    <n v="0"/>
    <m/>
  </r>
  <r>
    <x v="2"/>
    <x v="1"/>
    <x v="1"/>
    <x v="0"/>
    <d v="2019-11-15T00:00:00"/>
    <n v="11"/>
    <x v="0"/>
    <x v="117"/>
    <x v="16"/>
    <x v="271"/>
    <n v="0"/>
    <n v="0"/>
    <n v="0"/>
    <m/>
  </r>
  <r>
    <x v="2"/>
    <x v="1"/>
    <x v="1"/>
    <x v="0"/>
    <d v="2019-11-15T00:00:00"/>
    <n v="12"/>
    <x v="0"/>
    <x v="130"/>
    <x v="10"/>
    <x v="272"/>
    <n v="0"/>
    <n v="0"/>
    <n v="0"/>
    <m/>
  </r>
  <r>
    <x v="2"/>
    <x v="1"/>
    <x v="1"/>
    <x v="0"/>
    <d v="2019-11-15T00:00:00"/>
    <n v="38"/>
    <x v="2"/>
    <x v="99"/>
    <x v="13"/>
    <x v="273"/>
    <n v="0"/>
    <n v="0"/>
    <n v="0"/>
    <m/>
  </r>
  <r>
    <x v="2"/>
    <x v="1"/>
    <x v="1"/>
    <x v="0"/>
    <d v="2019-11-15T00:00:00"/>
    <n v="39"/>
    <x v="2"/>
    <x v="8"/>
    <x v="26"/>
    <x v="274"/>
    <n v="0"/>
    <n v="0"/>
    <n v="0"/>
    <m/>
  </r>
  <r>
    <x v="2"/>
    <x v="1"/>
    <x v="1"/>
    <x v="0"/>
    <d v="2019-11-15T00:00:00"/>
    <n v="40"/>
    <x v="2"/>
    <x v="108"/>
    <x v="12"/>
    <x v="275"/>
    <n v="0"/>
    <n v="0"/>
    <n v="0"/>
    <m/>
  </r>
  <r>
    <x v="2"/>
    <x v="1"/>
    <x v="1"/>
    <x v="0"/>
    <d v="2019-11-15T00:00:00"/>
    <n v="41"/>
    <x v="2"/>
    <x v="113"/>
    <x v="14"/>
    <x v="276"/>
    <n v="0"/>
    <n v="0"/>
    <n v="0"/>
    <m/>
  </r>
  <r>
    <x v="2"/>
    <x v="1"/>
    <x v="1"/>
    <x v="0"/>
    <d v="2019-11-15T00:00:00"/>
    <n v="42"/>
    <x v="2"/>
    <x v="96"/>
    <x v="13"/>
    <x v="277"/>
    <n v="0"/>
    <n v="0"/>
    <n v="0"/>
    <s v="*bent"/>
  </r>
  <r>
    <x v="2"/>
    <x v="1"/>
    <x v="1"/>
    <x v="0"/>
    <d v="2019-11-15T00:00:00"/>
    <n v="43"/>
    <x v="2"/>
    <x v="96"/>
    <x v="27"/>
    <x v="278"/>
    <n v="1"/>
    <n v="0"/>
    <n v="0"/>
    <m/>
  </r>
  <r>
    <x v="2"/>
    <x v="1"/>
    <x v="1"/>
    <x v="0"/>
    <d v="2019-11-15T00:00:00"/>
    <n v="44"/>
    <x v="2"/>
    <x v="130"/>
    <x v="8"/>
    <x v="279"/>
    <n v="0"/>
    <n v="0"/>
    <n v="0"/>
    <m/>
  </r>
  <r>
    <x v="2"/>
    <x v="2"/>
    <x v="1"/>
    <x v="1"/>
    <d v="2019-11-15T00:00:00"/>
    <n v="1"/>
    <x v="0"/>
    <x v="91"/>
    <x v="16"/>
    <x v="280"/>
    <n v="0"/>
    <n v="0"/>
    <n v="0"/>
    <m/>
  </r>
  <r>
    <x v="2"/>
    <x v="2"/>
    <x v="1"/>
    <x v="1"/>
    <d v="2019-11-15T00:00:00"/>
    <n v="2"/>
    <x v="0"/>
    <x v="42"/>
    <x v="15"/>
    <x v="281"/>
    <n v="0"/>
    <n v="0"/>
    <n v="0"/>
    <m/>
  </r>
  <r>
    <x v="2"/>
    <x v="2"/>
    <x v="1"/>
    <x v="1"/>
    <d v="2019-11-15T00:00:00"/>
    <n v="3"/>
    <x v="0"/>
    <x v="83"/>
    <x v="13"/>
    <x v="282"/>
    <n v="0"/>
    <n v="0"/>
    <n v="0"/>
    <m/>
  </r>
  <r>
    <x v="2"/>
    <x v="2"/>
    <x v="1"/>
    <x v="1"/>
    <d v="2019-11-15T00:00:00"/>
    <n v="4"/>
    <x v="0"/>
    <x v="65"/>
    <x v="27"/>
    <x v="283"/>
    <n v="0"/>
    <n v="0"/>
    <n v="0"/>
    <m/>
  </r>
  <r>
    <x v="2"/>
    <x v="2"/>
    <x v="1"/>
    <x v="1"/>
    <d v="2019-11-15T00:00:00"/>
    <n v="5"/>
    <x v="0"/>
    <x v="94"/>
    <x v="16"/>
    <x v="284"/>
    <n v="0"/>
    <n v="0"/>
    <n v="0"/>
    <m/>
  </r>
  <r>
    <x v="2"/>
    <x v="2"/>
    <x v="1"/>
    <x v="1"/>
    <d v="2019-11-15T00:00:00"/>
    <n v="6"/>
    <x v="0"/>
    <x v="131"/>
    <x v="17"/>
    <x v="285"/>
    <n v="0"/>
    <n v="0"/>
    <n v="0"/>
    <m/>
  </r>
  <r>
    <x v="2"/>
    <x v="2"/>
    <x v="1"/>
    <x v="1"/>
    <d v="2019-11-15T00:00:00"/>
    <n v="7"/>
    <x v="0"/>
    <x v="97"/>
    <x v="16"/>
    <x v="286"/>
    <n v="0"/>
    <n v="0"/>
    <n v="0"/>
    <m/>
  </r>
  <r>
    <x v="2"/>
    <x v="3"/>
    <x v="0"/>
    <x v="1"/>
    <d v="2019-11-15T00:00:00"/>
    <n v="1"/>
    <x v="0"/>
    <x v="31"/>
    <x v="28"/>
    <x v="287"/>
    <n v="0"/>
    <n v="0"/>
    <n v="0"/>
    <m/>
  </r>
  <r>
    <x v="2"/>
    <x v="3"/>
    <x v="0"/>
    <x v="1"/>
    <d v="2019-11-15T00:00:00"/>
    <n v="2"/>
    <x v="0"/>
    <x v="66"/>
    <x v="12"/>
    <x v="80"/>
    <n v="0"/>
    <n v="0"/>
    <n v="0"/>
    <m/>
  </r>
  <r>
    <x v="2"/>
    <x v="3"/>
    <x v="0"/>
    <x v="1"/>
    <d v="2019-11-15T00:00:00"/>
    <n v="3"/>
    <x v="0"/>
    <x v="16"/>
    <x v="12"/>
    <x v="165"/>
    <n v="0"/>
    <n v="0"/>
    <n v="0"/>
    <m/>
  </r>
  <r>
    <x v="2"/>
    <x v="3"/>
    <x v="0"/>
    <x v="1"/>
    <d v="2019-11-15T00:00:00"/>
    <n v="4"/>
    <x v="0"/>
    <x v="90"/>
    <x v="15"/>
    <x v="119"/>
    <n v="0"/>
    <n v="0"/>
    <n v="0"/>
    <m/>
  </r>
  <r>
    <x v="2"/>
    <x v="3"/>
    <x v="0"/>
    <x v="1"/>
    <d v="2019-11-15T00:00:00"/>
    <n v="5"/>
    <x v="0"/>
    <x v="106"/>
    <x v="16"/>
    <x v="288"/>
    <n v="0"/>
    <n v="0"/>
    <n v="0"/>
    <m/>
  </r>
  <r>
    <x v="2"/>
    <x v="3"/>
    <x v="0"/>
    <x v="1"/>
    <d v="2019-11-15T00:00:00"/>
    <n v="6"/>
    <x v="0"/>
    <x v="70"/>
    <x v="15"/>
    <x v="289"/>
    <n v="0"/>
    <n v="0"/>
    <n v="1"/>
    <m/>
  </r>
  <r>
    <x v="2"/>
    <x v="3"/>
    <x v="0"/>
    <x v="1"/>
    <d v="2019-11-15T00:00:00"/>
    <n v="7"/>
    <x v="0"/>
    <x v="113"/>
    <x v="12"/>
    <x v="290"/>
    <n v="0"/>
    <n v="0"/>
    <n v="0"/>
    <m/>
  </r>
  <r>
    <x v="2"/>
    <x v="3"/>
    <x v="0"/>
    <x v="1"/>
    <d v="2019-11-15T00:00:00"/>
    <n v="8"/>
    <x v="0"/>
    <x v="28"/>
    <x v="14"/>
    <x v="291"/>
    <n v="0"/>
    <n v="0"/>
    <n v="0"/>
    <m/>
  </r>
  <r>
    <x v="2"/>
    <x v="3"/>
    <x v="0"/>
    <x v="1"/>
    <d v="2019-11-15T00:00:00"/>
    <n v="9"/>
    <x v="0"/>
    <x v="97"/>
    <x v="14"/>
    <x v="139"/>
    <n v="0"/>
    <n v="0"/>
    <n v="0"/>
    <m/>
  </r>
  <r>
    <x v="2"/>
    <x v="3"/>
    <x v="0"/>
    <x v="1"/>
    <d v="2019-11-15T00:00:00"/>
    <n v="38"/>
    <x v="2"/>
    <x v="101"/>
    <x v="10"/>
    <x v="292"/>
    <n v="0"/>
    <n v="0"/>
    <n v="0"/>
    <m/>
  </r>
  <r>
    <x v="3"/>
    <x v="0"/>
    <x v="0"/>
    <x v="0"/>
    <d v="2019-11-15T00:00:00"/>
    <n v="1"/>
    <x v="0"/>
    <x v="132"/>
    <x v="4"/>
    <x v="293"/>
    <n v="0"/>
    <n v="0"/>
    <n v="0"/>
    <m/>
  </r>
  <r>
    <x v="3"/>
    <x v="0"/>
    <x v="0"/>
    <x v="0"/>
    <d v="2019-11-15T00:00:00"/>
    <n v="2"/>
    <x v="0"/>
    <x v="133"/>
    <x v="29"/>
    <x v="294"/>
    <n v="0"/>
    <n v="0"/>
    <n v="0"/>
    <m/>
  </r>
  <r>
    <x v="3"/>
    <x v="0"/>
    <x v="0"/>
    <x v="0"/>
    <d v="2019-11-15T00:00:00"/>
    <n v="3"/>
    <x v="0"/>
    <x v="65"/>
    <x v="13"/>
    <x v="295"/>
    <n v="0"/>
    <n v="0"/>
    <n v="0"/>
    <m/>
  </r>
  <r>
    <x v="3"/>
    <x v="0"/>
    <x v="0"/>
    <x v="0"/>
    <d v="2019-11-15T00:00:00"/>
    <n v="4"/>
    <x v="0"/>
    <x v="125"/>
    <x v="7"/>
    <x v="296"/>
    <n v="0"/>
    <n v="0"/>
    <n v="0"/>
    <m/>
  </r>
  <r>
    <x v="3"/>
    <x v="0"/>
    <x v="0"/>
    <x v="0"/>
    <d v="2019-11-15T00:00:00"/>
    <n v="5"/>
    <x v="0"/>
    <x v="120"/>
    <x v="11"/>
    <x v="297"/>
    <n v="0"/>
    <n v="0"/>
    <n v="0"/>
    <m/>
  </r>
  <r>
    <x v="3"/>
    <x v="0"/>
    <x v="0"/>
    <x v="0"/>
    <d v="2019-11-15T00:00:00"/>
    <n v="6"/>
    <x v="0"/>
    <x v="134"/>
    <x v="11"/>
    <x v="298"/>
    <n v="0"/>
    <n v="0"/>
    <n v="0"/>
    <m/>
  </r>
  <r>
    <x v="3"/>
    <x v="0"/>
    <x v="0"/>
    <x v="0"/>
    <d v="2019-11-15T00:00:00"/>
    <n v="7"/>
    <x v="0"/>
    <x v="15"/>
    <x v="6"/>
    <x v="299"/>
    <n v="0"/>
    <n v="0"/>
    <n v="0"/>
    <m/>
  </r>
  <r>
    <x v="3"/>
    <x v="0"/>
    <x v="0"/>
    <x v="0"/>
    <d v="2019-11-15T00:00:00"/>
    <n v="8"/>
    <x v="0"/>
    <x v="135"/>
    <x v="30"/>
    <x v="300"/>
    <n v="0"/>
    <n v="0"/>
    <n v="0"/>
    <m/>
  </r>
  <r>
    <x v="3"/>
    <x v="0"/>
    <x v="0"/>
    <x v="0"/>
    <d v="2019-11-15T00:00:00"/>
    <n v="9"/>
    <x v="0"/>
    <x v="48"/>
    <x v="24"/>
    <x v="301"/>
    <n v="0"/>
    <n v="0"/>
    <n v="0"/>
    <m/>
  </r>
  <r>
    <x v="3"/>
    <x v="0"/>
    <x v="0"/>
    <x v="0"/>
    <d v="2019-11-15T00:00:00"/>
    <n v="10"/>
    <x v="0"/>
    <x v="136"/>
    <x v="3"/>
    <x v="302"/>
    <n v="0"/>
    <n v="0"/>
    <n v="0"/>
    <m/>
  </r>
  <r>
    <x v="3"/>
    <x v="0"/>
    <x v="0"/>
    <x v="0"/>
    <d v="2019-11-15T00:00:00"/>
    <n v="11"/>
    <x v="0"/>
    <x v="137"/>
    <x v="22"/>
    <x v="303"/>
    <n v="0"/>
    <n v="0"/>
    <n v="0"/>
    <m/>
  </r>
  <r>
    <x v="3"/>
    <x v="0"/>
    <x v="0"/>
    <x v="0"/>
    <d v="2019-11-15T00:00:00"/>
    <n v="12"/>
    <x v="0"/>
    <x v="138"/>
    <x v="0"/>
    <x v="304"/>
    <n v="0"/>
    <n v="0"/>
    <n v="0"/>
    <m/>
  </r>
  <r>
    <x v="3"/>
    <x v="0"/>
    <x v="0"/>
    <x v="0"/>
    <d v="2019-11-15T00:00:00"/>
    <n v="13"/>
    <x v="0"/>
    <x v="121"/>
    <x v="31"/>
    <x v="305"/>
    <n v="0"/>
    <n v="0"/>
    <n v="0"/>
    <m/>
  </r>
  <r>
    <x v="3"/>
    <x v="0"/>
    <x v="0"/>
    <x v="0"/>
    <d v="2019-11-15T00:00:00"/>
    <n v="14"/>
    <x v="0"/>
    <x v="0"/>
    <x v="12"/>
    <x v="306"/>
    <n v="0"/>
    <n v="0"/>
    <n v="1"/>
    <s v="grazing damage at trunk"/>
  </r>
  <r>
    <x v="3"/>
    <x v="0"/>
    <x v="0"/>
    <x v="0"/>
    <d v="2019-11-15T00:00:00"/>
    <n v="15"/>
    <x v="0"/>
    <x v="139"/>
    <x v="6"/>
    <x v="307"/>
    <n v="0"/>
    <n v="0"/>
    <n v="0"/>
    <m/>
  </r>
  <r>
    <x v="3"/>
    <x v="0"/>
    <x v="0"/>
    <x v="0"/>
    <d v="2019-11-15T00:00:00"/>
    <n v="16"/>
    <x v="0"/>
    <x v="8"/>
    <x v="5"/>
    <x v="8"/>
    <n v="0"/>
    <n v="0"/>
    <n v="0"/>
    <m/>
  </r>
  <r>
    <x v="3"/>
    <x v="0"/>
    <x v="0"/>
    <x v="0"/>
    <d v="2019-11-15T00:00:00"/>
    <n v="17"/>
    <x v="0"/>
    <x v="1"/>
    <x v="22"/>
    <x v="308"/>
    <n v="0"/>
    <n v="0"/>
    <n v="1"/>
    <m/>
  </r>
  <r>
    <x v="3"/>
    <x v="0"/>
    <x v="0"/>
    <x v="0"/>
    <d v="2019-11-15T00:00:00"/>
    <n v="18"/>
    <x v="0"/>
    <x v="140"/>
    <x v="5"/>
    <x v="309"/>
    <n v="0"/>
    <n v="0"/>
    <n v="0"/>
    <m/>
  </r>
  <r>
    <x v="3"/>
    <x v="0"/>
    <x v="0"/>
    <x v="0"/>
    <d v="2019-11-15T00:00:00"/>
    <n v="19"/>
    <x v="0"/>
    <x v="104"/>
    <x v="8"/>
    <x v="310"/>
    <n v="0"/>
    <n v="0"/>
    <n v="0"/>
    <m/>
  </r>
  <r>
    <x v="3"/>
    <x v="0"/>
    <x v="0"/>
    <x v="0"/>
    <d v="2019-11-15T00:00:00"/>
    <n v="20"/>
    <x v="0"/>
    <x v="2"/>
    <x v="32"/>
    <x v="311"/>
    <n v="0"/>
    <n v="0"/>
    <n v="0"/>
    <m/>
  </r>
  <r>
    <x v="3"/>
    <x v="0"/>
    <x v="0"/>
    <x v="0"/>
    <d v="2019-11-15T00:00:00"/>
    <n v="21"/>
    <x v="0"/>
    <x v="141"/>
    <x v="6"/>
    <x v="312"/>
    <n v="0"/>
    <n v="0"/>
    <n v="0"/>
    <m/>
  </r>
  <r>
    <x v="3"/>
    <x v="0"/>
    <x v="0"/>
    <x v="0"/>
    <d v="2019-11-15T00:00:00"/>
    <n v="22"/>
    <x v="0"/>
    <x v="24"/>
    <x v="12"/>
    <x v="25"/>
    <n v="0"/>
    <n v="0"/>
    <n v="1"/>
    <s v="split trunk - 2 diverging trunks (1 is grazed)"/>
  </r>
  <r>
    <x v="3"/>
    <x v="0"/>
    <x v="0"/>
    <x v="0"/>
    <d v="2019-11-15T00:00:00"/>
    <n v="23"/>
    <x v="0"/>
    <x v="142"/>
    <x v="8"/>
    <x v="313"/>
    <n v="0"/>
    <n v="0"/>
    <n v="0"/>
    <m/>
  </r>
  <r>
    <x v="3"/>
    <x v="0"/>
    <x v="0"/>
    <x v="0"/>
    <d v="2019-11-15T00:00:00"/>
    <n v="24"/>
    <x v="0"/>
    <x v="143"/>
    <x v="14"/>
    <x v="314"/>
    <n v="0"/>
    <n v="0"/>
    <n v="0"/>
    <m/>
  </r>
  <r>
    <x v="3"/>
    <x v="0"/>
    <x v="0"/>
    <x v="0"/>
    <d v="2019-11-15T00:00:00"/>
    <n v="32"/>
    <x v="0"/>
    <x v="10"/>
    <x v="9"/>
    <x v="315"/>
    <n v="0"/>
    <n v="0"/>
    <n v="0"/>
    <m/>
  </r>
  <r>
    <x v="3"/>
    <x v="0"/>
    <x v="0"/>
    <x v="0"/>
    <d v="2019-11-15T00:00:00"/>
    <n v="33"/>
    <x v="0"/>
    <x v="20"/>
    <x v="4"/>
    <x v="316"/>
    <n v="0"/>
    <n v="0"/>
    <n v="0"/>
    <m/>
  </r>
  <r>
    <x v="3"/>
    <x v="0"/>
    <x v="0"/>
    <x v="0"/>
    <d v="2019-11-15T00:00:00"/>
    <n v="34"/>
    <x v="0"/>
    <x v="144"/>
    <x v="6"/>
    <x v="317"/>
    <n v="0"/>
    <n v="0"/>
    <n v="0"/>
    <m/>
  </r>
  <r>
    <x v="3"/>
    <x v="0"/>
    <x v="0"/>
    <x v="0"/>
    <d v="2019-11-15T00:00:00"/>
    <n v="35"/>
    <x v="0"/>
    <x v="2"/>
    <x v="2"/>
    <x v="2"/>
    <n v="0"/>
    <n v="0"/>
    <n v="0"/>
    <m/>
  </r>
  <r>
    <x v="3"/>
    <x v="0"/>
    <x v="0"/>
    <x v="0"/>
    <d v="2019-11-15T00:00:00"/>
    <n v="36"/>
    <x v="0"/>
    <x v="6"/>
    <x v="12"/>
    <x v="318"/>
    <n v="0"/>
    <n v="0"/>
    <n v="0"/>
    <m/>
  </r>
  <r>
    <x v="3"/>
    <x v="0"/>
    <x v="0"/>
    <x v="0"/>
    <d v="2019-11-15T00:00:00"/>
    <n v="37"/>
    <x v="0"/>
    <x v="125"/>
    <x v="8"/>
    <x v="319"/>
    <n v="0"/>
    <n v="0"/>
    <n v="0"/>
    <m/>
  </r>
  <r>
    <x v="3"/>
    <x v="3"/>
    <x v="0"/>
    <x v="1"/>
    <d v="2019-11-15T00:00:00"/>
    <n v="1"/>
    <x v="0"/>
    <x v="21"/>
    <x v="9"/>
    <x v="320"/>
    <n v="0"/>
    <n v="0"/>
    <n v="1"/>
    <m/>
  </r>
  <r>
    <x v="3"/>
    <x v="3"/>
    <x v="0"/>
    <x v="1"/>
    <d v="2019-11-15T00:00:00"/>
    <n v="2"/>
    <x v="0"/>
    <x v="87"/>
    <x v="16"/>
    <x v="321"/>
    <n v="0"/>
    <n v="0"/>
    <n v="0"/>
    <m/>
  </r>
  <r>
    <x v="3"/>
    <x v="3"/>
    <x v="0"/>
    <x v="1"/>
    <d v="2019-11-15T00:00:00"/>
    <n v="3"/>
    <x v="0"/>
    <x v="69"/>
    <x v="11"/>
    <x v="322"/>
    <n v="0"/>
    <n v="0"/>
    <n v="0"/>
    <m/>
  </r>
  <r>
    <x v="3"/>
    <x v="3"/>
    <x v="0"/>
    <x v="1"/>
    <d v="2019-11-15T00:00:00"/>
    <n v="4"/>
    <x v="0"/>
    <x v="143"/>
    <x v="8"/>
    <x v="323"/>
    <n v="0"/>
    <n v="0"/>
    <n v="0"/>
    <m/>
  </r>
  <r>
    <x v="3"/>
    <x v="3"/>
    <x v="0"/>
    <x v="1"/>
    <d v="2019-11-15T00:00:00"/>
    <n v="5"/>
    <x v="0"/>
    <x v="90"/>
    <x v="15"/>
    <x v="119"/>
    <n v="0"/>
    <n v="0"/>
    <n v="1"/>
    <m/>
  </r>
  <r>
    <x v="3"/>
    <x v="3"/>
    <x v="0"/>
    <x v="1"/>
    <d v="2019-11-15T00:00:00"/>
    <n v="6"/>
    <x v="0"/>
    <x v="94"/>
    <x v="15"/>
    <x v="324"/>
    <n v="0"/>
    <n v="0"/>
    <n v="0"/>
    <m/>
  </r>
  <r>
    <x v="3"/>
    <x v="3"/>
    <x v="0"/>
    <x v="1"/>
    <d v="2019-11-15T00:00:00"/>
    <n v="7"/>
    <x v="0"/>
    <x v="87"/>
    <x v="10"/>
    <x v="325"/>
    <n v="0"/>
    <n v="0"/>
    <n v="1"/>
    <s v="trunk damage"/>
  </r>
  <r>
    <x v="3"/>
    <x v="3"/>
    <x v="0"/>
    <x v="1"/>
    <d v="2019-11-15T00:00:00"/>
    <n v="8"/>
    <x v="0"/>
    <x v="120"/>
    <x v="12"/>
    <x v="326"/>
    <n v="0"/>
    <n v="0"/>
    <n v="0"/>
    <m/>
  </r>
  <r>
    <x v="3"/>
    <x v="3"/>
    <x v="0"/>
    <x v="1"/>
    <d v="2019-11-15T00:00:00"/>
    <n v="9"/>
    <x v="0"/>
    <x v="43"/>
    <x v="15"/>
    <x v="327"/>
    <n v="0"/>
    <n v="0"/>
    <n v="1"/>
    <m/>
  </r>
  <r>
    <x v="3"/>
    <x v="3"/>
    <x v="0"/>
    <x v="1"/>
    <d v="2019-11-15T00:00:00"/>
    <n v="10"/>
    <x v="0"/>
    <x v="53"/>
    <x v="11"/>
    <x v="328"/>
    <n v="0"/>
    <n v="0"/>
    <n v="0"/>
    <m/>
  </r>
  <r>
    <x v="3"/>
    <x v="3"/>
    <x v="0"/>
    <x v="1"/>
    <d v="2019-11-15T00:00:00"/>
    <n v="11"/>
    <x v="0"/>
    <x v="91"/>
    <x v="12"/>
    <x v="329"/>
    <n v="0"/>
    <n v="0"/>
    <n v="0"/>
    <m/>
  </r>
  <r>
    <x v="3"/>
    <x v="3"/>
    <x v="0"/>
    <x v="1"/>
    <d v="2019-11-15T00:00:00"/>
    <n v="12"/>
    <x v="0"/>
    <x v="109"/>
    <x v="13"/>
    <x v="330"/>
    <n v="0"/>
    <n v="0"/>
    <n v="0"/>
    <m/>
  </r>
  <r>
    <x v="3"/>
    <x v="3"/>
    <x v="0"/>
    <x v="1"/>
    <d v="2019-11-15T00:00:00"/>
    <n v="13"/>
    <x v="0"/>
    <x v="42"/>
    <x v="14"/>
    <x v="331"/>
    <n v="0"/>
    <n v="0"/>
    <n v="1"/>
    <m/>
  </r>
  <r>
    <x v="3"/>
    <x v="3"/>
    <x v="0"/>
    <x v="1"/>
    <d v="2019-11-15T00:00:00"/>
    <n v="14"/>
    <x v="0"/>
    <x v="36"/>
    <x v="12"/>
    <x v="332"/>
    <n v="0"/>
    <n v="0"/>
    <n v="0"/>
    <m/>
  </r>
  <r>
    <x v="3"/>
    <x v="3"/>
    <x v="0"/>
    <x v="1"/>
    <d v="2019-11-15T00:00:00"/>
    <n v="15"/>
    <x v="0"/>
    <x v="32"/>
    <x v="15"/>
    <x v="333"/>
    <n v="0"/>
    <n v="0"/>
    <n v="0"/>
    <m/>
  </r>
  <r>
    <x v="3"/>
    <x v="3"/>
    <x v="0"/>
    <x v="1"/>
    <d v="2019-11-15T00:00:00"/>
    <n v="16"/>
    <x v="0"/>
    <x v="31"/>
    <x v="15"/>
    <x v="210"/>
    <n v="0"/>
    <n v="0"/>
    <n v="1"/>
    <m/>
  </r>
  <r>
    <x v="3"/>
    <x v="3"/>
    <x v="0"/>
    <x v="1"/>
    <d v="2019-11-15T00:00:00"/>
    <n v="17"/>
    <x v="0"/>
    <x v="38"/>
    <x v="14"/>
    <x v="334"/>
    <n v="0"/>
    <n v="0"/>
    <n v="0"/>
    <s v="weeding damage"/>
  </r>
  <r>
    <x v="3"/>
    <x v="3"/>
    <x v="0"/>
    <x v="1"/>
    <d v="2019-11-15T00:00:00"/>
    <n v="18"/>
    <x v="0"/>
    <x v="113"/>
    <x v="12"/>
    <x v="290"/>
    <n v="0"/>
    <n v="0"/>
    <n v="1"/>
    <m/>
  </r>
  <r>
    <x v="3"/>
    <x v="3"/>
    <x v="0"/>
    <x v="1"/>
    <d v="2019-11-15T00:00:00"/>
    <n v="19"/>
    <x v="0"/>
    <x v="33"/>
    <x v="15"/>
    <x v="268"/>
    <n v="0"/>
    <n v="0"/>
    <n v="1"/>
    <m/>
  </r>
  <r>
    <x v="3"/>
    <x v="3"/>
    <x v="0"/>
    <x v="1"/>
    <d v="2019-11-15T00:00:00"/>
    <n v="20"/>
    <x v="0"/>
    <x v="35"/>
    <x v="10"/>
    <x v="335"/>
    <n v="0"/>
    <n v="0"/>
    <n v="1"/>
    <m/>
  </r>
  <r>
    <x v="3"/>
    <x v="3"/>
    <x v="0"/>
    <x v="1"/>
    <d v="2019-11-15T00:00:00"/>
    <n v="21"/>
    <x v="0"/>
    <x v="84"/>
    <x v="12"/>
    <x v="107"/>
    <n v="0"/>
    <n v="0"/>
    <n v="1"/>
    <m/>
  </r>
  <r>
    <x v="3"/>
    <x v="3"/>
    <x v="0"/>
    <x v="1"/>
    <d v="2019-11-15T00:00:00"/>
    <n v="22"/>
    <x v="0"/>
    <x v="106"/>
    <x v="14"/>
    <x v="216"/>
    <n v="0"/>
    <n v="0"/>
    <n v="0"/>
    <m/>
  </r>
  <r>
    <x v="3"/>
    <x v="1"/>
    <x v="1"/>
    <x v="0"/>
    <d v="2019-11-15T00:00:00"/>
    <n v="1"/>
    <x v="0"/>
    <x v="145"/>
    <x v="0"/>
    <x v="336"/>
    <n v="0"/>
    <n v="0"/>
    <n v="0"/>
    <m/>
  </r>
  <r>
    <x v="3"/>
    <x v="1"/>
    <x v="1"/>
    <x v="0"/>
    <d v="2019-11-15T00:00:00"/>
    <n v="2"/>
    <x v="0"/>
    <x v="50"/>
    <x v="3"/>
    <x v="337"/>
    <n v="0"/>
    <n v="0"/>
    <n v="0"/>
    <m/>
  </r>
  <r>
    <x v="3"/>
    <x v="1"/>
    <x v="1"/>
    <x v="0"/>
    <d v="2019-11-15T00:00:00"/>
    <n v="3"/>
    <x v="0"/>
    <x v="71"/>
    <x v="33"/>
    <x v="338"/>
    <n v="0"/>
    <n v="0"/>
    <n v="0"/>
    <s v="snapped"/>
  </r>
  <r>
    <x v="3"/>
    <x v="1"/>
    <x v="1"/>
    <x v="0"/>
    <d v="2019-11-15T00:00:00"/>
    <n v="4"/>
    <x v="0"/>
    <x v="125"/>
    <x v="11"/>
    <x v="247"/>
    <n v="0"/>
    <n v="0"/>
    <n v="0"/>
    <m/>
  </r>
  <r>
    <x v="3"/>
    <x v="1"/>
    <x v="1"/>
    <x v="0"/>
    <d v="2019-11-15T00:00:00"/>
    <n v="5"/>
    <x v="0"/>
    <x v="146"/>
    <x v="6"/>
    <x v="339"/>
    <n v="0"/>
    <n v="0"/>
    <n v="0"/>
    <m/>
  </r>
  <r>
    <x v="3"/>
    <x v="1"/>
    <x v="1"/>
    <x v="0"/>
    <d v="2019-11-15T00:00:00"/>
    <n v="6"/>
    <x v="0"/>
    <x v="83"/>
    <x v="15"/>
    <x v="340"/>
    <n v="0"/>
    <n v="0"/>
    <n v="0"/>
    <m/>
  </r>
  <r>
    <x v="3"/>
    <x v="1"/>
    <x v="1"/>
    <x v="0"/>
    <d v="2019-11-15T00:00:00"/>
    <n v="7"/>
    <x v="0"/>
    <x v="48"/>
    <x v="7"/>
    <x v="341"/>
    <n v="0"/>
    <n v="0"/>
    <n v="0"/>
    <m/>
  </r>
  <r>
    <x v="3"/>
    <x v="1"/>
    <x v="1"/>
    <x v="0"/>
    <d v="2019-11-15T00:00:00"/>
    <n v="8"/>
    <x v="0"/>
    <x v="21"/>
    <x v="17"/>
    <x v="166"/>
    <n v="0"/>
    <n v="0"/>
    <n v="0"/>
    <m/>
  </r>
  <r>
    <x v="3"/>
    <x v="1"/>
    <x v="1"/>
    <x v="0"/>
    <d v="2019-11-15T00:00:00"/>
    <n v="9"/>
    <x v="0"/>
    <x v="55"/>
    <x v="11"/>
    <x v="342"/>
    <n v="0"/>
    <n v="0"/>
    <n v="0"/>
    <m/>
  </r>
  <r>
    <x v="3"/>
    <x v="1"/>
    <x v="1"/>
    <x v="0"/>
    <d v="2019-11-15T00:00:00"/>
    <n v="10"/>
    <x v="0"/>
    <x v="65"/>
    <x v="14"/>
    <x v="343"/>
    <n v="0"/>
    <n v="0"/>
    <n v="0"/>
    <s v="sun-bleached"/>
  </r>
  <r>
    <x v="3"/>
    <x v="1"/>
    <x v="1"/>
    <x v="0"/>
    <d v="2019-11-15T00:00:00"/>
    <n v="11"/>
    <x v="0"/>
    <x v="11"/>
    <x v="12"/>
    <x v="344"/>
    <n v="0"/>
    <n v="0"/>
    <n v="0"/>
    <m/>
  </r>
  <r>
    <x v="3"/>
    <x v="1"/>
    <x v="1"/>
    <x v="0"/>
    <d v="2019-11-15T00:00:00"/>
    <n v="12"/>
    <x v="0"/>
    <x v="55"/>
    <x v="12"/>
    <x v="345"/>
    <n v="0"/>
    <n v="0"/>
    <n v="0"/>
    <m/>
  </r>
  <r>
    <x v="3"/>
    <x v="1"/>
    <x v="1"/>
    <x v="0"/>
    <d v="2019-11-15T00:00:00"/>
    <n v="13"/>
    <x v="0"/>
    <x v="104"/>
    <x v="8"/>
    <x v="310"/>
    <n v="0"/>
    <n v="0"/>
    <n v="0"/>
    <m/>
  </r>
  <r>
    <x v="3"/>
    <x v="1"/>
    <x v="1"/>
    <x v="0"/>
    <d v="2019-11-15T00:00:00"/>
    <n v="14"/>
    <x v="0"/>
    <x v="126"/>
    <x v="14"/>
    <x v="346"/>
    <n v="0"/>
    <n v="0"/>
    <n v="0"/>
    <m/>
  </r>
  <r>
    <x v="3"/>
    <x v="1"/>
    <x v="1"/>
    <x v="0"/>
    <d v="2019-11-15T00:00:00"/>
    <n v="15"/>
    <x v="0"/>
    <x v="53"/>
    <x v="11"/>
    <x v="328"/>
    <n v="0"/>
    <n v="0"/>
    <n v="0"/>
    <m/>
  </r>
  <r>
    <x v="3"/>
    <x v="1"/>
    <x v="1"/>
    <x v="0"/>
    <d v="2019-11-15T00:00:00"/>
    <n v="16"/>
    <x v="0"/>
    <x v="58"/>
    <x v="0"/>
    <x v="255"/>
    <n v="0"/>
    <n v="0"/>
    <n v="0"/>
    <m/>
  </r>
  <r>
    <x v="3"/>
    <x v="1"/>
    <x v="1"/>
    <x v="0"/>
    <d v="2019-11-15T00:00:00"/>
    <n v="17"/>
    <x v="0"/>
    <x v="108"/>
    <x v="28"/>
    <x v="347"/>
    <n v="0"/>
    <n v="0"/>
    <n v="0"/>
    <m/>
  </r>
  <r>
    <x v="3"/>
    <x v="1"/>
    <x v="1"/>
    <x v="0"/>
    <d v="2019-11-15T00:00:00"/>
    <n v="18"/>
    <x v="0"/>
    <x v="147"/>
    <x v="5"/>
    <x v="348"/>
    <n v="0"/>
    <n v="0"/>
    <n v="0"/>
    <m/>
  </r>
  <r>
    <x v="3"/>
    <x v="1"/>
    <x v="1"/>
    <x v="0"/>
    <d v="2019-11-15T00:00:00"/>
    <n v="19"/>
    <x v="0"/>
    <x v="122"/>
    <x v="10"/>
    <x v="349"/>
    <n v="0"/>
    <n v="0"/>
    <n v="0"/>
    <m/>
  </r>
  <r>
    <x v="3"/>
    <x v="1"/>
    <x v="1"/>
    <x v="0"/>
    <d v="2019-11-15T00:00:00"/>
    <n v="20"/>
    <x v="0"/>
    <x v="13"/>
    <x v="12"/>
    <x v="350"/>
    <n v="0"/>
    <n v="0"/>
    <n v="0"/>
    <m/>
  </r>
  <r>
    <x v="3"/>
    <x v="1"/>
    <x v="1"/>
    <x v="0"/>
    <d v="2019-11-15T00:00:00"/>
    <n v="21"/>
    <x v="0"/>
    <x v="108"/>
    <x v="27"/>
    <x v="351"/>
    <n v="0"/>
    <n v="0"/>
    <n v="0"/>
    <m/>
  </r>
  <r>
    <x v="3"/>
    <x v="2"/>
    <x v="1"/>
    <x v="1"/>
    <d v="2019-11-15T00:00:00"/>
    <n v="1"/>
    <x v="0"/>
    <x v="110"/>
    <x v="12"/>
    <x v="352"/>
    <n v="0"/>
    <n v="0"/>
    <n v="0"/>
    <m/>
  </r>
  <r>
    <x v="3"/>
    <x v="2"/>
    <x v="1"/>
    <x v="1"/>
    <d v="2019-11-15T00:00:00"/>
    <n v="2"/>
    <x v="0"/>
    <x v="113"/>
    <x v="12"/>
    <x v="290"/>
    <n v="0"/>
    <n v="0"/>
    <n v="0"/>
    <m/>
  </r>
  <r>
    <x v="3"/>
    <x v="2"/>
    <x v="1"/>
    <x v="1"/>
    <d v="2019-11-15T00:00:00"/>
    <n v="3"/>
    <x v="0"/>
    <x v="113"/>
    <x v="0"/>
    <x v="353"/>
    <n v="0"/>
    <n v="0"/>
    <n v="0"/>
    <m/>
  </r>
  <r>
    <x v="3"/>
    <x v="2"/>
    <x v="1"/>
    <x v="1"/>
    <d v="2019-11-15T00:00:00"/>
    <n v="4"/>
    <x v="0"/>
    <x v="113"/>
    <x v="34"/>
    <x v="354"/>
    <n v="0"/>
    <n v="0"/>
    <n v="1"/>
    <m/>
  </r>
  <r>
    <x v="3"/>
    <x v="2"/>
    <x v="1"/>
    <x v="1"/>
    <d v="2019-11-15T00:00:00"/>
    <n v="5"/>
    <x v="0"/>
    <x v="66"/>
    <x v="22"/>
    <x v="355"/>
    <n v="0"/>
    <n v="0"/>
    <n v="0"/>
    <m/>
  </r>
  <r>
    <x v="3"/>
    <x v="2"/>
    <x v="1"/>
    <x v="1"/>
    <d v="2019-11-15T00:00:00"/>
    <n v="6"/>
    <x v="0"/>
    <x v="77"/>
    <x v="9"/>
    <x v="356"/>
    <n v="0"/>
    <n v="0"/>
    <n v="0"/>
    <m/>
  </r>
  <r>
    <x v="3"/>
    <x v="2"/>
    <x v="1"/>
    <x v="1"/>
    <d v="2019-11-15T00:00:00"/>
    <n v="7"/>
    <x v="0"/>
    <x v="87"/>
    <x v="17"/>
    <x v="252"/>
    <n v="0"/>
    <n v="0"/>
    <n v="1"/>
    <m/>
  </r>
  <r>
    <x v="3"/>
    <x v="2"/>
    <x v="1"/>
    <x v="1"/>
    <d v="2019-11-15T00:00:00"/>
    <n v="8"/>
    <x v="0"/>
    <x v="66"/>
    <x v="4"/>
    <x v="357"/>
    <n v="0"/>
    <n v="0"/>
    <n v="0"/>
    <m/>
  </r>
  <r>
    <x v="3"/>
    <x v="2"/>
    <x v="1"/>
    <x v="1"/>
    <d v="2019-11-15T00:00:00"/>
    <n v="9"/>
    <x v="0"/>
    <x v="109"/>
    <x v="4"/>
    <x v="358"/>
    <n v="0"/>
    <n v="0"/>
    <n v="1"/>
    <s v="multi-stemmed"/>
  </r>
  <r>
    <x v="3"/>
    <x v="2"/>
    <x v="1"/>
    <x v="1"/>
    <d v="2019-11-15T00:00:00"/>
    <n v="10"/>
    <x v="0"/>
    <x v="148"/>
    <x v="12"/>
    <x v="359"/>
    <n v="0"/>
    <n v="0"/>
    <n v="0"/>
    <m/>
  </r>
  <r>
    <x v="3"/>
    <x v="2"/>
    <x v="1"/>
    <x v="1"/>
    <d v="2019-11-15T00:00:00"/>
    <n v="11"/>
    <x v="0"/>
    <x v="68"/>
    <x v="10"/>
    <x v="360"/>
    <n v="0"/>
    <n v="0"/>
    <n v="0"/>
    <m/>
  </r>
  <r>
    <x v="3"/>
    <x v="2"/>
    <x v="1"/>
    <x v="1"/>
    <d v="2019-11-15T00:00:00"/>
    <n v="12"/>
    <x v="0"/>
    <x v="34"/>
    <x v="18"/>
    <x v="91"/>
    <n v="0"/>
    <n v="0"/>
    <n v="1"/>
    <m/>
  </r>
  <r>
    <x v="3"/>
    <x v="2"/>
    <x v="1"/>
    <x v="1"/>
    <d v="2019-11-15T00:00:00"/>
    <n v="13"/>
    <x v="0"/>
    <x v="95"/>
    <x v="15"/>
    <x v="193"/>
    <n v="0"/>
    <n v="0"/>
    <n v="1"/>
    <m/>
  </r>
  <r>
    <x v="3"/>
    <x v="2"/>
    <x v="1"/>
    <x v="1"/>
    <d v="2019-11-15T00:00:00"/>
    <n v="14"/>
    <x v="0"/>
    <x v="116"/>
    <x v="13"/>
    <x v="361"/>
    <n v="0"/>
    <n v="0"/>
    <n v="0"/>
    <m/>
  </r>
  <r>
    <x v="3"/>
    <x v="2"/>
    <x v="1"/>
    <x v="1"/>
    <d v="2019-11-15T00:00:00"/>
    <n v="15"/>
    <x v="0"/>
    <x v="53"/>
    <x v="2"/>
    <x v="362"/>
    <n v="0"/>
    <n v="0"/>
    <n v="0"/>
    <m/>
  </r>
  <r>
    <x v="3"/>
    <x v="2"/>
    <x v="1"/>
    <x v="1"/>
    <d v="2019-11-15T00:00:00"/>
    <n v="16"/>
    <x v="0"/>
    <x v="26"/>
    <x v="25"/>
    <x v="363"/>
    <n v="0"/>
    <n v="0"/>
    <n v="0"/>
    <m/>
  </r>
  <r>
    <x v="3"/>
    <x v="2"/>
    <x v="1"/>
    <x v="1"/>
    <d v="2019-11-15T00:00:00"/>
    <n v="17"/>
    <x v="0"/>
    <x v="95"/>
    <x v="13"/>
    <x v="364"/>
    <n v="0"/>
    <n v="0"/>
    <n v="0"/>
    <m/>
  </r>
  <r>
    <x v="3"/>
    <x v="2"/>
    <x v="1"/>
    <x v="1"/>
    <d v="2019-11-15T00:00:00"/>
    <n v="18"/>
    <x v="0"/>
    <x v="94"/>
    <x v="15"/>
    <x v="324"/>
    <n v="0"/>
    <n v="0"/>
    <n v="1"/>
    <m/>
  </r>
  <r>
    <x v="3"/>
    <x v="2"/>
    <x v="1"/>
    <x v="1"/>
    <d v="2019-11-15T00:00:00"/>
    <n v="19"/>
    <x v="0"/>
    <x v="27"/>
    <x v="1"/>
    <x v="365"/>
    <n v="0"/>
    <n v="0"/>
    <n v="0"/>
    <m/>
  </r>
  <r>
    <x v="3"/>
    <x v="2"/>
    <x v="1"/>
    <x v="1"/>
    <d v="2019-11-15T00:00:00"/>
    <n v="20"/>
    <x v="0"/>
    <x v="68"/>
    <x v="11"/>
    <x v="366"/>
    <n v="0"/>
    <n v="0"/>
    <n v="1"/>
    <m/>
  </r>
  <r>
    <x v="3"/>
    <x v="2"/>
    <x v="1"/>
    <x v="1"/>
    <d v="2019-11-15T00:00:00"/>
    <n v="21"/>
    <x v="0"/>
    <x v="71"/>
    <x v="5"/>
    <x v="367"/>
    <n v="0"/>
    <n v="0"/>
    <n v="0"/>
    <m/>
  </r>
  <r>
    <x v="3"/>
    <x v="2"/>
    <x v="1"/>
    <x v="1"/>
    <d v="2019-11-15T00:00:00"/>
    <n v="22"/>
    <x v="0"/>
    <x v="116"/>
    <x v="7"/>
    <x v="368"/>
    <n v="0"/>
    <n v="0"/>
    <n v="1"/>
    <m/>
  </r>
  <r>
    <x v="3"/>
    <x v="2"/>
    <x v="1"/>
    <x v="1"/>
    <d v="2019-11-15T00:00:00"/>
    <n v="23"/>
    <x v="0"/>
    <x v="145"/>
    <x v="35"/>
    <x v="369"/>
    <n v="0"/>
    <n v="0"/>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I24" firstHeaderRow="0" firstDataRow="1" firstDataCol="1" rowPageCount="1" colPageCount="1"/>
  <pivotFields count="14">
    <pivotField axis="axisRow" showAll="0">
      <items count="5">
        <item x="1"/>
        <item x="0"/>
        <item x="2"/>
        <item x="3"/>
        <item t="default"/>
      </items>
    </pivotField>
    <pivotField axis="axisRow" showAll="0">
      <items count="5">
        <item x="0"/>
        <item x="1"/>
        <item x="2"/>
        <item x="3"/>
        <item t="default"/>
      </items>
    </pivotField>
    <pivotField showAll="0">
      <items count="3">
        <item x="1"/>
        <item x="0"/>
        <item t="default"/>
      </items>
    </pivotField>
    <pivotField showAll="0">
      <items count="3">
        <item x="1"/>
        <item x="0"/>
        <item t="default"/>
      </items>
    </pivotField>
    <pivotField numFmtId="14" showAll="0"/>
    <pivotField showAll="0"/>
    <pivotField axis="axisPage" dataField="1" multipleItemSelectionAllowed="1" showAll="0">
      <items count="6">
        <item h="1" x="2"/>
        <item h="1" x="3"/>
        <item h="1" x="1"/>
        <item x="0"/>
        <item h="1" x="4"/>
        <item t="default"/>
      </items>
    </pivotField>
    <pivotField dataField="1" showAll="0">
      <items count="150">
        <item x="41"/>
        <item x="78"/>
        <item x="81"/>
        <item x="45"/>
        <item x="79"/>
        <item x="74"/>
        <item x="80"/>
        <item x="76"/>
        <item x="44"/>
        <item x="93"/>
        <item x="72"/>
        <item x="75"/>
        <item x="92"/>
        <item x="40"/>
        <item x="128"/>
        <item x="38"/>
        <item x="77"/>
        <item x="118"/>
        <item x="43"/>
        <item x="98"/>
        <item x="73"/>
        <item x="105"/>
        <item x="31"/>
        <item x="89"/>
        <item x="90"/>
        <item x="42"/>
        <item x="106"/>
        <item x="119"/>
        <item x="112"/>
        <item x="68"/>
        <item x="107"/>
        <item x="34"/>
        <item x="109"/>
        <item x="131"/>
        <item x="115"/>
        <item x="117"/>
        <item x="84"/>
        <item x="70"/>
        <item x="36"/>
        <item x="91"/>
        <item x="88"/>
        <item x="85"/>
        <item x="97"/>
        <item x="114"/>
        <item x="21"/>
        <item x="39"/>
        <item x="123"/>
        <item x="26"/>
        <item x="35"/>
        <item x="87"/>
        <item x="95"/>
        <item x="96"/>
        <item x="28"/>
        <item x="102"/>
        <item x="86"/>
        <item x="94"/>
        <item x="116"/>
        <item x="99"/>
        <item x="83"/>
        <item x="111"/>
        <item x="32"/>
        <item x="66"/>
        <item x="113"/>
        <item x="16"/>
        <item x="24"/>
        <item x="127"/>
        <item x="110"/>
        <item x="69"/>
        <item x="37"/>
        <item x="27"/>
        <item x="65"/>
        <item x="108"/>
        <item x="67"/>
        <item x="18"/>
        <item x="101"/>
        <item x="126"/>
        <item x="33"/>
        <item x="71"/>
        <item x="148"/>
        <item x="14"/>
        <item x="122"/>
        <item x="19"/>
        <item x="22"/>
        <item x="30"/>
        <item x="23"/>
        <item x="51"/>
        <item x="12"/>
        <item x="13"/>
        <item x="29"/>
        <item x="53"/>
        <item x="103"/>
        <item x="143"/>
        <item x="120"/>
        <item x="100"/>
        <item x="0"/>
        <item x="64"/>
        <item x="61"/>
        <item x="129"/>
        <item x="145"/>
        <item x="62"/>
        <item x="130"/>
        <item x="25"/>
        <item x="125"/>
        <item x="56"/>
        <item x="17"/>
        <item x="60"/>
        <item x="82"/>
        <item x="134"/>
        <item x="8"/>
        <item x="55"/>
        <item x="11"/>
        <item x="146"/>
        <item x="49"/>
        <item x="20"/>
        <item x="124"/>
        <item x="63"/>
        <item x="6"/>
        <item x="5"/>
        <item x="9"/>
        <item x="104"/>
        <item x="58"/>
        <item x="57"/>
        <item x="52"/>
        <item x="142"/>
        <item x="46"/>
        <item x="138"/>
        <item x="15"/>
        <item x="10"/>
        <item x="137"/>
        <item x="59"/>
        <item x="147"/>
        <item x="7"/>
        <item x="47"/>
        <item x="50"/>
        <item x="139"/>
        <item x="4"/>
        <item x="132"/>
        <item x="48"/>
        <item x="140"/>
        <item x="3"/>
        <item x="121"/>
        <item x="1"/>
        <item x="2"/>
        <item x="54"/>
        <item x="136"/>
        <item x="144"/>
        <item x="141"/>
        <item x="135"/>
        <item x="133"/>
        <item t="default"/>
      </items>
    </pivotField>
    <pivotField dataField="1" showAll="0">
      <items count="37">
        <item x="21"/>
        <item x="20"/>
        <item x="19"/>
        <item x="18"/>
        <item x="17"/>
        <item x="16"/>
        <item x="25"/>
        <item x="15"/>
        <item x="28"/>
        <item x="14"/>
        <item x="13"/>
        <item x="27"/>
        <item x="12"/>
        <item x="33"/>
        <item x="11"/>
        <item x="10"/>
        <item x="34"/>
        <item x="9"/>
        <item x="23"/>
        <item x="8"/>
        <item x="0"/>
        <item x="7"/>
        <item x="6"/>
        <item x="5"/>
        <item x="26"/>
        <item x="4"/>
        <item x="22"/>
        <item x="3"/>
        <item x="24"/>
        <item x="32"/>
        <item x="31"/>
        <item x="2"/>
        <item x="1"/>
        <item x="35"/>
        <item x="29"/>
        <item x="30"/>
        <item t="default"/>
      </items>
    </pivotField>
    <pivotField dataField="1" showAll="0">
      <items count="371">
        <item x="99"/>
        <item x="102"/>
        <item x="49"/>
        <item x="100"/>
        <item x="101"/>
        <item x="187"/>
        <item x="48"/>
        <item x="153"/>
        <item x="97"/>
        <item x="154"/>
        <item x="212"/>
        <item x="98"/>
        <item x="215"/>
        <item x="44"/>
        <item x="191"/>
        <item x="95"/>
        <item x="233"/>
        <item x="47"/>
        <item x="93"/>
        <item x="96"/>
        <item x="155"/>
        <item x="257"/>
        <item x="188"/>
        <item x="264"/>
        <item x="92"/>
        <item x="262"/>
        <item x="94"/>
        <item x="127"/>
        <item x="126"/>
        <item x="90"/>
        <item x="202"/>
        <item x="192"/>
        <item x="125"/>
        <item x="152"/>
        <item x="256"/>
        <item x="199"/>
        <item x="128"/>
        <item x="46"/>
        <item x="150"/>
        <item x="246"/>
        <item x="151"/>
        <item x="45"/>
        <item x="147"/>
        <item x="149"/>
        <item x="43"/>
        <item x="91"/>
        <item x="263"/>
        <item x="143"/>
        <item x="211"/>
        <item x="144"/>
        <item x="224"/>
        <item x="186"/>
        <item x="196"/>
        <item x="145"/>
        <item x="258"/>
        <item x="41"/>
        <item x="122"/>
        <item x="148"/>
        <item x="124"/>
        <item x="285"/>
        <item x="230"/>
        <item x="88"/>
        <item x="141"/>
        <item x="123"/>
        <item x="40"/>
        <item x="265"/>
        <item x="183"/>
        <item x="166"/>
        <item x="42"/>
        <item x="288"/>
        <item x="223"/>
        <item x="252"/>
        <item x="231"/>
        <item x="327"/>
        <item x="232"/>
        <item x="271"/>
        <item x="142"/>
        <item x="146"/>
        <item x="210"/>
        <item x="259"/>
        <item x="280"/>
        <item x="117"/>
        <item x="334"/>
        <item x="119"/>
        <item x="121"/>
        <item x="163"/>
        <item x="286"/>
        <item x="281"/>
        <item x="114"/>
        <item x="229"/>
        <item x="161"/>
        <item x="287"/>
        <item x="204"/>
        <item x="86"/>
        <item x="195"/>
        <item x="321"/>
        <item x="89"/>
        <item x="207"/>
        <item x="213"/>
        <item x="120"/>
        <item x="284"/>
        <item x="289"/>
        <item x="214"/>
        <item x="158"/>
        <item x="220"/>
        <item x="38"/>
        <item x="363"/>
        <item x="331"/>
        <item x="140"/>
        <item x="216"/>
        <item x="206"/>
        <item x="36"/>
        <item x="39"/>
        <item x="218"/>
        <item x="198"/>
        <item x="190"/>
        <item x="37"/>
        <item x="32"/>
        <item x="193"/>
        <item x="208"/>
        <item x="176"/>
        <item x="324"/>
        <item x="138"/>
        <item x="171"/>
        <item x="113"/>
        <item x="340"/>
        <item x="219"/>
        <item x="333"/>
        <item x="139"/>
        <item x="118"/>
        <item x="330"/>
        <item x="116"/>
        <item x="174"/>
        <item x="87"/>
        <item x="291"/>
        <item x="170"/>
        <item x="194"/>
        <item x="268"/>
        <item x="112"/>
        <item x="175"/>
        <item x="267"/>
        <item x="33"/>
        <item x="217"/>
        <item x="347"/>
        <item x="245"/>
        <item x="276"/>
        <item x="173"/>
        <item x="137"/>
        <item x="107"/>
        <item x="111"/>
        <item x="243"/>
        <item x="364"/>
        <item x="332"/>
        <item x="277"/>
        <item x="269"/>
        <item x="329"/>
        <item x="84"/>
        <item x="343"/>
        <item x="356"/>
        <item x="366"/>
        <item x="136"/>
        <item x="109"/>
        <item x="85"/>
        <item x="361"/>
        <item x="273"/>
        <item x="346"/>
        <item x="282"/>
        <item x="34"/>
        <item x="278"/>
        <item x="225"/>
        <item x="106"/>
        <item x="35"/>
        <item x="27"/>
        <item x="115"/>
        <item x="236"/>
        <item x="132"/>
        <item x="360"/>
        <item x="134"/>
        <item x="29"/>
        <item x="314"/>
        <item x="110"/>
        <item x="295"/>
        <item x="135"/>
        <item x="222"/>
        <item x="83"/>
        <item x="133"/>
        <item x="203"/>
        <item x="234"/>
        <item x="240"/>
        <item x="80"/>
        <item x="131"/>
        <item x="290"/>
        <item x="283"/>
        <item x="165"/>
        <item x="351"/>
        <item x="25"/>
        <item x="31"/>
        <item x="352"/>
        <item x="30"/>
        <item x="108"/>
        <item x="28"/>
        <item x="22"/>
        <item x="275"/>
        <item x="81"/>
        <item x="82"/>
        <item x="335"/>
        <item x="249"/>
        <item x="325"/>
        <item x="359"/>
        <item x="180"/>
        <item x="322"/>
        <item x="320"/>
        <item x="350"/>
        <item x="209"/>
        <item x="250"/>
        <item x="338"/>
        <item x="181"/>
        <item x="79"/>
        <item x="105"/>
        <item x="326"/>
        <item x="160"/>
        <item x="201"/>
        <item x="159"/>
        <item x="306"/>
        <item x="168"/>
        <item x="130"/>
        <item x="205"/>
        <item x="178"/>
        <item x="177"/>
        <item x="228"/>
        <item x="253"/>
        <item x="26"/>
        <item x="261"/>
        <item x="200"/>
        <item x="23"/>
        <item x="24"/>
        <item x="354"/>
        <item x="73"/>
        <item x="328"/>
        <item x="345"/>
        <item x="344"/>
        <item x="19"/>
        <item x="297"/>
        <item x="292"/>
        <item x="169"/>
        <item x="17"/>
        <item x="164"/>
        <item x="179"/>
        <item x="157"/>
        <item x="318"/>
        <item x="129"/>
        <item x="349"/>
        <item x="20"/>
        <item x="247"/>
        <item x="76"/>
        <item x="197"/>
        <item x="75"/>
        <item x="298"/>
        <item x="342"/>
        <item x="226"/>
        <item x="69"/>
        <item x="78"/>
        <item x="72"/>
        <item x="15"/>
        <item x="162"/>
        <item x="74"/>
        <item x="272"/>
        <item x="71"/>
        <item x="184"/>
        <item x="70"/>
        <item x="358"/>
        <item x="353"/>
        <item x="221"/>
        <item x="235"/>
        <item x="368"/>
        <item x="63"/>
        <item x="242"/>
        <item x="21"/>
        <item x="77"/>
        <item x="251"/>
        <item x="12"/>
        <item x="14"/>
        <item x="18"/>
        <item x="260"/>
        <item x="239"/>
        <item x="182"/>
        <item x="323"/>
        <item x="13"/>
        <item x="254"/>
        <item x="237"/>
        <item x="172"/>
        <item x="104"/>
        <item x="279"/>
        <item x="67"/>
        <item x="319"/>
        <item x="64"/>
        <item x="0"/>
        <item x="227"/>
        <item x="11"/>
        <item x="16"/>
        <item x="315"/>
        <item x="336"/>
        <item x="60"/>
        <item x="68"/>
        <item x="310"/>
        <item x="66"/>
        <item x="357"/>
        <item x="65"/>
        <item x="313"/>
        <item x="62"/>
        <item x="270"/>
        <item x="58"/>
        <item x="296"/>
        <item x="367"/>
        <item x="355"/>
        <item x="255"/>
        <item x="156"/>
        <item x="304"/>
        <item x="266"/>
        <item x="189"/>
        <item x="56"/>
        <item x="238"/>
        <item x="55"/>
        <item x="339"/>
        <item x="10"/>
        <item x="59"/>
        <item x="167"/>
        <item x="9"/>
        <item x="248"/>
        <item x="8"/>
        <item x="57"/>
        <item x="185"/>
        <item x="341"/>
        <item x="299"/>
        <item x="274"/>
        <item x="6"/>
        <item x="5"/>
        <item x="307"/>
        <item x="61"/>
        <item x="53"/>
        <item x="316"/>
        <item x="103"/>
        <item x="348"/>
        <item x="7"/>
        <item x="241"/>
        <item x="317"/>
        <item x="309"/>
        <item x="312"/>
        <item x="54"/>
        <item x="365"/>
        <item x="4"/>
        <item x="293"/>
        <item x="303"/>
        <item x="50"/>
        <item x="362"/>
        <item x="244"/>
        <item x="52"/>
        <item x="51"/>
        <item x="337"/>
        <item x="308"/>
        <item x="3"/>
        <item x="301"/>
        <item x="302"/>
        <item x="369"/>
        <item x="311"/>
        <item x="305"/>
        <item x="2"/>
        <item x="1"/>
        <item x="294"/>
        <item x="300"/>
        <item t="default"/>
      </items>
    </pivotField>
    <pivotField showAll="0"/>
    <pivotField showAll="0"/>
    <pivotField showAll="0"/>
    <pivotField showAl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7">
    <i>
      <x/>
    </i>
    <i i="1">
      <x v="1"/>
    </i>
    <i i="2">
      <x v="2"/>
    </i>
    <i i="3">
      <x v="3"/>
    </i>
    <i i="4">
      <x v="4"/>
    </i>
    <i i="5">
      <x v="5"/>
    </i>
    <i i="6">
      <x v="6"/>
    </i>
  </colItems>
  <pageFields count="1">
    <pageField fld="6" hier="-1"/>
  </pageFields>
  <dataFields count="7">
    <dataField name="Average of SeedlingHTcm" fld="7" subtotal="average" baseField="0" baseItem="0"/>
    <dataField name="StdDev of SeedlingHTcm" fld="7" subtotal="stdDev" baseField="0" baseItem="0"/>
    <dataField name="Average of SeedlingDBmm" fld="8" subtotal="average" baseField="0" baseItem="0"/>
    <dataField name="StdDev of SeedlingDBmm" fld="8" subtotal="stdDev" baseField="0" baseItem="0"/>
    <dataField name="Average of SeedlingVolumecm^3" fld="9" subtotal="average" baseField="0" baseItem="0"/>
    <dataField name="StdDev of SeedlingVolumecm^3" fld="9" subtotal="stdDev" baseField="0" baseItem="0"/>
    <dataField name="Count of SeedlingSP"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5" firstHeaderRow="1" firstDataRow="1" firstDataCol="1"/>
  <pivotFields count="14">
    <pivotField axis="axisRow" showAll="0">
      <items count="5">
        <item x="1"/>
        <item x="0"/>
        <item x="2"/>
        <item x="3"/>
        <item t="default"/>
      </items>
    </pivotField>
    <pivotField axis="axisRow" showAll="0">
      <items count="5">
        <item x="0"/>
        <item x="1"/>
        <item x="2"/>
        <item x="3"/>
        <item t="default"/>
      </items>
    </pivotField>
    <pivotField showAll="0"/>
    <pivotField showAll="0"/>
    <pivotField numFmtId="14" showAll="0"/>
    <pivotField showAll="0"/>
    <pivotField axis="axisRow" dataField="1" multipleItemSelectionAllowed="1" showAll="0">
      <items count="6">
        <item x="2"/>
        <item x="3"/>
        <item x="1"/>
        <item h="1" x="0"/>
        <item x="4"/>
        <item t="default"/>
      </items>
    </pivotField>
    <pivotField showAll="0"/>
    <pivotField showAll="0"/>
    <pivotField showAll="0"/>
    <pivotField showAll="0"/>
    <pivotField showAll="0"/>
    <pivotField showAll="0"/>
    <pivotField showAll="0"/>
  </pivotFields>
  <rowFields count="3">
    <field x="0"/>
    <field x="1"/>
    <field x="6"/>
  </rowFields>
  <rowItems count="32">
    <i>
      <x/>
    </i>
    <i r="1">
      <x/>
    </i>
    <i r="2">
      <x/>
    </i>
    <i r="1">
      <x v="1"/>
    </i>
    <i r="2">
      <x/>
    </i>
    <i r="1">
      <x v="2"/>
    </i>
    <i r="2">
      <x/>
    </i>
    <i r="1">
      <x v="3"/>
    </i>
    <i r="2">
      <x/>
    </i>
    <i>
      <x v="1"/>
    </i>
    <i r="1">
      <x/>
    </i>
    <i r="2">
      <x/>
    </i>
    <i r="2">
      <x v="2"/>
    </i>
    <i r="1">
      <x v="1"/>
    </i>
    <i r="2">
      <x/>
    </i>
    <i r="1">
      <x v="2"/>
    </i>
    <i r="2">
      <x/>
    </i>
    <i r="2">
      <x v="1"/>
    </i>
    <i r="2">
      <x v="4"/>
    </i>
    <i r="1">
      <x v="3"/>
    </i>
    <i r="2">
      <x/>
    </i>
    <i r="2">
      <x v="1"/>
    </i>
    <i r="2">
      <x v="2"/>
    </i>
    <i r="2">
      <x v="4"/>
    </i>
    <i>
      <x v="2"/>
    </i>
    <i r="1">
      <x/>
    </i>
    <i r="2">
      <x/>
    </i>
    <i r="1">
      <x v="1"/>
    </i>
    <i r="2">
      <x/>
    </i>
    <i r="1">
      <x v="3"/>
    </i>
    <i r="2">
      <x/>
    </i>
    <i t="grand">
      <x/>
    </i>
  </rowItems>
  <colItems count="1">
    <i/>
  </colItems>
  <dataFields count="1">
    <dataField name="Count of SeedlingSP"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8" firstHeaderRow="0" firstDataRow="1" firstDataCol="1" rowPageCount="1" colPageCount="1"/>
  <pivotFields count="14">
    <pivotField axis="axisRow" showAll="0">
      <items count="5">
        <item x="1"/>
        <item x="0"/>
        <item x="2"/>
        <item x="3"/>
        <item t="default"/>
      </items>
    </pivotField>
    <pivotField showAll="0"/>
    <pivotField showAll="0"/>
    <pivotField showAll="0"/>
    <pivotField numFmtId="14" showAll="0"/>
    <pivotField showAll="0"/>
    <pivotField axis="axisPage" dataField="1" showAll="0">
      <items count="6">
        <item x="2"/>
        <item x="3"/>
        <item x="1"/>
        <item x="0"/>
        <item x="4"/>
        <item t="default"/>
      </items>
    </pivotField>
    <pivotField dataField="1" showAll="0"/>
    <pivotField dataField="1" showAll="0"/>
    <pivotField dataField="1" showAll="0"/>
    <pivotField showAll="0"/>
    <pivotField showAll="0"/>
    <pivotField showAll="0"/>
    <pivotField showAll="0"/>
  </pivotFields>
  <rowFields count="1">
    <field x="0"/>
  </rowFields>
  <rowItems count="5">
    <i>
      <x/>
    </i>
    <i>
      <x v="1"/>
    </i>
    <i>
      <x v="2"/>
    </i>
    <i>
      <x v="3"/>
    </i>
    <i t="grand">
      <x/>
    </i>
  </rowItems>
  <colFields count="1">
    <field x="-2"/>
  </colFields>
  <colItems count="7">
    <i>
      <x/>
    </i>
    <i i="1">
      <x v="1"/>
    </i>
    <i i="2">
      <x v="2"/>
    </i>
    <i i="3">
      <x v="3"/>
    </i>
    <i i="4">
      <x v="4"/>
    </i>
    <i i="5">
      <x v="5"/>
    </i>
    <i i="6">
      <x v="6"/>
    </i>
  </colItems>
  <pageFields count="1">
    <pageField fld="6" item="3" hier="-1"/>
  </pageFields>
  <dataFields count="7">
    <dataField name="Count of SeedlingSP" fld="6" subtotal="count" baseField="0" baseItem="0"/>
    <dataField name="Average of SeedlingHTcm" fld="7" subtotal="average" baseField="0" baseItem="0"/>
    <dataField name="StdDev of SeedlingHTcm" fld="7" subtotal="stdDev" baseField="0" baseItem="0"/>
    <dataField name="Average of SeedlingDBmm" fld="8" subtotal="average" baseField="0" baseItem="0"/>
    <dataField name="StdDev of SeedlingDBmm2" fld="8" subtotal="stdDev" baseField="0" baseItem="0"/>
    <dataField name="Average of SeedlingVolumecm^3" fld="9" subtotal="average" baseField="0" baseItem="0"/>
    <dataField name="StdDev of SeedlingVolumecm^3_2" fld="9"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C16" sqref="C16"/>
    </sheetView>
  </sheetViews>
  <sheetFormatPr defaultColWidth="11" defaultRowHeight="15.75" x14ac:dyDescent="0.25"/>
  <cols>
    <col min="2" max="2" width="18.875" bestFit="1" customWidth="1"/>
    <col min="5" max="5" width="57.125" style="13" customWidth="1"/>
  </cols>
  <sheetData>
    <row r="1" spans="1:5" x14ac:dyDescent="0.25">
      <c r="A1" t="s">
        <v>2</v>
      </c>
      <c r="B1" t="s">
        <v>5</v>
      </c>
      <c r="C1" t="s">
        <v>3</v>
      </c>
      <c r="D1" t="s">
        <v>4</v>
      </c>
      <c r="E1" s="13" t="s">
        <v>6</v>
      </c>
    </row>
    <row r="2" spans="1:5" ht="47.25" x14ac:dyDescent="0.25">
      <c r="A2" t="s">
        <v>41</v>
      </c>
      <c r="B2" t="s">
        <v>42</v>
      </c>
      <c r="C2" s="12">
        <v>43763</v>
      </c>
      <c r="E2" s="13" t="s">
        <v>43</v>
      </c>
    </row>
    <row r="3" spans="1:5" ht="63" x14ac:dyDescent="0.25">
      <c r="A3" t="s">
        <v>46</v>
      </c>
      <c r="B3" t="s">
        <v>44</v>
      </c>
      <c r="C3" s="12">
        <v>43763</v>
      </c>
      <c r="E3" s="13" t="s">
        <v>45</v>
      </c>
    </row>
    <row r="4" spans="1:5" x14ac:dyDescent="0.25">
      <c r="A4" t="s">
        <v>47</v>
      </c>
      <c r="B4" t="s">
        <v>49</v>
      </c>
      <c r="C4" s="12">
        <v>43763</v>
      </c>
      <c r="E4" s="13" t="s">
        <v>56</v>
      </c>
    </row>
    <row r="5" spans="1:5" x14ac:dyDescent="0.25">
      <c r="A5" t="s">
        <v>48</v>
      </c>
      <c r="B5" t="s">
        <v>62</v>
      </c>
      <c r="C5" s="12">
        <v>43763</v>
      </c>
    </row>
    <row r="6" spans="1:5" ht="63" x14ac:dyDescent="0.25">
      <c r="A6" t="s">
        <v>51</v>
      </c>
      <c r="B6" t="s">
        <v>44</v>
      </c>
      <c r="C6" s="12">
        <v>43784</v>
      </c>
      <c r="E6" s="13" t="s">
        <v>52</v>
      </c>
    </row>
    <row r="7" spans="1:5" ht="31.5" x14ac:dyDescent="0.25">
      <c r="A7" t="s">
        <v>53</v>
      </c>
      <c r="B7" t="s">
        <v>42</v>
      </c>
      <c r="C7" s="12">
        <v>43784</v>
      </c>
      <c r="E7" s="13" t="s">
        <v>54</v>
      </c>
    </row>
    <row r="8" spans="1:5" ht="78.75" x14ac:dyDescent="0.25">
      <c r="A8" t="s">
        <v>55</v>
      </c>
      <c r="B8" t="s">
        <v>49</v>
      </c>
      <c r="C8" s="12">
        <v>43784</v>
      </c>
      <c r="E8" s="13" t="s">
        <v>57</v>
      </c>
    </row>
    <row r="9" spans="1:5" ht="63" x14ac:dyDescent="0.25">
      <c r="A9" t="s">
        <v>58</v>
      </c>
      <c r="B9" t="s">
        <v>62</v>
      </c>
      <c r="C9" s="12">
        <v>43784</v>
      </c>
      <c r="E9" s="13" t="s">
        <v>59</v>
      </c>
    </row>
    <row r="10" spans="1:5" ht="63" x14ac:dyDescent="0.25">
      <c r="A10" t="s">
        <v>60</v>
      </c>
      <c r="B10" t="s">
        <v>62</v>
      </c>
      <c r="C10" s="12">
        <v>43784</v>
      </c>
      <c r="E10" s="13" t="s">
        <v>61</v>
      </c>
    </row>
    <row r="11" spans="1:5" ht="47.25" x14ac:dyDescent="0.25">
      <c r="A11" t="s">
        <v>63</v>
      </c>
      <c r="B11" t="s">
        <v>44</v>
      </c>
      <c r="C11" s="12">
        <v>43784</v>
      </c>
      <c r="E11" s="13" t="s">
        <v>64</v>
      </c>
    </row>
    <row r="12" spans="1:5" ht="63" x14ac:dyDescent="0.25">
      <c r="A12" t="s">
        <v>65</v>
      </c>
      <c r="B12" t="s">
        <v>49</v>
      </c>
      <c r="C12" s="12">
        <v>43784</v>
      </c>
      <c r="E12" s="13" t="s">
        <v>66</v>
      </c>
    </row>
    <row r="13" spans="1:5" ht="47.25" x14ac:dyDescent="0.25">
      <c r="A13" t="s">
        <v>67</v>
      </c>
      <c r="B13" t="s">
        <v>42</v>
      </c>
      <c r="C13" s="12">
        <v>43784</v>
      </c>
      <c r="E13" s="13" t="s">
        <v>68</v>
      </c>
    </row>
    <row r="14" spans="1:5" ht="47.25" x14ac:dyDescent="0.25">
      <c r="A14" t="s">
        <v>69</v>
      </c>
      <c r="B14" t="s">
        <v>62</v>
      </c>
      <c r="C14" s="12">
        <v>43784</v>
      </c>
      <c r="E14" s="13" t="s">
        <v>70</v>
      </c>
    </row>
    <row r="15" spans="1:5" ht="47.25" x14ac:dyDescent="0.25">
      <c r="A15" t="s">
        <v>71</v>
      </c>
      <c r="B15" t="s">
        <v>49</v>
      </c>
      <c r="C15" s="12">
        <v>43784</v>
      </c>
      <c r="E15" s="13" t="s">
        <v>72</v>
      </c>
    </row>
    <row r="16" spans="1:5" ht="63" x14ac:dyDescent="0.25">
      <c r="A16" t="s">
        <v>73</v>
      </c>
      <c r="B16" t="s">
        <v>42</v>
      </c>
      <c r="C16" s="12">
        <v>43784</v>
      </c>
      <c r="E16" s="13" t="s">
        <v>74</v>
      </c>
    </row>
    <row r="17" spans="1:5" ht="69" customHeight="1" x14ac:dyDescent="0.25">
      <c r="A17" t="s">
        <v>75</v>
      </c>
      <c r="B17" t="s">
        <v>44</v>
      </c>
      <c r="C17" s="12">
        <v>43784</v>
      </c>
      <c r="E17" s="13"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9"/>
  <sheetViews>
    <sheetView tabSelected="1" workbookViewId="0">
      <pane ySplit="1" topLeftCell="A41" activePane="bottomLeft" state="frozen"/>
      <selection pane="bottomLeft" activeCell="I360" sqref="I360"/>
    </sheetView>
  </sheetViews>
  <sheetFormatPr defaultColWidth="10.875" defaultRowHeight="15.75" x14ac:dyDescent="0.25"/>
  <cols>
    <col min="1" max="6" width="10.875" style="2"/>
    <col min="7" max="7" width="17.125" style="2" bestFit="1" customWidth="1"/>
    <col min="8" max="8" width="17.125" style="2" customWidth="1"/>
    <col min="9" max="9" width="12.875" style="2" bestFit="1" customWidth="1"/>
    <col min="10" max="10" width="13.875" style="2" bestFit="1" customWidth="1"/>
    <col min="11" max="11" width="19.125" style="2" bestFit="1" customWidth="1"/>
    <col min="12" max="12" width="10.875" style="2"/>
    <col min="13" max="13" width="12" style="2" bestFit="1" customWidth="1"/>
    <col min="14" max="14" width="10.875" style="2"/>
    <col min="15" max="15" width="37" style="2" bestFit="1" customWidth="1"/>
    <col min="16" max="16384" width="10.875" style="2"/>
  </cols>
  <sheetData>
    <row r="1" spans="1:15" x14ac:dyDescent="0.25">
      <c r="A1" s="2" t="s">
        <v>32</v>
      </c>
      <c r="B1" s="2" t="s">
        <v>33</v>
      </c>
      <c r="C1" s="2" t="s">
        <v>0</v>
      </c>
      <c r="D1" s="2" t="s">
        <v>1</v>
      </c>
      <c r="E1" s="2" t="s">
        <v>3</v>
      </c>
      <c r="F1" s="2" t="s">
        <v>7</v>
      </c>
      <c r="G1" s="2" t="s">
        <v>8</v>
      </c>
      <c r="H1" s="2" t="s">
        <v>164</v>
      </c>
      <c r="I1" s="2" t="s">
        <v>9</v>
      </c>
      <c r="J1" s="2" t="s">
        <v>10</v>
      </c>
      <c r="K1" s="2" t="s">
        <v>11</v>
      </c>
      <c r="L1" s="2" t="s">
        <v>12</v>
      </c>
      <c r="M1" s="2" t="s">
        <v>13</v>
      </c>
      <c r="N1" s="2" t="s">
        <v>14</v>
      </c>
      <c r="O1" s="2" t="s">
        <v>15</v>
      </c>
    </row>
    <row r="2" spans="1:15" x14ac:dyDescent="0.25">
      <c r="A2" s="2" t="s">
        <v>16</v>
      </c>
      <c r="B2" s="2">
        <v>3</v>
      </c>
      <c r="C2" s="8">
        <v>0</v>
      </c>
      <c r="D2" s="8">
        <v>0</v>
      </c>
      <c r="E2" s="1">
        <v>43763</v>
      </c>
      <c r="F2" s="3">
        <v>44</v>
      </c>
      <c r="G2" s="3" t="s">
        <v>28</v>
      </c>
      <c r="H2" s="3">
        <v>5</v>
      </c>
      <c r="I2" s="3">
        <v>30</v>
      </c>
      <c r="J2" s="3">
        <v>8</v>
      </c>
      <c r="K2" s="2">
        <f t="shared" ref="K2:K65" si="0">(I2*PI()*(J2/20)*(J2/20))/3</f>
        <v>5.026548245743669</v>
      </c>
      <c r="L2" s="3">
        <v>0</v>
      </c>
      <c r="M2" s="2">
        <v>0</v>
      </c>
      <c r="N2" s="2">
        <v>0</v>
      </c>
      <c r="O2" s="3"/>
    </row>
    <row r="3" spans="1:15" x14ac:dyDescent="0.25">
      <c r="A3" s="2" t="s">
        <v>16</v>
      </c>
      <c r="B3" s="2">
        <v>3</v>
      </c>
      <c r="C3" s="8">
        <v>0</v>
      </c>
      <c r="D3" s="8">
        <v>0</v>
      </c>
      <c r="E3" s="1">
        <v>43763</v>
      </c>
      <c r="F3" s="3">
        <v>45</v>
      </c>
      <c r="G3" s="3" t="s">
        <v>28</v>
      </c>
      <c r="H3" s="3">
        <v>5</v>
      </c>
      <c r="I3" s="3">
        <v>38</v>
      </c>
      <c r="J3" s="3">
        <v>7</v>
      </c>
      <c r="K3" s="2">
        <f t="shared" si="0"/>
        <v>4.8747046008201611</v>
      </c>
      <c r="L3" s="3">
        <v>0</v>
      </c>
      <c r="M3" s="2">
        <v>0</v>
      </c>
      <c r="N3" s="2">
        <v>0</v>
      </c>
      <c r="O3" s="3"/>
    </row>
    <row r="4" spans="1:15" x14ac:dyDescent="0.25">
      <c r="A4" s="2" t="s">
        <v>16</v>
      </c>
      <c r="B4" s="2">
        <v>3</v>
      </c>
      <c r="C4" s="8">
        <v>0</v>
      </c>
      <c r="D4" s="8">
        <v>0</v>
      </c>
      <c r="E4" s="1">
        <v>43763</v>
      </c>
      <c r="F4" s="3">
        <v>49</v>
      </c>
      <c r="G4" s="3" t="s">
        <v>28</v>
      </c>
      <c r="H4" s="3">
        <v>5</v>
      </c>
      <c r="I4" s="3">
        <v>23</v>
      </c>
      <c r="J4" s="3">
        <v>4</v>
      </c>
      <c r="K4" s="2">
        <f t="shared" si="0"/>
        <v>0.96342174710086992</v>
      </c>
      <c r="L4" s="3">
        <v>0</v>
      </c>
      <c r="M4" s="2">
        <v>0</v>
      </c>
      <c r="N4" s="2">
        <v>0</v>
      </c>
      <c r="O4" s="3" t="s">
        <v>29</v>
      </c>
    </row>
    <row r="5" spans="1:15" x14ac:dyDescent="0.25">
      <c r="A5" s="2" t="s">
        <v>16</v>
      </c>
      <c r="B5" s="2">
        <v>4</v>
      </c>
      <c r="C5" s="8">
        <v>1</v>
      </c>
      <c r="D5" s="8">
        <v>0</v>
      </c>
      <c r="E5" s="1">
        <v>43763</v>
      </c>
      <c r="F5" s="3">
        <v>44</v>
      </c>
      <c r="G5" s="3" t="s">
        <v>28</v>
      </c>
      <c r="H5" s="3">
        <v>5</v>
      </c>
      <c r="I5" s="3">
        <v>34</v>
      </c>
      <c r="J5" s="3">
        <v>6</v>
      </c>
      <c r="K5" s="2">
        <f t="shared" si="0"/>
        <v>3.2044245066615891</v>
      </c>
      <c r="L5" s="2">
        <v>0</v>
      </c>
      <c r="M5" s="2">
        <v>1</v>
      </c>
      <c r="N5" s="2">
        <v>0</v>
      </c>
      <c r="O5" s="7" t="s">
        <v>26</v>
      </c>
    </row>
    <row r="6" spans="1:15" x14ac:dyDescent="0.25">
      <c r="A6" s="2" t="s">
        <v>16</v>
      </c>
      <c r="B6" s="2">
        <v>1</v>
      </c>
      <c r="C6" s="2">
        <v>1</v>
      </c>
      <c r="D6" s="2">
        <v>1</v>
      </c>
      <c r="E6" s="1">
        <v>43763</v>
      </c>
      <c r="F6" s="6">
        <v>45</v>
      </c>
      <c r="G6" s="6" t="s">
        <v>17</v>
      </c>
      <c r="H6" s="8">
        <v>1</v>
      </c>
      <c r="I6" s="6">
        <v>100</v>
      </c>
      <c r="J6" s="6">
        <v>15</v>
      </c>
      <c r="K6" s="6">
        <f t="shared" si="0"/>
        <v>58.90486225480862</v>
      </c>
      <c r="L6" s="2">
        <v>0</v>
      </c>
      <c r="M6" s="2">
        <v>0</v>
      </c>
      <c r="N6" s="2">
        <v>0</v>
      </c>
    </row>
    <row r="7" spans="1:15" x14ac:dyDescent="0.25">
      <c r="A7" s="2" t="s">
        <v>16</v>
      </c>
      <c r="B7" s="2">
        <v>1</v>
      </c>
      <c r="C7" s="2">
        <v>1</v>
      </c>
      <c r="D7" s="2">
        <v>1</v>
      </c>
      <c r="E7" s="1">
        <v>43763</v>
      </c>
      <c r="F7" s="6">
        <v>2</v>
      </c>
      <c r="G7" s="6" t="s">
        <v>17</v>
      </c>
      <c r="H7" s="8">
        <v>1</v>
      </c>
      <c r="I7" s="6">
        <v>157</v>
      </c>
      <c r="J7" s="6">
        <v>21</v>
      </c>
      <c r="K7" s="6">
        <f t="shared" si="0"/>
        <v>181.26204213049709</v>
      </c>
      <c r="L7" s="2">
        <v>0</v>
      </c>
      <c r="M7" s="2">
        <v>0</v>
      </c>
      <c r="N7" s="2">
        <v>0</v>
      </c>
    </row>
    <row r="8" spans="1:15" x14ac:dyDescent="0.25">
      <c r="A8" s="2" t="s">
        <v>16</v>
      </c>
      <c r="B8" s="2">
        <v>1</v>
      </c>
      <c r="C8" s="2">
        <v>1</v>
      </c>
      <c r="D8" s="2">
        <v>1</v>
      </c>
      <c r="E8" s="1">
        <v>43763</v>
      </c>
      <c r="F8" s="6">
        <v>40</v>
      </c>
      <c r="G8" s="6" t="s">
        <v>17</v>
      </c>
      <c r="H8" s="8">
        <v>1</v>
      </c>
      <c r="I8" s="6">
        <v>149</v>
      </c>
      <c r="J8" s="6">
        <v>19</v>
      </c>
      <c r="K8" s="6">
        <f t="shared" si="0"/>
        <v>140.81927270328447</v>
      </c>
      <c r="L8" s="2">
        <v>0</v>
      </c>
      <c r="M8" s="2">
        <v>0</v>
      </c>
      <c r="N8" s="7">
        <v>1</v>
      </c>
    </row>
    <row r="9" spans="1:15" x14ac:dyDescent="0.25">
      <c r="A9" s="2" t="s">
        <v>16</v>
      </c>
      <c r="B9" s="2">
        <v>1</v>
      </c>
      <c r="C9" s="2">
        <v>1</v>
      </c>
      <c r="D9" s="2">
        <v>1</v>
      </c>
      <c r="E9" s="1">
        <v>43763</v>
      </c>
      <c r="F9" s="6">
        <v>46</v>
      </c>
      <c r="G9" s="6" t="s">
        <v>17</v>
      </c>
      <c r="H9" s="8">
        <v>1</v>
      </c>
      <c r="I9" s="6">
        <v>142.5</v>
      </c>
      <c r="J9" s="6">
        <v>18</v>
      </c>
      <c r="K9" s="6">
        <f t="shared" si="0"/>
        <v>120.8727773468673</v>
      </c>
      <c r="L9" s="2">
        <v>0</v>
      </c>
      <c r="M9" s="2">
        <v>0</v>
      </c>
      <c r="N9" s="2">
        <v>0</v>
      </c>
    </row>
    <row r="10" spans="1:15" x14ac:dyDescent="0.25">
      <c r="A10" s="2" t="s">
        <v>16</v>
      </c>
      <c r="B10" s="2">
        <v>1</v>
      </c>
      <c r="C10" s="2">
        <v>1</v>
      </c>
      <c r="D10" s="2">
        <v>1</v>
      </c>
      <c r="E10" s="1">
        <v>43763</v>
      </c>
      <c r="F10" s="6">
        <v>47</v>
      </c>
      <c r="G10" s="6" t="s">
        <v>17</v>
      </c>
      <c r="H10" s="8">
        <v>1</v>
      </c>
      <c r="I10" s="6">
        <v>126</v>
      </c>
      <c r="J10" s="6">
        <v>17</v>
      </c>
      <c r="K10" s="6">
        <f t="shared" si="0"/>
        <v>95.33162907318227</v>
      </c>
      <c r="L10" s="2">
        <v>0</v>
      </c>
      <c r="M10" s="2">
        <v>0</v>
      </c>
      <c r="N10" s="2">
        <v>0</v>
      </c>
    </row>
    <row r="11" spans="1:15" x14ac:dyDescent="0.25">
      <c r="A11" s="2" t="s">
        <v>16</v>
      </c>
      <c r="B11" s="2">
        <v>1</v>
      </c>
      <c r="C11" s="2">
        <v>1</v>
      </c>
      <c r="D11" s="2">
        <v>1</v>
      </c>
      <c r="E11" s="1">
        <v>43763</v>
      </c>
      <c r="F11" s="6">
        <v>13</v>
      </c>
      <c r="G11" s="6" t="s">
        <v>17</v>
      </c>
      <c r="H11" s="8">
        <v>1</v>
      </c>
      <c r="I11" s="6">
        <v>137</v>
      </c>
      <c r="J11" s="6">
        <v>16</v>
      </c>
      <c r="K11" s="6">
        <f t="shared" si="0"/>
        <v>91.818281288917703</v>
      </c>
      <c r="L11" s="2">
        <v>0</v>
      </c>
      <c r="M11" s="2">
        <v>0</v>
      </c>
      <c r="N11" s="2">
        <v>1</v>
      </c>
    </row>
    <row r="12" spans="1:15" x14ac:dyDescent="0.25">
      <c r="A12" s="2" t="s">
        <v>16</v>
      </c>
      <c r="B12" s="2">
        <v>1</v>
      </c>
      <c r="C12" s="2">
        <v>1</v>
      </c>
      <c r="D12" s="2">
        <v>1</v>
      </c>
      <c r="E12" s="1">
        <v>43763</v>
      </c>
      <c r="F12" s="6">
        <v>17</v>
      </c>
      <c r="G12" s="6" t="s">
        <v>17</v>
      </c>
      <c r="H12" s="8">
        <v>1</v>
      </c>
      <c r="I12" s="6">
        <v>117</v>
      </c>
      <c r="J12" s="6">
        <v>14</v>
      </c>
      <c r="K12" s="6">
        <f t="shared" si="0"/>
        <v>60.035835610100939</v>
      </c>
      <c r="L12" s="2">
        <v>0</v>
      </c>
      <c r="M12" s="2">
        <v>0</v>
      </c>
      <c r="N12" s="2">
        <v>0</v>
      </c>
    </row>
    <row r="13" spans="1:15" x14ac:dyDescent="0.25">
      <c r="A13" s="2" t="s">
        <v>16</v>
      </c>
      <c r="B13" s="2">
        <v>1</v>
      </c>
      <c r="C13" s="2">
        <v>1</v>
      </c>
      <c r="D13" s="2">
        <v>1</v>
      </c>
      <c r="E13" s="1">
        <v>43763</v>
      </c>
      <c r="F13" s="6">
        <v>33</v>
      </c>
      <c r="G13" s="6" t="s">
        <v>17</v>
      </c>
      <c r="H13" s="8">
        <v>1</v>
      </c>
      <c r="I13" s="6">
        <v>92.5</v>
      </c>
      <c r="J13" s="6">
        <v>14</v>
      </c>
      <c r="K13" s="6">
        <f t="shared" si="0"/>
        <v>47.464229007985779</v>
      </c>
      <c r="L13" s="2">
        <v>0</v>
      </c>
      <c r="M13" s="2">
        <v>0</v>
      </c>
      <c r="N13" s="2">
        <v>0</v>
      </c>
    </row>
    <row r="14" spans="1:15" x14ac:dyDescent="0.25">
      <c r="A14" s="2" t="s">
        <v>16</v>
      </c>
      <c r="B14" s="2">
        <v>1</v>
      </c>
      <c r="C14" s="2">
        <v>1</v>
      </c>
      <c r="D14" s="2">
        <v>1</v>
      </c>
      <c r="E14" s="1">
        <v>43763</v>
      </c>
      <c r="F14" s="6">
        <v>56</v>
      </c>
      <c r="G14" s="6" t="s">
        <v>17</v>
      </c>
      <c r="H14" s="8">
        <v>1</v>
      </c>
      <c r="I14" s="6">
        <v>100</v>
      </c>
      <c r="J14" s="6">
        <v>14</v>
      </c>
      <c r="K14" s="6">
        <f t="shared" si="0"/>
        <v>51.312680008633286</v>
      </c>
      <c r="L14" s="2">
        <v>0</v>
      </c>
      <c r="M14" s="2">
        <v>0</v>
      </c>
      <c r="N14" s="2">
        <v>0</v>
      </c>
    </row>
    <row r="15" spans="1:15" x14ac:dyDescent="0.25">
      <c r="A15" s="2" t="s">
        <v>16</v>
      </c>
      <c r="B15" s="2">
        <v>1</v>
      </c>
      <c r="C15" s="2">
        <v>1</v>
      </c>
      <c r="D15" s="2">
        <v>1</v>
      </c>
      <c r="E15" s="1">
        <v>43763</v>
      </c>
      <c r="F15" s="6">
        <v>3</v>
      </c>
      <c r="G15" s="6" t="s">
        <v>17</v>
      </c>
      <c r="H15" s="8">
        <v>1</v>
      </c>
      <c r="I15" s="6">
        <v>87.5</v>
      </c>
      <c r="J15" s="6">
        <v>13</v>
      </c>
      <c r="K15" s="6">
        <f t="shared" si="0"/>
        <v>38.713584470799226</v>
      </c>
      <c r="L15" s="2">
        <v>0</v>
      </c>
      <c r="M15" s="2">
        <v>0</v>
      </c>
      <c r="N15" s="2">
        <v>0</v>
      </c>
    </row>
    <row r="16" spans="1:15" x14ac:dyDescent="0.25">
      <c r="A16" s="2" t="s">
        <v>16</v>
      </c>
      <c r="B16" s="2">
        <v>1</v>
      </c>
      <c r="C16" s="2">
        <v>1</v>
      </c>
      <c r="D16" s="2">
        <v>1</v>
      </c>
      <c r="E16" s="1">
        <v>43763</v>
      </c>
      <c r="F16" s="6">
        <v>39</v>
      </c>
      <c r="G16" s="6" t="s">
        <v>17</v>
      </c>
      <c r="H16" s="8">
        <v>1</v>
      </c>
      <c r="I16" s="6">
        <v>136</v>
      </c>
      <c r="J16" s="6">
        <v>13</v>
      </c>
      <c r="K16" s="6">
        <f t="shared" si="0"/>
        <v>60.171971291756513</v>
      </c>
      <c r="L16" s="2">
        <v>0</v>
      </c>
      <c r="M16" s="2">
        <v>0</v>
      </c>
      <c r="N16" s="2">
        <v>0</v>
      </c>
    </row>
    <row r="17" spans="1:14" x14ac:dyDescent="0.25">
      <c r="A17" s="2" t="s">
        <v>16</v>
      </c>
      <c r="B17" s="2">
        <v>1</v>
      </c>
      <c r="C17" s="2">
        <v>1</v>
      </c>
      <c r="D17" s="2">
        <v>1</v>
      </c>
      <c r="E17" s="1">
        <v>43763</v>
      </c>
      <c r="F17" s="6">
        <v>32</v>
      </c>
      <c r="G17" s="6" t="s">
        <v>17</v>
      </c>
      <c r="H17" s="8">
        <v>1</v>
      </c>
      <c r="I17" s="6">
        <v>109</v>
      </c>
      <c r="J17" s="6">
        <v>13</v>
      </c>
      <c r="K17" s="6">
        <f t="shared" si="0"/>
        <v>48.226065226481317</v>
      </c>
      <c r="L17" s="2">
        <v>1</v>
      </c>
      <c r="M17" s="2">
        <v>0</v>
      </c>
      <c r="N17" s="7">
        <v>1</v>
      </c>
    </row>
    <row r="18" spans="1:14" x14ac:dyDescent="0.25">
      <c r="A18" s="2" t="s">
        <v>16</v>
      </c>
      <c r="B18" s="2">
        <v>1</v>
      </c>
      <c r="C18" s="2">
        <v>1</v>
      </c>
      <c r="D18" s="2">
        <v>1</v>
      </c>
      <c r="E18" s="1">
        <v>43763</v>
      </c>
      <c r="F18" s="6">
        <v>6</v>
      </c>
      <c r="G18" s="6" t="s">
        <v>17</v>
      </c>
      <c r="H18" s="8">
        <v>1</v>
      </c>
      <c r="I18" s="6">
        <v>82</v>
      </c>
      <c r="J18" s="6">
        <v>12</v>
      </c>
      <c r="K18" s="6">
        <f t="shared" si="0"/>
        <v>30.91327171132356</v>
      </c>
      <c r="L18" s="2">
        <v>0</v>
      </c>
      <c r="M18" s="2">
        <v>0</v>
      </c>
      <c r="N18" s="2">
        <v>0</v>
      </c>
    </row>
    <row r="19" spans="1:14" x14ac:dyDescent="0.25">
      <c r="A19" s="2" t="s">
        <v>16</v>
      </c>
      <c r="B19" s="2">
        <v>1</v>
      </c>
      <c r="C19" s="2">
        <v>1</v>
      </c>
      <c r="D19" s="2">
        <v>1</v>
      </c>
      <c r="E19" s="1">
        <v>43763</v>
      </c>
      <c r="F19" s="6">
        <v>36</v>
      </c>
      <c r="G19" s="6" t="s">
        <v>17</v>
      </c>
      <c r="H19" s="8">
        <v>1</v>
      </c>
      <c r="I19" s="6">
        <v>89</v>
      </c>
      <c r="J19" s="6">
        <v>12</v>
      </c>
      <c r="K19" s="6">
        <f t="shared" si="0"/>
        <v>33.552209540338993</v>
      </c>
      <c r="L19" s="2">
        <v>0</v>
      </c>
      <c r="M19" s="2">
        <v>0</v>
      </c>
      <c r="N19" s="2">
        <v>0</v>
      </c>
    </row>
    <row r="20" spans="1:14" x14ac:dyDescent="0.25">
      <c r="A20" s="2" t="s">
        <v>16</v>
      </c>
      <c r="B20" s="2">
        <v>1</v>
      </c>
      <c r="C20" s="2">
        <v>1</v>
      </c>
      <c r="D20" s="2">
        <v>1</v>
      </c>
      <c r="E20" s="1">
        <v>43763</v>
      </c>
      <c r="F20" s="6">
        <v>23</v>
      </c>
      <c r="G20" s="6" t="s">
        <v>17</v>
      </c>
      <c r="H20" s="8">
        <v>1</v>
      </c>
      <c r="I20" s="6">
        <v>122</v>
      </c>
      <c r="J20" s="6">
        <v>12</v>
      </c>
      <c r="K20" s="6">
        <f t="shared" si="0"/>
        <v>45.992916448554574</v>
      </c>
      <c r="L20" s="2">
        <v>0</v>
      </c>
      <c r="M20" s="2">
        <v>0</v>
      </c>
      <c r="N20" s="2">
        <v>0</v>
      </c>
    </row>
    <row r="21" spans="1:14" x14ac:dyDescent="0.25">
      <c r="A21" s="2" t="s">
        <v>16</v>
      </c>
      <c r="B21" s="2">
        <v>1</v>
      </c>
      <c r="C21" s="2">
        <v>1</v>
      </c>
      <c r="D21" s="2">
        <v>1</v>
      </c>
      <c r="E21" s="1">
        <v>43763</v>
      </c>
      <c r="F21" s="6">
        <v>8</v>
      </c>
      <c r="G21" s="6" t="s">
        <v>17</v>
      </c>
      <c r="H21" s="8">
        <v>1</v>
      </c>
      <c r="I21" s="6">
        <v>55</v>
      </c>
      <c r="J21" s="6">
        <v>12</v>
      </c>
      <c r="K21" s="6">
        <f t="shared" si="0"/>
        <v>20.734511513692635</v>
      </c>
      <c r="L21" s="2">
        <v>0</v>
      </c>
      <c r="M21" s="2">
        <v>0</v>
      </c>
      <c r="N21" s="2">
        <v>1</v>
      </c>
    </row>
    <row r="22" spans="1:14" x14ac:dyDescent="0.25">
      <c r="A22" s="2" t="s">
        <v>16</v>
      </c>
      <c r="B22" s="2">
        <v>1</v>
      </c>
      <c r="C22" s="2">
        <v>1</v>
      </c>
      <c r="D22" s="2">
        <v>1</v>
      </c>
      <c r="E22" s="1">
        <v>43763</v>
      </c>
      <c r="F22" s="6">
        <v>9</v>
      </c>
      <c r="G22" s="6" t="s">
        <v>17</v>
      </c>
      <c r="H22" s="8">
        <v>1</v>
      </c>
      <c r="I22" s="6">
        <v>90</v>
      </c>
      <c r="J22" s="6">
        <v>11</v>
      </c>
      <c r="K22" s="6">
        <f t="shared" si="0"/>
        <v>28.509953331327377</v>
      </c>
      <c r="L22" s="2">
        <v>0</v>
      </c>
      <c r="M22" s="2">
        <v>0</v>
      </c>
      <c r="N22" s="2">
        <v>0</v>
      </c>
    </row>
    <row r="23" spans="1:14" x14ac:dyDescent="0.25">
      <c r="A23" s="2" t="s">
        <v>16</v>
      </c>
      <c r="B23" s="2">
        <v>1</v>
      </c>
      <c r="C23" s="2">
        <v>1</v>
      </c>
      <c r="D23" s="2">
        <v>1</v>
      </c>
      <c r="E23" s="1">
        <v>43763</v>
      </c>
      <c r="F23" s="6">
        <v>42</v>
      </c>
      <c r="G23" s="6" t="s">
        <v>17</v>
      </c>
      <c r="H23" s="8">
        <v>1</v>
      </c>
      <c r="I23" s="6">
        <v>91</v>
      </c>
      <c r="J23" s="6">
        <v>11</v>
      </c>
      <c r="K23" s="6">
        <f t="shared" si="0"/>
        <v>28.826730590564349</v>
      </c>
      <c r="L23" s="2">
        <v>0</v>
      </c>
      <c r="M23" s="2">
        <v>0</v>
      </c>
      <c r="N23" s="2">
        <v>0</v>
      </c>
    </row>
    <row r="24" spans="1:14" x14ac:dyDescent="0.25">
      <c r="A24" s="2" t="s">
        <v>16</v>
      </c>
      <c r="B24" s="2">
        <v>1</v>
      </c>
      <c r="C24" s="2">
        <v>1</v>
      </c>
      <c r="D24" s="2">
        <v>1</v>
      </c>
      <c r="E24" s="1">
        <v>43763</v>
      </c>
      <c r="F24" s="6">
        <v>4</v>
      </c>
      <c r="G24" s="6" t="s">
        <v>17</v>
      </c>
      <c r="H24" s="8">
        <v>1</v>
      </c>
      <c r="I24" s="6">
        <v>73</v>
      </c>
      <c r="J24" s="6">
        <v>10</v>
      </c>
      <c r="K24" s="6">
        <f t="shared" si="0"/>
        <v>19.111355309337906</v>
      </c>
      <c r="L24" s="2">
        <v>0</v>
      </c>
      <c r="M24" s="2">
        <v>0</v>
      </c>
      <c r="N24" s="2">
        <v>0</v>
      </c>
    </row>
    <row r="25" spans="1:14" x14ac:dyDescent="0.25">
      <c r="A25" s="2" t="s">
        <v>16</v>
      </c>
      <c r="B25" s="2">
        <v>1</v>
      </c>
      <c r="C25" s="2">
        <v>1</v>
      </c>
      <c r="D25" s="2">
        <v>1</v>
      </c>
      <c r="E25" s="1">
        <v>43763</v>
      </c>
      <c r="F25" s="6">
        <v>12</v>
      </c>
      <c r="G25" s="6" t="s">
        <v>17</v>
      </c>
      <c r="H25" s="8">
        <v>1</v>
      </c>
      <c r="I25" s="6">
        <v>107</v>
      </c>
      <c r="J25" s="6">
        <v>10</v>
      </c>
      <c r="K25" s="6">
        <f t="shared" si="0"/>
        <v>28.012534494508987</v>
      </c>
      <c r="L25" s="2">
        <v>0</v>
      </c>
      <c r="M25" s="2">
        <v>0</v>
      </c>
      <c r="N25" s="2">
        <v>0</v>
      </c>
    </row>
    <row r="26" spans="1:14" x14ac:dyDescent="0.25">
      <c r="A26" s="2" t="s">
        <v>16</v>
      </c>
      <c r="B26" s="2">
        <v>1</v>
      </c>
      <c r="C26" s="2">
        <v>1</v>
      </c>
      <c r="D26" s="2">
        <v>1</v>
      </c>
      <c r="E26" s="1">
        <v>43763</v>
      </c>
      <c r="F26" s="6">
        <v>16</v>
      </c>
      <c r="G26" s="6" t="s">
        <v>17</v>
      </c>
      <c r="H26" s="8">
        <v>1</v>
      </c>
      <c r="I26" s="6">
        <v>57</v>
      </c>
      <c r="J26" s="6">
        <v>10</v>
      </c>
      <c r="K26" s="6">
        <f t="shared" si="0"/>
        <v>14.922565104551516</v>
      </c>
      <c r="L26" s="2">
        <v>0</v>
      </c>
      <c r="M26" s="2">
        <v>0</v>
      </c>
      <c r="N26" s="2">
        <v>0</v>
      </c>
    </row>
    <row r="27" spans="1:14" x14ac:dyDescent="0.25">
      <c r="A27" s="2" t="s">
        <v>16</v>
      </c>
      <c r="B27" s="2">
        <v>1</v>
      </c>
      <c r="C27" s="2">
        <v>1</v>
      </c>
      <c r="D27" s="2">
        <v>1</v>
      </c>
      <c r="E27" s="1">
        <v>43763</v>
      </c>
      <c r="F27" s="6">
        <v>22</v>
      </c>
      <c r="G27" s="6" t="s">
        <v>17</v>
      </c>
      <c r="H27" s="8">
        <v>1</v>
      </c>
      <c r="I27" s="6">
        <v>73</v>
      </c>
      <c r="J27" s="6">
        <v>10</v>
      </c>
      <c r="K27" s="6">
        <f t="shared" si="0"/>
        <v>19.111355309337906</v>
      </c>
      <c r="L27" s="2">
        <v>0</v>
      </c>
      <c r="M27" s="2">
        <v>0</v>
      </c>
      <c r="N27" s="2">
        <v>0</v>
      </c>
    </row>
    <row r="28" spans="1:14" x14ac:dyDescent="0.25">
      <c r="A28" s="2" t="s">
        <v>16</v>
      </c>
      <c r="B28" s="2">
        <v>1</v>
      </c>
      <c r="C28" s="2">
        <v>1</v>
      </c>
      <c r="D28" s="2">
        <v>1</v>
      </c>
      <c r="E28" s="1">
        <v>43763</v>
      </c>
      <c r="F28" s="6">
        <v>50</v>
      </c>
      <c r="G28" s="6" t="s">
        <v>17</v>
      </c>
      <c r="H28" s="8">
        <v>1</v>
      </c>
      <c r="I28" s="6">
        <v>78</v>
      </c>
      <c r="J28" s="6">
        <v>10</v>
      </c>
      <c r="K28" s="6">
        <f t="shared" si="0"/>
        <v>20.420352248333653</v>
      </c>
      <c r="L28" s="2">
        <v>0</v>
      </c>
      <c r="M28" s="2">
        <v>0</v>
      </c>
      <c r="N28" s="2">
        <v>0</v>
      </c>
    </row>
    <row r="29" spans="1:14" x14ac:dyDescent="0.25">
      <c r="A29" s="2" t="s">
        <v>16</v>
      </c>
      <c r="B29" s="2">
        <v>1</v>
      </c>
      <c r="C29" s="2">
        <v>1</v>
      </c>
      <c r="D29" s="2">
        <v>1</v>
      </c>
      <c r="E29" s="1">
        <v>43763</v>
      </c>
      <c r="F29" s="6">
        <v>24</v>
      </c>
      <c r="G29" s="6" t="s">
        <v>17</v>
      </c>
      <c r="H29" s="8">
        <v>1</v>
      </c>
      <c r="I29" s="6">
        <v>62</v>
      </c>
      <c r="J29" s="6">
        <v>10</v>
      </c>
      <c r="K29" s="6">
        <f t="shared" si="0"/>
        <v>16.231562043547264</v>
      </c>
      <c r="L29" s="2">
        <v>0</v>
      </c>
      <c r="M29" s="2">
        <v>0</v>
      </c>
      <c r="N29" s="7">
        <v>1</v>
      </c>
    </row>
    <row r="30" spans="1:14" x14ac:dyDescent="0.25">
      <c r="A30" s="2" t="s">
        <v>16</v>
      </c>
      <c r="B30" s="2">
        <v>1</v>
      </c>
      <c r="C30" s="2">
        <v>1</v>
      </c>
      <c r="D30" s="2">
        <v>1</v>
      </c>
      <c r="E30" s="1">
        <v>43763</v>
      </c>
      <c r="F30" s="6">
        <v>11</v>
      </c>
      <c r="G30" s="6" t="s">
        <v>17</v>
      </c>
      <c r="H30" s="8">
        <v>1</v>
      </c>
      <c r="I30" s="6">
        <v>94</v>
      </c>
      <c r="J30" s="6">
        <v>9</v>
      </c>
      <c r="K30" s="6">
        <f t="shared" si="0"/>
        <v>19.933405387027243</v>
      </c>
      <c r="L30" s="2">
        <v>0</v>
      </c>
      <c r="M30" s="2">
        <v>0</v>
      </c>
      <c r="N30" s="2">
        <v>0</v>
      </c>
    </row>
    <row r="31" spans="1:14" x14ac:dyDescent="0.25">
      <c r="A31" s="2" t="s">
        <v>16</v>
      </c>
      <c r="B31" s="2">
        <v>1</v>
      </c>
      <c r="C31" s="2">
        <v>1</v>
      </c>
      <c r="D31" s="2">
        <v>1</v>
      </c>
      <c r="E31" s="1">
        <v>43763</v>
      </c>
      <c r="F31" s="6">
        <v>51</v>
      </c>
      <c r="G31" s="6" t="s">
        <v>17</v>
      </c>
      <c r="H31" s="8">
        <v>1</v>
      </c>
      <c r="I31" s="6">
        <v>90.5</v>
      </c>
      <c r="J31" s="6">
        <v>9</v>
      </c>
      <c r="K31" s="6">
        <f t="shared" si="0"/>
        <v>19.19120412261665</v>
      </c>
      <c r="L31" s="2">
        <v>0</v>
      </c>
      <c r="M31" s="2">
        <v>0</v>
      </c>
      <c r="N31" s="2">
        <v>0</v>
      </c>
    </row>
    <row r="32" spans="1:14" x14ac:dyDescent="0.25">
      <c r="A32" s="2" t="s">
        <v>16</v>
      </c>
      <c r="B32" s="2">
        <v>1</v>
      </c>
      <c r="C32" s="2">
        <v>1</v>
      </c>
      <c r="D32" s="2">
        <v>1</v>
      </c>
      <c r="E32" s="1">
        <v>43763</v>
      </c>
      <c r="F32" s="6">
        <v>21</v>
      </c>
      <c r="G32" s="6" t="s">
        <v>17</v>
      </c>
      <c r="H32" s="8">
        <v>1</v>
      </c>
      <c r="I32" s="6">
        <v>36</v>
      </c>
      <c r="J32" s="6">
        <v>9</v>
      </c>
      <c r="K32" s="6">
        <f t="shared" si="0"/>
        <v>7.6340701482231985</v>
      </c>
      <c r="L32" s="2">
        <v>1</v>
      </c>
      <c r="M32" s="2">
        <v>0</v>
      </c>
      <c r="N32" s="2">
        <v>1</v>
      </c>
    </row>
    <row r="33" spans="1:15" x14ac:dyDescent="0.25">
      <c r="A33" s="2" t="s">
        <v>16</v>
      </c>
      <c r="B33" s="2">
        <v>1</v>
      </c>
      <c r="C33" s="2">
        <v>1</v>
      </c>
      <c r="D33" s="2">
        <v>1</v>
      </c>
      <c r="E33" s="1">
        <v>43763</v>
      </c>
      <c r="F33" s="6">
        <v>1</v>
      </c>
      <c r="G33" s="6" t="s">
        <v>17</v>
      </c>
      <c r="H33" s="8">
        <v>1</v>
      </c>
      <c r="I33" s="6">
        <v>69</v>
      </c>
      <c r="J33" s="6">
        <v>8</v>
      </c>
      <c r="K33" s="6">
        <f t="shared" si="0"/>
        <v>11.561060965210439</v>
      </c>
      <c r="L33" s="2">
        <v>0</v>
      </c>
      <c r="M33" s="2">
        <v>0</v>
      </c>
      <c r="N33" s="2">
        <v>0</v>
      </c>
    </row>
    <row r="34" spans="1:15" x14ac:dyDescent="0.25">
      <c r="A34" s="2" t="s">
        <v>16</v>
      </c>
      <c r="B34" s="2">
        <v>1</v>
      </c>
      <c r="C34" s="2">
        <v>1</v>
      </c>
      <c r="D34" s="2">
        <v>1</v>
      </c>
      <c r="E34" s="1">
        <v>43763</v>
      </c>
      <c r="F34" s="6">
        <v>7</v>
      </c>
      <c r="G34" s="6" t="s">
        <v>17</v>
      </c>
      <c r="H34" s="8">
        <v>1</v>
      </c>
      <c r="I34" s="6">
        <v>85</v>
      </c>
      <c r="J34" s="6">
        <v>8</v>
      </c>
      <c r="K34" s="6">
        <f t="shared" si="0"/>
        <v>14.241886696273731</v>
      </c>
      <c r="L34" s="2">
        <v>0</v>
      </c>
      <c r="M34" s="2">
        <v>0</v>
      </c>
      <c r="N34" s="2">
        <v>0</v>
      </c>
    </row>
    <row r="35" spans="1:15" x14ac:dyDescent="0.25">
      <c r="A35" s="2" t="s">
        <v>16</v>
      </c>
      <c r="B35" s="2">
        <v>1</v>
      </c>
      <c r="C35" s="2">
        <v>1</v>
      </c>
      <c r="D35" s="2">
        <v>1</v>
      </c>
      <c r="E35" s="1">
        <v>43763</v>
      </c>
      <c r="F35" s="6">
        <v>48</v>
      </c>
      <c r="G35" s="6" t="s">
        <v>17</v>
      </c>
      <c r="H35" s="8">
        <v>1</v>
      </c>
      <c r="I35" s="6">
        <v>89</v>
      </c>
      <c r="J35" s="6">
        <v>8</v>
      </c>
      <c r="K35" s="6">
        <f t="shared" si="0"/>
        <v>14.912093129039553</v>
      </c>
      <c r="L35" s="2">
        <v>0</v>
      </c>
      <c r="M35" s="2">
        <v>0</v>
      </c>
      <c r="N35" s="2">
        <v>0</v>
      </c>
    </row>
    <row r="36" spans="1:15" x14ac:dyDescent="0.25">
      <c r="A36" s="2" t="s">
        <v>16</v>
      </c>
      <c r="B36" s="2">
        <v>1</v>
      </c>
      <c r="C36" s="2">
        <v>1</v>
      </c>
      <c r="D36" s="2">
        <v>1</v>
      </c>
      <c r="E36" s="1">
        <v>43763</v>
      </c>
      <c r="F36" s="6">
        <v>19</v>
      </c>
      <c r="G36" s="6" t="s">
        <v>17</v>
      </c>
      <c r="H36" s="8">
        <v>1</v>
      </c>
      <c r="I36" s="6">
        <v>43</v>
      </c>
      <c r="J36" s="6">
        <v>8</v>
      </c>
      <c r="K36" s="6">
        <f t="shared" si="0"/>
        <v>7.2047191522325926</v>
      </c>
      <c r="L36" s="2">
        <v>0</v>
      </c>
      <c r="M36" s="2">
        <v>0</v>
      </c>
      <c r="N36" s="2">
        <v>1</v>
      </c>
    </row>
    <row r="37" spans="1:15" x14ac:dyDescent="0.25">
      <c r="A37" s="2" t="s">
        <v>16</v>
      </c>
      <c r="B37" s="2">
        <v>1</v>
      </c>
      <c r="C37" s="2">
        <v>1</v>
      </c>
      <c r="D37" s="2">
        <v>1</v>
      </c>
      <c r="E37" s="1">
        <v>43763</v>
      </c>
      <c r="F37" s="6">
        <v>15</v>
      </c>
      <c r="G37" s="6" t="s">
        <v>17</v>
      </c>
      <c r="H37" s="8">
        <v>1</v>
      </c>
      <c r="I37" s="6">
        <v>58</v>
      </c>
      <c r="J37" s="6">
        <v>7</v>
      </c>
      <c r="K37" s="6">
        <f t="shared" si="0"/>
        <v>7.4403386012518267</v>
      </c>
      <c r="L37" s="2">
        <v>1</v>
      </c>
      <c r="M37" s="2">
        <v>0</v>
      </c>
      <c r="N37" s="2">
        <v>0</v>
      </c>
    </row>
    <row r="38" spans="1:15" x14ac:dyDescent="0.25">
      <c r="A38" s="2" t="s">
        <v>16</v>
      </c>
      <c r="B38" s="2">
        <v>1</v>
      </c>
      <c r="C38" s="2">
        <v>1</v>
      </c>
      <c r="D38" s="2">
        <v>1</v>
      </c>
      <c r="E38" s="1">
        <v>43763</v>
      </c>
      <c r="F38" s="6">
        <v>5</v>
      </c>
      <c r="G38" s="6" t="s">
        <v>17</v>
      </c>
      <c r="H38" s="8">
        <v>1</v>
      </c>
      <c r="I38" s="6">
        <v>49</v>
      </c>
      <c r="J38" s="6">
        <v>7</v>
      </c>
      <c r="K38" s="6">
        <f t="shared" si="0"/>
        <v>6.2858033010575767</v>
      </c>
      <c r="L38" s="2">
        <v>0</v>
      </c>
      <c r="M38" s="2">
        <v>0</v>
      </c>
      <c r="N38" s="7">
        <v>1</v>
      </c>
    </row>
    <row r="39" spans="1:15" x14ac:dyDescent="0.25">
      <c r="A39" s="2" t="s">
        <v>16</v>
      </c>
      <c r="B39" s="2">
        <v>1</v>
      </c>
      <c r="C39" s="2">
        <v>1</v>
      </c>
      <c r="D39" s="2">
        <v>1</v>
      </c>
      <c r="E39" s="1">
        <v>43763</v>
      </c>
      <c r="F39" s="6">
        <v>20</v>
      </c>
      <c r="G39" s="6" t="s">
        <v>17</v>
      </c>
      <c r="H39" s="8">
        <v>1</v>
      </c>
      <c r="I39" s="6">
        <v>77</v>
      </c>
      <c r="J39" s="6">
        <v>6</v>
      </c>
      <c r="K39" s="6">
        <f t="shared" si="0"/>
        <v>7.2570790297924219</v>
      </c>
      <c r="L39" s="2">
        <v>0</v>
      </c>
      <c r="M39" s="2">
        <v>0</v>
      </c>
      <c r="N39" s="2">
        <v>0</v>
      </c>
    </row>
    <row r="40" spans="1:15" x14ac:dyDescent="0.25">
      <c r="A40" s="2" t="s">
        <v>16</v>
      </c>
      <c r="B40" s="2">
        <v>1</v>
      </c>
      <c r="C40" s="2">
        <v>1</v>
      </c>
      <c r="D40" s="2">
        <v>1</v>
      </c>
      <c r="E40" s="1">
        <v>43763</v>
      </c>
      <c r="F40" s="6">
        <v>10</v>
      </c>
      <c r="G40" s="6" t="s">
        <v>17</v>
      </c>
      <c r="H40" s="8">
        <v>1</v>
      </c>
      <c r="I40" s="6">
        <v>36</v>
      </c>
      <c r="J40" s="6">
        <v>6</v>
      </c>
      <c r="K40" s="6">
        <f t="shared" si="0"/>
        <v>3.3929200658769765</v>
      </c>
      <c r="L40" s="2">
        <v>0</v>
      </c>
      <c r="M40" s="2">
        <v>0</v>
      </c>
      <c r="N40" s="7">
        <v>1</v>
      </c>
    </row>
    <row r="41" spans="1:15" x14ac:dyDescent="0.25">
      <c r="A41" s="2" t="s">
        <v>16</v>
      </c>
      <c r="B41" s="2">
        <v>1</v>
      </c>
      <c r="C41" s="2">
        <v>1</v>
      </c>
      <c r="D41" s="2">
        <v>1</v>
      </c>
      <c r="E41" s="1">
        <v>43763</v>
      </c>
      <c r="F41" s="6">
        <v>14</v>
      </c>
      <c r="G41" s="6" t="s">
        <v>17</v>
      </c>
      <c r="H41" s="8">
        <v>1</v>
      </c>
      <c r="I41" s="6">
        <v>29</v>
      </c>
      <c r="J41" s="6">
        <v>6</v>
      </c>
      <c r="K41" s="6">
        <f t="shared" si="0"/>
        <v>2.7331856086231201</v>
      </c>
      <c r="L41" s="2">
        <v>0</v>
      </c>
      <c r="M41" s="2">
        <v>0</v>
      </c>
      <c r="N41" s="7">
        <v>1</v>
      </c>
    </row>
    <row r="42" spans="1:15" x14ac:dyDescent="0.25">
      <c r="A42" s="2" t="s">
        <v>16</v>
      </c>
      <c r="B42" s="2">
        <v>1</v>
      </c>
      <c r="C42" s="2">
        <v>1</v>
      </c>
      <c r="D42" s="2">
        <v>1</v>
      </c>
      <c r="E42" s="1">
        <v>43763</v>
      </c>
      <c r="F42" s="6">
        <v>34</v>
      </c>
      <c r="G42" s="6" t="s">
        <v>17</v>
      </c>
      <c r="H42" s="8">
        <v>1</v>
      </c>
      <c r="I42" s="6">
        <v>36</v>
      </c>
      <c r="J42" s="6">
        <v>6</v>
      </c>
      <c r="K42" s="6">
        <f t="shared" si="0"/>
        <v>3.3929200658769765</v>
      </c>
      <c r="L42" s="2">
        <v>0</v>
      </c>
      <c r="M42" s="2">
        <v>0</v>
      </c>
      <c r="N42" s="2">
        <v>1</v>
      </c>
    </row>
    <row r="43" spans="1:15" x14ac:dyDescent="0.25">
      <c r="A43" s="2" t="s">
        <v>16</v>
      </c>
      <c r="B43" s="2">
        <v>1</v>
      </c>
      <c r="C43" s="2">
        <v>1</v>
      </c>
      <c r="D43" s="2">
        <v>1</v>
      </c>
      <c r="E43" s="1">
        <v>43763</v>
      </c>
      <c r="F43" s="6">
        <v>37</v>
      </c>
      <c r="G43" s="6" t="s">
        <v>17</v>
      </c>
      <c r="H43" s="8">
        <v>1</v>
      </c>
      <c r="I43" s="6">
        <v>56</v>
      </c>
      <c r="J43" s="6">
        <v>5</v>
      </c>
      <c r="K43" s="6">
        <f t="shared" si="0"/>
        <v>3.6651914291880918</v>
      </c>
      <c r="L43" s="2">
        <v>1</v>
      </c>
      <c r="M43" s="2">
        <v>0</v>
      </c>
      <c r="N43" s="2">
        <v>0</v>
      </c>
    </row>
    <row r="44" spans="1:15" x14ac:dyDescent="0.25">
      <c r="A44" s="2" t="s">
        <v>16</v>
      </c>
      <c r="B44" s="2">
        <v>1</v>
      </c>
      <c r="C44" s="2">
        <v>1</v>
      </c>
      <c r="D44" s="2">
        <v>1</v>
      </c>
      <c r="E44" s="1">
        <v>43763</v>
      </c>
      <c r="F44" s="6">
        <v>35</v>
      </c>
      <c r="G44" s="6" t="s">
        <v>17</v>
      </c>
      <c r="H44" s="8">
        <v>1</v>
      </c>
      <c r="I44" s="6">
        <v>27</v>
      </c>
      <c r="J44" s="6">
        <v>5</v>
      </c>
      <c r="K44" s="6">
        <f t="shared" si="0"/>
        <v>1.7671458676442586</v>
      </c>
      <c r="L44" s="2">
        <v>1</v>
      </c>
      <c r="M44" s="2">
        <v>0</v>
      </c>
      <c r="N44" s="2">
        <v>1</v>
      </c>
    </row>
    <row r="45" spans="1:15" x14ac:dyDescent="0.25">
      <c r="A45" s="2" t="s">
        <v>16</v>
      </c>
      <c r="B45" s="2">
        <v>1</v>
      </c>
      <c r="C45" s="2">
        <v>1</v>
      </c>
      <c r="D45" s="2">
        <v>1</v>
      </c>
      <c r="E45" s="1">
        <v>43763</v>
      </c>
      <c r="F45" s="6">
        <v>58</v>
      </c>
      <c r="G45" s="6" t="s">
        <v>17</v>
      </c>
      <c r="H45" s="8">
        <v>1</v>
      </c>
      <c r="I45" s="6">
        <v>39</v>
      </c>
      <c r="J45" s="6">
        <v>4</v>
      </c>
      <c r="K45" s="6">
        <f t="shared" si="0"/>
        <v>1.6336281798666927</v>
      </c>
      <c r="L45" s="2">
        <v>0</v>
      </c>
      <c r="M45" s="2">
        <v>0</v>
      </c>
      <c r="N45" s="2">
        <v>0</v>
      </c>
    </row>
    <row r="46" spans="1:15" x14ac:dyDescent="0.25">
      <c r="A46" s="2" t="s">
        <v>16</v>
      </c>
      <c r="B46" s="2">
        <v>1</v>
      </c>
      <c r="C46" s="2">
        <v>1</v>
      </c>
      <c r="D46" s="2">
        <v>1</v>
      </c>
      <c r="E46" s="1">
        <v>43763</v>
      </c>
      <c r="F46" s="6">
        <v>18</v>
      </c>
      <c r="G46" s="6" t="s">
        <v>17</v>
      </c>
      <c r="H46" s="8">
        <v>1</v>
      </c>
      <c r="I46" s="6">
        <v>32</v>
      </c>
      <c r="J46" s="6">
        <v>4</v>
      </c>
      <c r="K46" s="6">
        <f t="shared" si="0"/>
        <v>1.3404128655316452</v>
      </c>
      <c r="L46" s="2">
        <v>1</v>
      </c>
      <c r="M46" s="2">
        <v>0</v>
      </c>
      <c r="N46" s="2">
        <v>0</v>
      </c>
    </row>
    <row r="47" spans="1:15" x14ac:dyDescent="0.25">
      <c r="A47" s="2" t="s">
        <v>16</v>
      </c>
      <c r="B47" s="2">
        <v>2</v>
      </c>
      <c r="C47" s="2">
        <v>0</v>
      </c>
      <c r="D47" s="2">
        <v>1</v>
      </c>
      <c r="E47" s="1">
        <v>43763</v>
      </c>
      <c r="F47" s="3">
        <v>36</v>
      </c>
      <c r="G47" s="2" t="s">
        <v>17</v>
      </c>
      <c r="H47" s="8">
        <v>1</v>
      </c>
      <c r="I47" s="3">
        <v>133</v>
      </c>
      <c r="J47" s="3">
        <v>21</v>
      </c>
      <c r="K47" s="2">
        <f t="shared" si="0"/>
        <v>153.55319492583513</v>
      </c>
      <c r="L47" s="2">
        <v>0</v>
      </c>
      <c r="M47" s="2">
        <v>0</v>
      </c>
      <c r="N47" s="2">
        <v>0</v>
      </c>
      <c r="O47" s="7"/>
    </row>
    <row r="48" spans="1:15" x14ac:dyDescent="0.25">
      <c r="A48" s="2" t="s">
        <v>16</v>
      </c>
      <c r="B48" s="2">
        <v>2</v>
      </c>
      <c r="C48" s="2">
        <v>0</v>
      </c>
      <c r="D48" s="2">
        <v>1</v>
      </c>
      <c r="E48" s="1">
        <v>43763</v>
      </c>
      <c r="F48" s="3">
        <v>62</v>
      </c>
      <c r="G48" s="2" t="s">
        <v>17</v>
      </c>
      <c r="H48" s="8">
        <v>1</v>
      </c>
      <c r="I48" s="3">
        <v>143</v>
      </c>
      <c r="J48" s="3">
        <v>21</v>
      </c>
      <c r="K48" s="2">
        <f t="shared" si="0"/>
        <v>165.09854792777762</v>
      </c>
      <c r="L48" s="2">
        <v>0</v>
      </c>
      <c r="M48" s="2">
        <v>0</v>
      </c>
      <c r="N48" s="2">
        <v>0</v>
      </c>
      <c r="O48" s="7"/>
    </row>
    <row r="49" spans="1:15" x14ac:dyDescent="0.25">
      <c r="A49" s="2" t="s">
        <v>16</v>
      </c>
      <c r="B49" s="2">
        <v>2</v>
      </c>
      <c r="C49" s="2">
        <v>0</v>
      </c>
      <c r="D49" s="2">
        <v>1</v>
      </c>
      <c r="E49" s="1">
        <v>43763</v>
      </c>
      <c r="F49" s="3">
        <v>16</v>
      </c>
      <c r="G49" s="2" t="s">
        <v>17</v>
      </c>
      <c r="H49" s="8">
        <v>1</v>
      </c>
      <c r="I49" s="3">
        <v>153</v>
      </c>
      <c r="J49" s="3">
        <v>20</v>
      </c>
      <c r="K49" s="2">
        <f t="shared" si="0"/>
        <v>160.22122533307945</v>
      </c>
      <c r="L49" s="2">
        <v>0</v>
      </c>
      <c r="M49" s="2">
        <v>0</v>
      </c>
      <c r="N49" s="2">
        <v>0</v>
      </c>
      <c r="O49" s="7"/>
    </row>
    <row r="50" spans="1:15" x14ac:dyDescent="0.25">
      <c r="A50" s="2" t="s">
        <v>16</v>
      </c>
      <c r="B50" s="2">
        <v>2</v>
      </c>
      <c r="C50" s="2">
        <v>0</v>
      </c>
      <c r="D50" s="2">
        <v>1</v>
      </c>
      <c r="E50" s="1">
        <v>43763</v>
      </c>
      <c r="F50" s="3">
        <v>21</v>
      </c>
      <c r="G50" s="2" t="s">
        <v>17</v>
      </c>
      <c r="H50" s="8">
        <v>1</v>
      </c>
      <c r="I50" s="3">
        <v>120</v>
      </c>
      <c r="J50" s="3">
        <v>19</v>
      </c>
      <c r="K50" s="2">
        <f t="shared" si="0"/>
        <v>113.41149479459152</v>
      </c>
      <c r="L50" s="2">
        <v>0</v>
      </c>
      <c r="M50" s="2">
        <v>0</v>
      </c>
      <c r="N50" s="2">
        <v>0</v>
      </c>
      <c r="O50" s="7"/>
    </row>
    <row r="51" spans="1:15" x14ac:dyDescent="0.25">
      <c r="A51" s="2" t="s">
        <v>16</v>
      </c>
      <c r="B51" s="2">
        <v>2</v>
      </c>
      <c r="C51" s="2">
        <v>0</v>
      </c>
      <c r="D51" s="2">
        <v>1</v>
      </c>
      <c r="E51" s="1">
        <v>43763</v>
      </c>
      <c r="F51" s="3">
        <v>22</v>
      </c>
      <c r="G51" s="2" t="s">
        <v>17</v>
      </c>
      <c r="H51" s="8">
        <v>1</v>
      </c>
      <c r="I51" s="3">
        <v>146</v>
      </c>
      <c r="J51" s="3">
        <v>19</v>
      </c>
      <c r="K51" s="2">
        <f t="shared" si="0"/>
        <v>137.98398533341967</v>
      </c>
      <c r="L51" s="2">
        <v>0</v>
      </c>
      <c r="M51" s="2">
        <v>0</v>
      </c>
      <c r="N51" s="2">
        <v>0</v>
      </c>
      <c r="O51" s="7"/>
    </row>
    <row r="52" spans="1:15" x14ac:dyDescent="0.25">
      <c r="A52" s="2" t="s">
        <v>16</v>
      </c>
      <c r="B52" s="2">
        <v>2</v>
      </c>
      <c r="C52" s="2">
        <v>0</v>
      </c>
      <c r="D52" s="2">
        <v>1</v>
      </c>
      <c r="E52" s="1">
        <v>43763</v>
      </c>
      <c r="F52" s="3">
        <v>23</v>
      </c>
      <c r="G52" s="2" t="s">
        <v>17</v>
      </c>
      <c r="H52" s="8">
        <v>1</v>
      </c>
      <c r="I52" s="3">
        <v>94</v>
      </c>
      <c r="J52" s="3">
        <v>19</v>
      </c>
      <c r="K52" s="2">
        <f t="shared" si="0"/>
        <v>88.839004255763356</v>
      </c>
      <c r="L52" s="2">
        <v>0</v>
      </c>
      <c r="M52" s="2">
        <v>0</v>
      </c>
      <c r="N52" s="2">
        <v>0</v>
      </c>
      <c r="O52" s="7"/>
    </row>
    <row r="53" spans="1:15" x14ac:dyDescent="0.25">
      <c r="A53" s="2" t="s">
        <v>16</v>
      </c>
      <c r="B53" s="2">
        <v>2</v>
      </c>
      <c r="C53" s="2">
        <v>0</v>
      </c>
      <c r="D53" s="2">
        <v>1</v>
      </c>
      <c r="E53" s="1">
        <v>43763</v>
      </c>
      <c r="F53" s="3">
        <v>33</v>
      </c>
      <c r="G53" s="2" t="s">
        <v>17</v>
      </c>
      <c r="H53" s="8">
        <v>1</v>
      </c>
      <c r="I53" s="3">
        <v>92</v>
      </c>
      <c r="J53" s="3">
        <v>19</v>
      </c>
      <c r="K53" s="2">
        <f t="shared" si="0"/>
        <v>86.948812675853503</v>
      </c>
      <c r="L53" s="2">
        <v>0</v>
      </c>
      <c r="M53" s="2">
        <v>0</v>
      </c>
      <c r="N53" s="2">
        <v>0</v>
      </c>
      <c r="O53" s="7"/>
    </row>
    <row r="54" spans="1:15" x14ac:dyDescent="0.25">
      <c r="A54" s="2" t="s">
        <v>16</v>
      </c>
      <c r="B54" s="2">
        <v>2</v>
      </c>
      <c r="C54" s="2">
        <v>0</v>
      </c>
      <c r="D54" s="2">
        <v>1</v>
      </c>
      <c r="E54" s="1">
        <v>43763</v>
      </c>
      <c r="F54" s="3">
        <v>17</v>
      </c>
      <c r="G54" s="2" t="s">
        <v>17</v>
      </c>
      <c r="H54" s="8">
        <v>1</v>
      </c>
      <c r="I54" s="3">
        <v>130</v>
      </c>
      <c r="J54" s="3">
        <v>17</v>
      </c>
      <c r="K54" s="2">
        <f t="shared" si="0"/>
        <v>98.358029996140431</v>
      </c>
      <c r="L54" s="2">
        <v>0</v>
      </c>
      <c r="M54" s="2">
        <v>0</v>
      </c>
      <c r="N54" s="2">
        <v>0</v>
      </c>
      <c r="O54" s="7"/>
    </row>
    <row r="55" spans="1:15" x14ac:dyDescent="0.25">
      <c r="A55" s="2" t="s">
        <v>16</v>
      </c>
      <c r="B55" s="2">
        <v>2</v>
      </c>
      <c r="C55" s="2">
        <v>0</v>
      </c>
      <c r="D55" s="2">
        <v>1</v>
      </c>
      <c r="E55" s="1">
        <v>43763</v>
      </c>
      <c r="F55" s="3">
        <v>50</v>
      </c>
      <c r="G55" s="2" t="s">
        <v>17</v>
      </c>
      <c r="H55" s="8">
        <v>1</v>
      </c>
      <c r="I55" s="3">
        <v>95</v>
      </c>
      <c r="J55" s="3">
        <v>17</v>
      </c>
      <c r="K55" s="2">
        <f t="shared" si="0"/>
        <v>71.877021920256468</v>
      </c>
      <c r="L55" s="2">
        <v>0</v>
      </c>
      <c r="M55" s="2">
        <v>0</v>
      </c>
      <c r="N55" s="2">
        <v>0</v>
      </c>
      <c r="O55" s="7"/>
    </row>
    <row r="56" spans="1:15" x14ac:dyDescent="0.25">
      <c r="A56" s="2" t="s">
        <v>16</v>
      </c>
      <c r="B56" s="2">
        <v>2</v>
      </c>
      <c r="C56" s="2">
        <v>0</v>
      </c>
      <c r="D56" s="2">
        <v>1</v>
      </c>
      <c r="E56" s="1">
        <v>43763</v>
      </c>
      <c r="F56" s="3">
        <v>60</v>
      </c>
      <c r="G56" s="2" t="s">
        <v>17</v>
      </c>
      <c r="H56" s="8">
        <v>1</v>
      </c>
      <c r="I56" s="3">
        <v>122</v>
      </c>
      <c r="J56" s="3">
        <v>17</v>
      </c>
      <c r="K56" s="2">
        <f t="shared" si="0"/>
        <v>92.305228150224096</v>
      </c>
      <c r="L56" s="2">
        <v>0</v>
      </c>
      <c r="M56" s="2">
        <v>0</v>
      </c>
      <c r="N56" s="2">
        <v>0</v>
      </c>
      <c r="O56" s="7" t="s">
        <v>20</v>
      </c>
    </row>
    <row r="57" spans="1:15" x14ac:dyDescent="0.25">
      <c r="A57" s="2" t="s">
        <v>16</v>
      </c>
      <c r="B57" s="2">
        <v>2</v>
      </c>
      <c r="C57" s="2">
        <v>0</v>
      </c>
      <c r="D57" s="2">
        <v>1</v>
      </c>
      <c r="E57" s="1">
        <v>43763</v>
      </c>
      <c r="F57" s="3">
        <v>7</v>
      </c>
      <c r="G57" s="2" t="s">
        <v>17</v>
      </c>
      <c r="H57" s="8">
        <v>1</v>
      </c>
      <c r="I57" s="3">
        <v>92</v>
      </c>
      <c r="J57" s="3">
        <v>16</v>
      </c>
      <c r="K57" s="2">
        <f t="shared" si="0"/>
        <v>61.658991814455675</v>
      </c>
      <c r="L57" s="2">
        <v>0</v>
      </c>
      <c r="M57" s="2">
        <v>0</v>
      </c>
      <c r="N57" s="2">
        <v>0</v>
      </c>
      <c r="O57" s="7" t="s">
        <v>21</v>
      </c>
    </row>
    <row r="58" spans="1:15" x14ac:dyDescent="0.25">
      <c r="A58" s="2" t="s">
        <v>16</v>
      </c>
      <c r="B58" s="2">
        <v>2</v>
      </c>
      <c r="C58" s="2">
        <v>0</v>
      </c>
      <c r="D58" s="2">
        <v>1</v>
      </c>
      <c r="E58" s="1">
        <v>43763</v>
      </c>
      <c r="F58" s="3">
        <v>9</v>
      </c>
      <c r="G58" s="2" t="s">
        <v>17</v>
      </c>
      <c r="H58" s="8">
        <v>1</v>
      </c>
      <c r="I58" s="3">
        <v>166</v>
      </c>
      <c r="J58" s="3">
        <v>16</v>
      </c>
      <c r="K58" s="2">
        <f t="shared" si="0"/>
        <v>111.25426783912657</v>
      </c>
      <c r="L58" s="2">
        <v>0</v>
      </c>
      <c r="M58" s="2">
        <v>0</v>
      </c>
      <c r="N58" s="2">
        <v>0</v>
      </c>
      <c r="O58" s="7"/>
    </row>
    <row r="59" spans="1:15" x14ac:dyDescent="0.25">
      <c r="A59" s="2" t="s">
        <v>16</v>
      </c>
      <c r="B59" s="2">
        <v>2</v>
      </c>
      <c r="C59" s="2">
        <v>0</v>
      </c>
      <c r="D59" s="2">
        <v>1</v>
      </c>
      <c r="E59" s="1">
        <v>43763</v>
      </c>
      <c r="F59" s="3">
        <v>45</v>
      </c>
      <c r="G59" s="2" t="s">
        <v>17</v>
      </c>
      <c r="H59" s="8">
        <v>1</v>
      </c>
      <c r="I59" s="3">
        <v>116</v>
      </c>
      <c r="J59" s="3">
        <v>15</v>
      </c>
      <c r="K59" s="2">
        <f t="shared" si="0"/>
        <v>68.329640215577996</v>
      </c>
      <c r="L59" s="2">
        <v>0</v>
      </c>
      <c r="M59" s="2">
        <v>0</v>
      </c>
      <c r="N59" s="2">
        <v>0</v>
      </c>
      <c r="O59" s="7"/>
    </row>
    <row r="60" spans="1:15" x14ac:dyDescent="0.25">
      <c r="A60" s="2" t="s">
        <v>16</v>
      </c>
      <c r="B60" s="2">
        <v>2</v>
      </c>
      <c r="C60" s="2">
        <v>0</v>
      </c>
      <c r="D60" s="2">
        <v>1</v>
      </c>
      <c r="E60" s="1">
        <v>43763</v>
      </c>
      <c r="F60" s="3">
        <v>1</v>
      </c>
      <c r="G60" s="2" t="s">
        <v>17</v>
      </c>
      <c r="H60" s="8">
        <v>1</v>
      </c>
      <c r="I60" s="3">
        <v>85</v>
      </c>
      <c r="J60" s="3">
        <v>14</v>
      </c>
      <c r="K60" s="2">
        <f t="shared" si="0"/>
        <v>43.615778007338292</v>
      </c>
      <c r="L60" s="2">
        <v>0</v>
      </c>
      <c r="M60" s="2">
        <v>0</v>
      </c>
      <c r="N60" s="2">
        <v>0</v>
      </c>
      <c r="O60" s="7"/>
    </row>
    <row r="61" spans="1:15" x14ac:dyDescent="0.25">
      <c r="A61" s="2" t="s">
        <v>16</v>
      </c>
      <c r="B61" s="2">
        <v>2</v>
      </c>
      <c r="C61" s="2">
        <v>0</v>
      </c>
      <c r="D61" s="2">
        <v>1</v>
      </c>
      <c r="E61" s="1">
        <v>43763</v>
      </c>
      <c r="F61" s="3">
        <v>6</v>
      </c>
      <c r="G61" s="2" t="s">
        <v>17</v>
      </c>
      <c r="H61" s="8">
        <v>1</v>
      </c>
      <c r="I61" s="3">
        <v>108.5</v>
      </c>
      <c r="J61" s="3">
        <v>14</v>
      </c>
      <c r="K61" s="2">
        <f t="shared" si="0"/>
        <v>55.674257809367106</v>
      </c>
      <c r="L61" s="2">
        <v>0</v>
      </c>
      <c r="M61" s="2">
        <v>0</v>
      </c>
      <c r="N61" s="2">
        <v>0</v>
      </c>
      <c r="O61" s="7"/>
    </row>
    <row r="62" spans="1:15" x14ac:dyDescent="0.25">
      <c r="A62" s="2" t="s">
        <v>16</v>
      </c>
      <c r="B62" s="2">
        <v>2</v>
      </c>
      <c r="C62" s="2">
        <v>0</v>
      </c>
      <c r="D62" s="2">
        <v>1</v>
      </c>
      <c r="E62" s="1">
        <v>43763</v>
      </c>
      <c r="F62" s="3">
        <v>20</v>
      </c>
      <c r="G62" s="2" t="s">
        <v>17</v>
      </c>
      <c r="H62" s="8">
        <v>1</v>
      </c>
      <c r="I62" s="3">
        <v>129</v>
      </c>
      <c r="J62" s="3">
        <v>14</v>
      </c>
      <c r="K62" s="2">
        <f t="shared" si="0"/>
        <v>66.193357211136927</v>
      </c>
      <c r="L62" s="2">
        <v>0</v>
      </c>
      <c r="M62" s="2">
        <v>0</v>
      </c>
      <c r="N62" s="2">
        <v>0</v>
      </c>
      <c r="O62" s="7"/>
    </row>
    <row r="63" spans="1:15" x14ac:dyDescent="0.25">
      <c r="A63" s="2" t="s">
        <v>16</v>
      </c>
      <c r="B63" s="2">
        <v>2</v>
      </c>
      <c r="C63" s="2">
        <v>0</v>
      </c>
      <c r="D63" s="2">
        <v>1</v>
      </c>
      <c r="E63" s="1">
        <v>43763</v>
      </c>
      <c r="F63" s="3">
        <v>61</v>
      </c>
      <c r="G63" s="2" t="s">
        <v>17</v>
      </c>
      <c r="H63" s="8">
        <v>1</v>
      </c>
      <c r="I63" s="3">
        <v>128</v>
      </c>
      <c r="J63" s="3">
        <v>14</v>
      </c>
      <c r="K63" s="2">
        <f t="shared" si="0"/>
        <v>65.680230411050601</v>
      </c>
      <c r="L63" s="2">
        <v>0</v>
      </c>
      <c r="M63" s="2">
        <v>0</v>
      </c>
      <c r="N63" s="2">
        <v>0</v>
      </c>
      <c r="O63" s="7"/>
    </row>
    <row r="64" spans="1:15" x14ac:dyDescent="0.25">
      <c r="A64" s="2" t="s">
        <v>16</v>
      </c>
      <c r="B64" s="2">
        <v>2</v>
      </c>
      <c r="C64" s="2">
        <v>0</v>
      </c>
      <c r="D64" s="2">
        <v>1</v>
      </c>
      <c r="E64" s="1">
        <v>43763</v>
      </c>
      <c r="F64" s="3">
        <v>24</v>
      </c>
      <c r="G64" s="2" t="s">
        <v>17</v>
      </c>
      <c r="H64" s="8">
        <v>1</v>
      </c>
      <c r="I64" s="3">
        <v>125</v>
      </c>
      <c r="J64" s="3">
        <v>13</v>
      </c>
      <c r="K64" s="2">
        <f t="shared" si="0"/>
        <v>55.305120672570318</v>
      </c>
      <c r="L64" s="2">
        <v>0</v>
      </c>
      <c r="M64" s="2">
        <v>0</v>
      </c>
      <c r="N64" s="2">
        <v>0</v>
      </c>
      <c r="O64" s="7"/>
    </row>
    <row r="65" spans="1:15" x14ac:dyDescent="0.25">
      <c r="A65" s="2" t="s">
        <v>16</v>
      </c>
      <c r="B65" s="2">
        <v>2</v>
      </c>
      <c r="C65" s="2">
        <v>0</v>
      </c>
      <c r="D65" s="2">
        <v>1</v>
      </c>
      <c r="E65" s="1">
        <v>43763</v>
      </c>
      <c r="F65" s="3">
        <v>47</v>
      </c>
      <c r="G65" s="2" t="s">
        <v>17</v>
      </c>
      <c r="H65" s="8">
        <v>1</v>
      </c>
      <c r="I65" s="3">
        <v>140.5</v>
      </c>
      <c r="J65" s="3">
        <v>13</v>
      </c>
      <c r="K65" s="2">
        <f t="shared" si="0"/>
        <v>62.162955635969041</v>
      </c>
      <c r="L65" s="2">
        <v>0</v>
      </c>
      <c r="M65" s="2">
        <v>0</v>
      </c>
      <c r="N65" s="2">
        <v>0</v>
      </c>
      <c r="O65" s="7"/>
    </row>
    <row r="66" spans="1:15" x14ac:dyDescent="0.25">
      <c r="A66" s="2" t="s">
        <v>16</v>
      </c>
      <c r="B66" s="2">
        <v>2</v>
      </c>
      <c r="C66" s="2">
        <v>0</v>
      </c>
      <c r="D66" s="2">
        <v>1</v>
      </c>
      <c r="E66" s="1">
        <v>43763</v>
      </c>
      <c r="F66" s="3">
        <v>5</v>
      </c>
      <c r="G66" s="2" t="s">
        <v>17</v>
      </c>
      <c r="H66" s="8">
        <v>1</v>
      </c>
      <c r="I66" s="3">
        <v>100</v>
      </c>
      <c r="J66" s="3">
        <v>12</v>
      </c>
      <c r="K66" s="2">
        <f t="shared" ref="K66:K129" si="1">(I66*PI()*(J66/20)*(J66/20))/3</f>
        <v>37.699111843077517</v>
      </c>
      <c r="L66" s="2">
        <v>0</v>
      </c>
      <c r="M66" s="2">
        <v>0</v>
      </c>
      <c r="N66" s="2">
        <v>0</v>
      </c>
      <c r="O66" s="7"/>
    </row>
    <row r="67" spans="1:15" x14ac:dyDescent="0.25">
      <c r="A67" s="2" t="s">
        <v>16</v>
      </c>
      <c r="B67" s="2">
        <v>2</v>
      </c>
      <c r="C67" s="2">
        <v>0</v>
      </c>
      <c r="D67" s="2">
        <v>1</v>
      </c>
      <c r="E67" s="1">
        <v>43763</v>
      </c>
      <c r="F67" s="3">
        <v>8</v>
      </c>
      <c r="G67" s="2" t="s">
        <v>17</v>
      </c>
      <c r="H67" s="8">
        <v>1</v>
      </c>
      <c r="I67" s="3">
        <v>110</v>
      </c>
      <c r="J67" s="3">
        <v>12</v>
      </c>
      <c r="K67" s="2">
        <f t="shared" si="1"/>
        <v>41.469023027385269</v>
      </c>
      <c r="L67" s="2">
        <v>0</v>
      </c>
      <c r="M67" s="2">
        <v>0</v>
      </c>
      <c r="N67" s="2">
        <v>0</v>
      </c>
      <c r="O67" s="7"/>
    </row>
    <row r="68" spans="1:15" x14ac:dyDescent="0.25">
      <c r="A68" s="2" t="s">
        <v>16</v>
      </c>
      <c r="B68" s="2">
        <v>2</v>
      </c>
      <c r="C68" s="2">
        <v>0</v>
      </c>
      <c r="D68" s="2">
        <v>1</v>
      </c>
      <c r="E68" s="1">
        <v>43763</v>
      </c>
      <c r="F68" s="3">
        <v>10</v>
      </c>
      <c r="G68" s="2" t="s">
        <v>17</v>
      </c>
      <c r="H68" s="8">
        <v>1</v>
      </c>
      <c r="I68" s="3">
        <v>107</v>
      </c>
      <c r="J68" s="3">
        <v>12</v>
      </c>
      <c r="K68" s="2">
        <f t="shared" si="1"/>
        <v>40.338049672092943</v>
      </c>
      <c r="L68" s="2">
        <v>0</v>
      </c>
      <c r="M68" s="2">
        <v>0</v>
      </c>
      <c r="N68" s="2">
        <v>0</v>
      </c>
      <c r="O68" s="7"/>
    </row>
    <row r="69" spans="1:15" x14ac:dyDescent="0.25">
      <c r="A69" s="2" t="s">
        <v>16</v>
      </c>
      <c r="B69" s="2">
        <v>2</v>
      </c>
      <c r="C69" s="2">
        <v>0</v>
      </c>
      <c r="D69" s="2">
        <v>1</v>
      </c>
      <c r="E69" s="1">
        <v>43763</v>
      </c>
      <c r="F69" s="3">
        <v>12</v>
      </c>
      <c r="G69" s="2" t="s">
        <v>17</v>
      </c>
      <c r="H69" s="8">
        <v>1</v>
      </c>
      <c r="I69" s="3">
        <v>102</v>
      </c>
      <c r="J69" s="3">
        <v>12</v>
      </c>
      <c r="K69" s="2">
        <f t="shared" si="1"/>
        <v>38.453094079939063</v>
      </c>
      <c r="L69" s="2">
        <v>0</v>
      </c>
      <c r="M69" s="2">
        <v>0</v>
      </c>
      <c r="N69" s="2">
        <v>0</v>
      </c>
      <c r="O69" s="7"/>
    </row>
    <row r="70" spans="1:15" x14ac:dyDescent="0.25">
      <c r="A70" s="2" t="s">
        <v>16</v>
      </c>
      <c r="B70" s="2">
        <v>2</v>
      </c>
      <c r="C70" s="2">
        <v>0</v>
      </c>
      <c r="D70" s="2">
        <v>1</v>
      </c>
      <c r="E70" s="1">
        <v>43763</v>
      </c>
      <c r="F70" s="3">
        <v>13</v>
      </c>
      <c r="G70" s="2" t="s">
        <v>17</v>
      </c>
      <c r="H70" s="8">
        <v>1</v>
      </c>
      <c r="I70" s="3">
        <v>78</v>
      </c>
      <c r="J70" s="3">
        <v>12</v>
      </c>
      <c r="K70" s="2">
        <f t="shared" si="1"/>
        <v>29.405307237600457</v>
      </c>
      <c r="L70" s="2">
        <v>0</v>
      </c>
      <c r="M70" s="2">
        <v>0</v>
      </c>
      <c r="N70" s="2">
        <v>0</v>
      </c>
      <c r="O70" s="7" t="s">
        <v>22</v>
      </c>
    </row>
    <row r="71" spans="1:15" x14ac:dyDescent="0.25">
      <c r="A71" s="2" t="s">
        <v>16</v>
      </c>
      <c r="B71" s="2">
        <v>2</v>
      </c>
      <c r="C71" s="2">
        <v>0</v>
      </c>
      <c r="D71" s="2">
        <v>1</v>
      </c>
      <c r="E71" s="1">
        <v>43763</v>
      </c>
      <c r="F71" s="3">
        <v>19</v>
      </c>
      <c r="G71" s="2" t="s">
        <v>17</v>
      </c>
      <c r="H71" s="8">
        <v>1</v>
      </c>
      <c r="I71" s="3">
        <v>105</v>
      </c>
      <c r="J71" s="3">
        <v>12</v>
      </c>
      <c r="K71" s="2">
        <f t="shared" si="1"/>
        <v>39.584067435231397</v>
      </c>
      <c r="L71" s="2">
        <v>0</v>
      </c>
      <c r="M71" s="2">
        <v>0</v>
      </c>
      <c r="N71" s="2">
        <v>0</v>
      </c>
      <c r="O71" s="7"/>
    </row>
    <row r="72" spans="1:15" x14ac:dyDescent="0.25">
      <c r="A72" s="2" t="s">
        <v>16</v>
      </c>
      <c r="B72" s="2">
        <v>2</v>
      </c>
      <c r="C72" s="2">
        <v>0</v>
      </c>
      <c r="D72" s="2">
        <v>1</v>
      </c>
      <c r="E72" s="1">
        <v>43763</v>
      </c>
      <c r="F72" s="3">
        <v>32</v>
      </c>
      <c r="G72" s="2" t="s">
        <v>17</v>
      </c>
      <c r="H72" s="8">
        <v>1</v>
      </c>
      <c r="I72" s="3">
        <v>94</v>
      </c>
      <c r="J72" s="3">
        <v>12</v>
      </c>
      <c r="K72" s="2">
        <f t="shared" si="1"/>
        <v>35.437165132492865</v>
      </c>
      <c r="L72" s="2">
        <v>0</v>
      </c>
      <c r="M72" s="2">
        <v>0</v>
      </c>
      <c r="N72" s="2">
        <v>0</v>
      </c>
      <c r="O72" s="7"/>
    </row>
    <row r="73" spans="1:15" x14ac:dyDescent="0.25">
      <c r="A73" s="2" t="s">
        <v>16</v>
      </c>
      <c r="B73" s="2">
        <v>2</v>
      </c>
      <c r="C73" s="2">
        <v>0</v>
      </c>
      <c r="D73" s="2">
        <v>1</v>
      </c>
      <c r="E73" s="1">
        <v>43763</v>
      </c>
      <c r="F73" s="3">
        <v>34</v>
      </c>
      <c r="G73" s="2" t="s">
        <v>17</v>
      </c>
      <c r="H73" s="8">
        <v>1</v>
      </c>
      <c r="I73" s="3">
        <v>93</v>
      </c>
      <c r="J73" s="3">
        <v>12</v>
      </c>
      <c r="K73" s="2">
        <f t="shared" si="1"/>
        <v>35.060174014062085</v>
      </c>
      <c r="L73" s="2">
        <v>0</v>
      </c>
      <c r="M73" s="2">
        <v>0</v>
      </c>
      <c r="N73" s="2">
        <v>0</v>
      </c>
      <c r="O73" s="7"/>
    </row>
    <row r="74" spans="1:15" x14ac:dyDescent="0.25">
      <c r="A74" s="2" t="s">
        <v>16</v>
      </c>
      <c r="B74" s="2">
        <v>2</v>
      </c>
      <c r="C74" s="2">
        <v>0</v>
      </c>
      <c r="D74" s="2">
        <v>1</v>
      </c>
      <c r="E74" s="1">
        <v>43763</v>
      </c>
      <c r="F74" s="3">
        <v>48</v>
      </c>
      <c r="G74" s="2" t="s">
        <v>17</v>
      </c>
      <c r="H74" s="8">
        <v>1</v>
      </c>
      <c r="I74" s="3">
        <v>124</v>
      </c>
      <c r="J74" s="3">
        <v>12</v>
      </c>
      <c r="K74" s="2">
        <f t="shared" si="1"/>
        <v>46.746898685416113</v>
      </c>
      <c r="L74" s="2">
        <v>0</v>
      </c>
      <c r="M74" s="2">
        <v>0</v>
      </c>
      <c r="N74" s="2">
        <v>0</v>
      </c>
      <c r="O74" s="7"/>
    </row>
    <row r="75" spans="1:15" x14ac:dyDescent="0.25">
      <c r="A75" s="2" t="s">
        <v>16</v>
      </c>
      <c r="B75" s="2">
        <v>2</v>
      </c>
      <c r="C75" s="2">
        <v>0</v>
      </c>
      <c r="D75" s="2">
        <v>1</v>
      </c>
      <c r="E75" s="1">
        <v>43763</v>
      </c>
      <c r="F75" s="3">
        <v>51</v>
      </c>
      <c r="G75" s="2" t="s">
        <v>17</v>
      </c>
      <c r="H75" s="8">
        <v>1</v>
      </c>
      <c r="I75" s="3">
        <v>101</v>
      </c>
      <c r="J75" s="3">
        <v>12</v>
      </c>
      <c r="K75" s="2">
        <f t="shared" si="1"/>
        <v>38.07610296150829</v>
      </c>
      <c r="L75" s="2">
        <v>0</v>
      </c>
      <c r="M75" s="2">
        <v>0</v>
      </c>
      <c r="N75" s="2">
        <v>0</v>
      </c>
      <c r="O75" s="7"/>
    </row>
    <row r="76" spans="1:15" x14ac:dyDescent="0.25">
      <c r="A76" s="2" t="s">
        <v>16</v>
      </c>
      <c r="B76" s="2">
        <v>2</v>
      </c>
      <c r="C76" s="2">
        <v>0</v>
      </c>
      <c r="D76" s="2">
        <v>1</v>
      </c>
      <c r="E76" s="1">
        <v>43763</v>
      </c>
      <c r="F76" s="3">
        <v>4</v>
      </c>
      <c r="G76" s="2" t="s">
        <v>17</v>
      </c>
      <c r="H76" s="8">
        <v>1</v>
      </c>
      <c r="I76" s="3">
        <v>79</v>
      </c>
      <c r="J76" s="3">
        <v>11</v>
      </c>
      <c r="K76" s="2">
        <f t="shared" si="1"/>
        <v>25.025403479720698</v>
      </c>
      <c r="L76" s="2">
        <v>0</v>
      </c>
      <c r="M76" s="2">
        <v>0</v>
      </c>
      <c r="N76" s="2">
        <v>0</v>
      </c>
      <c r="O76" s="7" t="s">
        <v>23</v>
      </c>
    </row>
    <row r="77" spans="1:15" x14ac:dyDescent="0.25">
      <c r="A77" s="2" t="s">
        <v>16</v>
      </c>
      <c r="B77" s="2">
        <v>2</v>
      </c>
      <c r="C77" s="2">
        <v>0</v>
      </c>
      <c r="D77" s="2">
        <v>1</v>
      </c>
      <c r="E77" s="1">
        <v>43763</v>
      </c>
      <c r="F77" s="3">
        <v>35</v>
      </c>
      <c r="G77" s="2" t="s">
        <v>17</v>
      </c>
      <c r="H77" s="8">
        <v>1</v>
      </c>
      <c r="I77" s="3">
        <v>70</v>
      </c>
      <c r="J77" s="3">
        <v>10</v>
      </c>
      <c r="K77" s="2">
        <f t="shared" si="1"/>
        <v>18.32595714594046</v>
      </c>
      <c r="L77" s="2">
        <v>0</v>
      </c>
      <c r="M77" s="2">
        <v>0</v>
      </c>
      <c r="N77" s="2">
        <v>0</v>
      </c>
      <c r="O77" s="7"/>
    </row>
    <row r="78" spans="1:15" x14ac:dyDescent="0.25">
      <c r="A78" s="2" t="s">
        <v>16</v>
      </c>
      <c r="B78" s="2">
        <v>2</v>
      </c>
      <c r="C78" s="2">
        <v>0</v>
      </c>
      <c r="D78" s="2">
        <v>1</v>
      </c>
      <c r="E78" s="1">
        <v>43763</v>
      </c>
      <c r="F78" s="3">
        <v>37</v>
      </c>
      <c r="G78" s="2" t="s">
        <v>17</v>
      </c>
      <c r="H78" s="8">
        <v>1</v>
      </c>
      <c r="I78" s="3">
        <v>81</v>
      </c>
      <c r="J78" s="3">
        <v>10</v>
      </c>
      <c r="K78" s="2">
        <f t="shared" si="1"/>
        <v>21.205750411731103</v>
      </c>
      <c r="L78" s="2">
        <v>0</v>
      </c>
      <c r="M78" s="2">
        <v>0</v>
      </c>
      <c r="N78" s="2">
        <v>0</v>
      </c>
      <c r="O78" s="7"/>
    </row>
    <row r="79" spans="1:15" x14ac:dyDescent="0.25">
      <c r="A79" s="2" t="s">
        <v>16</v>
      </c>
      <c r="B79" s="2">
        <v>2</v>
      </c>
      <c r="C79" s="2">
        <v>0</v>
      </c>
      <c r="D79" s="2">
        <v>1</v>
      </c>
      <c r="E79" s="1">
        <v>43763</v>
      </c>
      <c r="F79" s="3">
        <v>11</v>
      </c>
      <c r="G79" s="2" t="s">
        <v>17</v>
      </c>
      <c r="H79" s="8">
        <v>1</v>
      </c>
      <c r="I79" s="3">
        <v>100</v>
      </c>
      <c r="J79" s="3">
        <v>9</v>
      </c>
      <c r="K79" s="2">
        <f t="shared" si="1"/>
        <v>21.205750411731106</v>
      </c>
      <c r="L79" s="2">
        <v>0</v>
      </c>
      <c r="M79" s="2">
        <v>0</v>
      </c>
      <c r="N79" s="2">
        <v>0</v>
      </c>
      <c r="O79" s="7" t="s">
        <v>24</v>
      </c>
    </row>
    <row r="80" spans="1:15" x14ac:dyDescent="0.25">
      <c r="A80" s="2" t="s">
        <v>16</v>
      </c>
      <c r="B80" s="2">
        <v>2</v>
      </c>
      <c r="C80" s="2">
        <v>0</v>
      </c>
      <c r="D80" s="2">
        <v>1</v>
      </c>
      <c r="E80" s="1">
        <v>43763</v>
      </c>
      <c r="F80" s="3">
        <v>15</v>
      </c>
      <c r="G80" s="2" t="s">
        <v>17</v>
      </c>
      <c r="H80" s="8">
        <v>1</v>
      </c>
      <c r="I80" s="3">
        <v>82</v>
      </c>
      <c r="J80" s="3">
        <v>9</v>
      </c>
      <c r="K80" s="2">
        <f t="shared" si="1"/>
        <v>17.388715337619505</v>
      </c>
      <c r="L80" s="2">
        <v>0</v>
      </c>
      <c r="M80" s="2">
        <v>0</v>
      </c>
      <c r="N80" s="2">
        <v>0</v>
      </c>
      <c r="O80" s="7"/>
    </row>
    <row r="81" spans="1:15" x14ac:dyDescent="0.25">
      <c r="A81" s="2" t="s">
        <v>16</v>
      </c>
      <c r="B81" s="2">
        <v>2</v>
      </c>
      <c r="C81" s="2">
        <v>0</v>
      </c>
      <c r="D81" s="2">
        <v>1</v>
      </c>
      <c r="E81" s="1">
        <v>43763</v>
      </c>
      <c r="F81" s="3">
        <v>57</v>
      </c>
      <c r="G81" s="2" t="s">
        <v>17</v>
      </c>
      <c r="H81" s="8">
        <v>1</v>
      </c>
      <c r="I81" s="3">
        <v>62</v>
      </c>
      <c r="J81" s="3">
        <v>9</v>
      </c>
      <c r="K81" s="2">
        <f t="shared" si="1"/>
        <v>13.147565255273285</v>
      </c>
      <c r="L81" s="2">
        <v>0</v>
      </c>
      <c r="M81" s="2">
        <v>0</v>
      </c>
      <c r="N81" s="2">
        <v>0</v>
      </c>
      <c r="O81" s="7"/>
    </row>
    <row r="82" spans="1:15" x14ac:dyDescent="0.25">
      <c r="A82" s="2" t="s">
        <v>16</v>
      </c>
      <c r="B82" s="2">
        <v>2</v>
      </c>
      <c r="C82" s="2">
        <v>0</v>
      </c>
      <c r="D82" s="2">
        <v>1</v>
      </c>
      <c r="E82" s="1">
        <v>43763</v>
      </c>
      <c r="F82" s="3">
        <v>18</v>
      </c>
      <c r="G82" s="2" t="s">
        <v>17</v>
      </c>
      <c r="H82" s="8">
        <v>1</v>
      </c>
      <c r="I82" s="3">
        <v>82</v>
      </c>
      <c r="J82" s="3">
        <v>8</v>
      </c>
      <c r="K82" s="2">
        <f t="shared" si="1"/>
        <v>13.739231871699362</v>
      </c>
      <c r="L82" s="2">
        <v>0</v>
      </c>
      <c r="M82" s="2">
        <v>0</v>
      </c>
      <c r="N82" s="2">
        <v>0</v>
      </c>
      <c r="O82" s="7"/>
    </row>
    <row r="83" spans="1:15" x14ac:dyDescent="0.25">
      <c r="A83" s="2" t="s">
        <v>16</v>
      </c>
      <c r="B83" s="2">
        <v>2</v>
      </c>
      <c r="C83" s="2">
        <v>0</v>
      </c>
      <c r="D83" s="2">
        <v>1</v>
      </c>
      <c r="E83" s="1">
        <v>43763</v>
      </c>
      <c r="F83" s="3">
        <v>56</v>
      </c>
      <c r="G83" s="2" t="s">
        <v>17</v>
      </c>
      <c r="H83" s="8">
        <v>1</v>
      </c>
      <c r="I83" s="3">
        <v>85</v>
      </c>
      <c r="J83" s="3">
        <v>8</v>
      </c>
      <c r="K83" s="2">
        <f t="shared" si="1"/>
        <v>14.241886696273731</v>
      </c>
      <c r="L83" s="2">
        <v>0</v>
      </c>
      <c r="M83" s="2">
        <v>0</v>
      </c>
      <c r="N83" s="2">
        <v>0</v>
      </c>
      <c r="O83" s="7"/>
    </row>
    <row r="84" spans="1:15" x14ac:dyDescent="0.25">
      <c r="A84" s="2" t="s">
        <v>16</v>
      </c>
      <c r="B84" s="2">
        <v>2</v>
      </c>
      <c r="C84" s="2">
        <v>0</v>
      </c>
      <c r="D84" s="2">
        <v>1</v>
      </c>
      <c r="E84" s="1">
        <v>43763</v>
      </c>
      <c r="F84" s="3">
        <v>46</v>
      </c>
      <c r="G84" s="2" t="s">
        <v>17</v>
      </c>
      <c r="H84" s="8">
        <v>1</v>
      </c>
      <c r="I84" s="3">
        <v>76</v>
      </c>
      <c r="J84" s="3">
        <v>7</v>
      </c>
      <c r="K84" s="2">
        <f t="shared" si="1"/>
        <v>9.7494092016403222</v>
      </c>
      <c r="L84" s="2">
        <v>0</v>
      </c>
      <c r="M84" s="2">
        <v>0</v>
      </c>
      <c r="N84" s="2">
        <v>0</v>
      </c>
      <c r="O84" s="7"/>
    </row>
    <row r="85" spans="1:15" x14ac:dyDescent="0.25">
      <c r="A85" s="2" t="s">
        <v>16</v>
      </c>
      <c r="B85" s="2">
        <v>2</v>
      </c>
      <c r="C85" s="2">
        <v>0</v>
      </c>
      <c r="D85" s="2">
        <v>1</v>
      </c>
      <c r="E85" s="1">
        <v>43763</v>
      </c>
      <c r="F85" s="3">
        <v>3</v>
      </c>
      <c r="G85" s="2" t="s">
        <v>17</v>
      </c>
      <c r="H85" s="8">
        <v>1</v>
      </c>
      <c r="I85" s="3">
        <v>48</v>
      </c>
      <c r="J85" s="3">
        <v>5</v>
      </c>
      <c r="K85" s="2">
        <f t="shared" si="1"/>
        <v>3.1415926535897931</v>
      </c>
      <c r="L85" s="2">
        <v>1</v>
      </c>
      <c r="M85" s="2">
        <v>0</v>
      </c>
      <c r="N85" s="2">
        <v>0</v>
      </c>
      <c r="O85" s="7" t="s">
        <v>21</v>
      </c>
    </row>
    <row r="86" spans="1:15" x14ac:dyDescent="0.25">
      <c r="A86" s="2" t="s">
        <v>16</v>
      </c>
      <c r="B86" s="2">
        <v>2</v>
      </c>
      <c r="C86" s="2">
        <v>0</v>
      </c>
      <c r="D86" s="2">
        <v>1</v>
      </c>
      <c r="E86" s="1">
        <v>43763</v>
      </c>
      <c r="F86" s="3">
        <v>14</v>
      </c>
      <c r="G86" s="2" t="s">
        <v>17</v>
      </c>
      <c r="H86" s="8">
        <v>1</v>
      </c>
      <c r="I86" s="3">
        <v>86</v>
      </c>
      <c r="J86" s="3">
        <v>5</v>
      </c>
      <c r="K86" s="2">
        <f t="shared" si="1"/>
        <v>5.6286868376817125</v>
      </c>
      <c r="L86" s="2">
        <v>1</v>
      </c>
      <c r="M86" s="2">
        <v>0</v>
      </c>
      <c r="N86" s="2">
        <v>0</v>
      </c>
      <c r="O86" s="7"/>
    </row>
    <row r="87" spans="1:15" x14ac:dyDescent="0.25">
      <c r="A87" s="2" t="s">
        <v>16</v>
      </c>
      <c r="B87" s="2">
        <v>2</v>
      </c>
      <c r="C87" s="2">
        <v>0</v>
      </c>
      <c r="D87" s="2">
        <v>1</v>
      </c>
      <c r="E87" s="1">
        <v>43763</v>
      </c>
      <c r="F87" s="3">
        <v>2</v>
      </c>
      <c r="G87" s="2" t="s">
        <v>17</v>
      </c>
      <c r="H87" s="8">
        <v>1</v>
      </c>
      <c r="I87" s="3">
        <v>43</v>
      </c>
      <c r="J87" s="3">
        <v>4</v>
      </c>
      <c r="K87" s="2">
        <f t="shared" si="1"/>
        <v>1.8011797880581482</v>
      </c>
      <c r="L87" s="2">
        <v>1</v>
      </c>
      <c r="M87" s="2">
        <v>0</v>
      </c>
      <c r="N87" s="2">
        <v>0</v>
      </c>
      <c r="O87" s="7"/>
    </row>
    <row r="88" spans="1:15" x14ac:dyDescent="0.25">
      <c r="A88" s="2" t="s">
        <v>16</v>
      </c>
      <c r="B88" s="2">
        <v>3</v>
      </c>
      <c r="C88" s="8">
        <v>0</v>
      </c>
      <c r="D88" s="8">
        <v>0</v>
      </c>
      <c r="E88" s="1">
        <v>43763</v>
      </c>
      <c r="F88" s="3">
        <v>12</v>
      </c>
      <c r="G88" s="2" t="s">
        <v>17</v>
      </c>
      <c r="H88" s="8">
        <v>1</v>
      </c>
      <c r="I88" s="3">
        <v>67</v>
      </c>
      <c r="J88" s="3">
        <v>12</v>
      </c>
      <c r="K88" s="2">
        <f t="shared" si="1"/>
        <v>25.258404934861932</v>
      </c>
      <c r="L88" s="3">
        <v>0</v>
      </c>
      <c r="M88" s="2">
        <v>0</v>
      </c>
      <c r="N88" s="3">
        <v>1</v>
      </c>
      <c r="O88" s="3"/>
    </row>
    <row r="89" spans="1:15" x14ac:dyDescent="0.25">
      <c r="A89" s="2" t="s">
        <v>16</v>
      </c>
      <c r="B89" s="2">
        <v>3</v>
      </c>
      <c r="C89" s="8">
        <v>0</v>
      </c>
      <c r="D89" s="8">
        <v>0</v>
      </c>
      <c r="E89" s="1">
        <v>43763</v>
      </c>
      <c r="F89" s="3">
        <v>13</v>
      </c>
      <c r="G89" s="2" t="s">
        <v>17</v>
      </c>
      <c r="H89" s="8">
        <v>1</v>
      </c>
      <c r="I89" s="3">
        <v>47</v>
      </c>
      <c r="J89" s="3">
        <v>11</v>
      </c>
      <c r="K89" s="2">
        <f t="shared" si="1"/>
        <v>14.888531184137632</v>
      </c>
      <c r="L89" s="3">
        <v>0</v>
      </c>
      <c r="M89" s="2">
        <v>0</v>
      </c>
      <c r="N89" s="2">
        <v>1</v>
      </c>
      <c r="O89" s="3"/>
    </row>
    <row r="90" spans="1:15" x14ac:dyDescent="0.25">
      <c r="A90" s="2" t="s">
        <v>16</v>
      </c>
      <c r="B90" s="2">
        <v>3</v>
      </c>
      <c r="C90" s="8">
        <v>0</v>
      </c>
      <c r="D90" s="8">
        <v>0</v>
      </c>
      <c r="E90" s="1">
        <v>43763</v>
      </c>
      <c r="F90" s="3">
        <v>2</v>
      </c>
      <c r="G90" s="2" t="s">
        <v>17</v>
      </c>
      <c r="H90" s="8">
        <v>1</v>
      </c>
      <c r="I90" s="3">
        <v>77</v>
      </c>
      <c r="J90" s="3">
        <v>10</v>
      </c>
      <c r="K90" s="2">
        <f t="shared" si="1"/>
        <v>20.158552860534506</v>
      </c>
      <c r="L90" s="3">
        <v>0</v>
      </c>
      <c r="M90" s="2">
        <v>0</v>
      </c>
      <c r="N90" s="2">
        <v>0</v>
      </c>
      <c r="O90" s="3"/>
    </row>
    <row r="91" spans="1:15" x14ac:dyDescent="0.25">
      <c r="A91" s="2" t="s">
        <v>16</v>
      </c>
      <c r="B91" s="2">
        <v>3</v>
      </c>
      <c r="C91" s="8">
        <v>0</v>
      </c>
      <c r="D91" s="8">
        <v>0</v>
      </c>
      <c r="E91" s="1">
        <v>43763</v>
      </c>
      <c r="F91" s="3">
        <v>5</v>
      </c>
      <c r="G91" s="2" t="s">
        <v>17</v>
      </c>
      <c r="H91" s="8">
        <v>1</v>
      </c>
      <c r="I91" s="3">
        <v>52</v>
      </c>
      <c r="J91" s="3">
        <v>10</v>
      </c>
      <c r="K91" s="2">
        <f t="shared" si="1"/>
        <v>13.613568165555771</v>
      </c>
      <c r="L91" s="3">
        <v>0</v>
      </c>
      <c r="M91" s="2">
        <v>0</v>
      </c>
      <c r="N91" s="2">
        <v>0</v>
      </c>
      <c r="O91" s="3"/>
    </row>
    <row r="92" spans="1:15" x14ac:dyDescent="0.25">
      <c r="A92" s="2" t="s">
        <v>16</v>
      </c>
      <c r="B92" s="2">
        <v>3</v>
      </c>
      <c r="C92" s="8">
        <v>0</v>
      </c>
      <c r="D92" s="8">
        <v>0</v>
      </c>
      <c r="E92" s="1">
        <v>43763</v>
      </c>
      <c r="F92" s="3">
        <v>4</v>
      </c>
      <c r="G92" s="2" t="s">
        <v>17</v>
      </c>
      <c r="H92" s="8">
        <v>1</v>
      </c>
      <c r="I92" s="3">
        <v>63</v>
      </c>
      <c r="J92" s="3">
        <v>10</v>
      </c>
      <c r="K92" s="2">
        <f t="shared" si="1"/>
        <v>16.493361431346415</v>
      </c>
      <c r="L92" s="3">
        <v>0</v>
      </c>
      <c r="M92" s="2">
        <v>0</v>
      </c>
      <c r="N92" s="2">
        <v>1</v>
      </c>
      <c r="O92" s="3"/>
    </row>
    <row r="93" spans="1:15" x14ac:dyDescent="0.25">
      <c r="A93" s="2" t="s">
        <v>16</v>
      </c>
      <c r="B93" s="2">
        <v>3</v>
      </c>
      <c r="C93" s="8">
        <v>0</v>
      </c>
      <c r="D93" s="8">
        <v>0</v>
      </c>
      <c r="E93" s="1">
        <v>43763</v>
      </c>
      <c r="F93" s="3">
        <v>10</v>
      </c>
      <c r="G93" s="2" t="s">
        <v>17</v>
      </c>
      <c r="H93" s="8">
        <v>1</v>
      </c>
      <c r="I93" s="3">
        <v>70</v>
      </c>
      <c r="J93" s="3">
        <v>10</v>
      </c>
      <c r="K93" s="2">
        <f t="shared" si="1"/>
        <v>18.32595714594046</v>
      </c>
      <c r="L93" s="3">
        <v>0</v>
      </c>
      <c r="M93" s="2">
        <v>0</v>
      </c>
      <c r="N93" s="2">
        <v>1</v>
      </c>
      <c r="O93" s="3"/>
    </row>
    <row r="94" spans="1:15" x14ac:dyDescent="0.25">
      <c r="A94" s="2" t="s">
        <v>16</v>
      </c>
      <c r="B94" s="2">
        <v>3</v>
      </c>
      <c r="C94" s="8">
        <v>0</v>
      </c>
      <c r="D94" s="8">
        <v>0</v>
      </c>
      <c r="E94" s="1">
        <v>43763</v>
      </c>
      <c r="F94" s="3">
        <v>7</v>
      </c>
      <c r="G94" s="2" t="s">
        <v>17</v>
      </c>
      <c r="H94" s="8">
        <v>1</v>
      </c>
      <c r="I94" s="3">
        <v>59</v>
      </c>
      <c r="J94" s="3">
        <v>9</v>
      </c>
      <c r="K94" s="2">
        <f t="shared" si="1"/>
        <v>12.511392742921352</v>
      </c>
      <c r="L94" s="3">
        <v>0</v>
      </c>
      <c r="M94" s="2">
        <v>0</v>
      </c>
      <c r="N94" s="3">
        <v>1</v>
      </c>
      <c r="O94" s="3"/>
    </row>
    <row r="95" spans="1:15" x14ac:dyDescent="0.25">
      <c r="A95" s="2" t="s">
        <v>16</v>
      </c>
      <c r="B95" s="2">
        <v>3</v>
      </c>
      <c r="C95" s="8">
        <v>0</v>
      </c>
      <c r="D95" s="8">
        <v>0</v>
      </c>
      <c r="E95" s="1">
        <v>43763</v>
      </c>
      <c r="F95" s="3">
        <v>16</v>
      </c>
      <c r="G95" s="2" t="s">
        <v>17</v>
      </c>
      <c r="H95" s="8">
        <v>1</v>
      </c>
      <c r="I95" s="3">
        <v>52</v>
      </c>
      <c r="J95" s="3">
        <v>9</v>
      </c>
      <c r="K95" s="2">
        <f t="shared" si="1"/>
        <v>11.026990214100174</v>
      </c>
      <c r="L95" s="3">
        <v>0</v>
      </c>
      <c r="M95" s="2">
        <v>0</v>
      </c>
      <c r="N95" s="2">
        <v>1</v>
      </c>
      <c r="O95" s="3"/>
    </row>
    <row r="96" spans="1:15" x14ac:dyDescent="0.25">
      <c r="A96" s="2" t="s">
        <v>16</v>
      </c>
      <c r="B96" s="2">
        <v>3</v>
      </c>
      <c r="C96" s="8">
        <v>0</v>
      </c>
      <c r="D96" s="8">
        <v>0</v>
      </c>
      <c r="E96" s="1">
        <v>43763</v>
      </c>
      <c r="F96" s="3">
        <v>1</v>
      </c>
      <c r="G96" s="2" t="s">
        <v>17</v>
      </c>
      <c r="H96" s="8">
        <v>1</v>
      </c>
      <c r="I96" s="3">
        <v>70</v>
      </c>
      <c r="J96" s="3">
        <v>7</v>
      </c>
      <c r="K96" s="2">
        <f t="shared" si="1"/>
        <v>8.9797190015108246</v>
      </c>
      <c r="L96" s="3">
        <v>0</v>
      </c>
      <c r="M96" s="2">
        <v>0</v>
      </c>
      <c r="N96" s="2">
        <v>0</v>
      </c>
      <c r="O96" s="3" t="s">
        <v>29</v>
      </c>
    </row>
    <row r="97" spans="1:15" x14ac:dyDescent="0.25">
      <c r="A97" s="2" t="s">
        <v>16</v>
      </c>
      <c r="B97" s="2">
        <v>3</v>
      </c>
      <c r="C97" s="8">
        <v>0</v>
      </c>
      <c r="D97" s="8">
        <v>0</v>
      </c>
      <c r="E97" s="1">
        <v>43763</v>
      </c>
      <c r="F97" s="3">
        <v>18</v>
      </c>
      <c r="G97" s="2" t="s">
        <v>17</v>
      </c>
      <c r="H97" s="8">
        <v>1</v>
      </c>
      <c r="I97" s="3">
        <v>58</v>
      </c>
      <c r="J97" s="3">
        <v>7</v>
      </c>
      <c r="K97" s="2">
        <f t="shared" si="1"/>
        <v>7.4403386012518267</v>
      </c>
      <c r="L97" s="3">
        <v>0</v>
      </c>
      <c r="M97" s="2">
        <v>0</v>
      </c>
      <c r="N97" s="2">
        <v>0</v>
      </c>
      <c r="O97" s="3"/>
    </row>
    <row r="98" spans="1:15" x14ac:dyDescent="0.25">
      <c r="A98" s="2" t="s">
        <v>16</v>
      </c>
      <c r="B98" s="2">
        <v>3</v>
      </c>
      <c r="C98" s="8">
        <v>0</v>
      </c>
      <c r="D98" s="8">
        <v>0</v>
      </c>
      <c r="E98" s="1">
        <v>43763</v>
      </c>
      <c r="F98" s="3">
        <v>17</v>
      </c>
      <c r="G98" s="2" t="s">
        <v>17</v>
      </c>
      <c r="H98" s="8">
        <v>1</v>
      </c>
      <c r="I98" s="3">
        <v>47</v>
      </c>
      <c r="J98" s="3">
        <v>7</v>
      </c>
      <c r="K98" s="2">
        <f t="shared" si="1"/>
        <v>6.0292399010144111</v>
      </c>
      <c r="L98" s="3">
        <v>0</v>
      </c>
      <c r="M98" s="2">
        <v>0</v>
      </c>
      <c r="N98" s="3">
        <v>1</v>
      </c>
      <c r="O98" s="3"/>
    </row>
    <row r="99" spans="1:15" x14ac:dyDescent="0.25">
      <c r="A99" s="2" t="s">
        <v>16</v>
      </c>
      <c r="B99" s="2">
        <v>3</v>
      </c>
      <c r="C99" s="8">
        <v>0</v>
      </c>
      <c r="D99" s="8">
        <v>0</v>
      </c>
      <c r="E99" s="1">
        <v>43763</v>
      </c>
      <c r="F99" s="3">
        <v>15</v>
      </c>
      <c r="G99" s="2" t="s">
        <v>17</v>
      </c>
      <c r="H99" s="8">
        <v>1</v>
      </c>
      <c r="I99" s="3">
        <v>52</v>
      </c>
      <c r="J99" s="3">
        <v>6</v>
      </c>
      <c r="K99" s="2">
        <f t="shared" si="1"/>
        <v>4.9008845396000771</v>
      </c>
      <c r="L99" s="3">
        <v>0</v>
      </c>
      <c r="M99" s="2">
        <v>0</v>
      </c>
      <c r="N99" s="3">
        <v>1</v>
      </c>
      <c r="O99" s="3"/>
    </row>
    <row r="100" spans="1:15" x14ac:dyDescent="0.25">
      <c r="A100" s="2" t="s">
        <v>16</v>
      </c>
      <c r="B100" s="2">
        <v>3</v>
      </c>
      <c r="C100" s="8">
        <v>0</v>
      </c>
      <c r="D100" s="8">
        <v>0</v>
      </c>
      <c r="E100" s="1">
        <v>43763</v>
      </c>
      <c r="F100" s="3">
        <v>6</v>
      </c>
      <c r="G100" s="2" t="s">
        <v>17</v>
      </c>
      <c r="H100" s="8">
        <v>1</v>
      </c>
      <c r="I100" s="3">
        <v>42</v>
      </c>
      <c r="J100" s="3">
        <v>5</v>
      </c>
      <c r="K100" s="2">
        <f t="shared" si="1"/>
        <v>2.748893571891069</v>
      </c>
      <c r="L100" s="3">
        <v>0</v>
      </c>
      <c r="M100" s="2">
        <v>0</v>
      </c>
      <c r="N100" s="2">
        <v>0</v>
      </c>
      <c r="O100" s="3" t="s">
        <v>29</v>
      </c>
    </row>
    <row r="101" spans="1:15" x14ac:dyDescent="0.25">
      <c r="A101" s="2" t="s">
        <v>16</v>
      </c>
      <c r="B101" s="2">
        <v>3</v>
      </c>
      <c r="C101" s="8">
        <v>0</v>
      </c>
      <c r="D101" s="8">
        <v>0</v>
      </c>
      <c r="E101" s="1">
        <v>43763</v>
      </c>
      <c r="F101" s="3">
        <v>8</v>
      </c>
      <c r="G101" s="2" t="s">
        <v>17</v>
      </c>
      <c r="H101" s="8">
        <v>1</v>
      </c>
      <c r="I101" s="3">
        <v>50</v>
      </c>
      <c r="J101" s="3">
        <v>5</v>
      </c>
      <c r="K101" s="2">
        <f t="shared" si="1"/>
        <v>3.2724923474893681</v>
      </c>
      <c r="L101" s="3">
        <v>0</v>
      </c>
      <c r="M101" s="2">
        <v>0</v>
      </c>
      <c r="N101" s="2">
        <v>0</v>
      </c>
      <c r="O101" s="3" t="s">
        <v>29</v>
      </c>
    </row>
    <row r="102" spans="1:15" x14ac:dyDescent="0.25">
      <c r="A102" s="2" t="s">
        <v>16</v>
      </c>
      <c r="B102" s="2">
        <v>3</v>
      </c>
      <c r="C102" s="8">
        <v>0</v>
      </c>
      <c r="D102" s="8">
        <v>0</v>
      </c>
      <c r="E102" s="1">
        <v>43763</v>
      </c>
      <c r="F102" s="3">
        <v>9</v>
      </c>
      <c r="G102" s="2" t="s">
        <v>17</v>
      </c>
      <c r="H102" s="8">
        <v>1</v>
      </c>
      <c r="I102" s="3">
        <v>69</v>
      </c>
      <c r="J102" s="3">
        <v>4</v>
      </c>
      <c r="K102" s="2">
        <f t="shared" si="1"/>
        <v>2.8902652413026098</v>
      </c>
      <c r="L102" s="3">
        <v>0</v>
      </c>
      <c r="M102" s="2">
        <v>0</v>
      </c>
      <c r="N102" s="2">
        <v>0</v>
      </c>
      <c r="O102" s="3"/>
    </row>
    <row r="103" spans="1:15" x14ac:dyDescent="0.25">
      <c r="A103" s="2" t="s">
        <v>16</v>
      </c>
      <c r="B103" s="2">
        <v>3</v>
      </c>
      <c r="C103" s="8">
        <v>0</v>
      </c>
      <c r="D103" s="8">
        <v>0</v>
      </c>
      <c r="E103" s="1">
        <v>43763</v>
      </c>
      <c r="F103" s="3">
        <v>14</v>
      </c>
      <c r="G103" s="2" t="s">
        <v>17</v>
      </c>
      <c r="H103" s="8">
        <v>1</v>
      </c>
      <c r="I103" s="3">
        <v>26</v>
      </c>
      <c r="J103" s="3">
        <v>4</v>
      </c>
      <c r="K103" s="2">
        <f t="shared" si="1"/>
        <v>1.089085453244462</v>
      </c>
      <c r="L103" s="3">
        <v>0</v>
      </c>
      <c r="M103" s="2">
        <v>0</v>
      </c>
      <c r="N103" s="2">
        <v>0</v>
      </c>
      <c r="O103" s="3"/>
    </row>
    <row r="104" spans="1:15" x14ac:dyDescent="0.25">
      <c r="A104" s="2" t="s">
        <v>16</v>
      </c>
      <c r="B104" s="2">
        <v>3</v>
      </c>
      <c r="C104" s="8">
        <v>0</v>
      </c>
      <c r="D104" s="8">
        <v>0</v>
      </c>
      <c r="E104" s="1">
        <v>43763</v>
      </c>
      <c r="F104" s="3">
        <v>11</v>
      </c>
      <c r="G104" s="2" t="s">
        <v>17</v>
      </c>
      <c r="H104" s="8">
        <v>1</v>
      </c>
      <c r="I104" s="3">
        <v>39</v>
      </c>
      <c r="J104" s="3">
        <v>3</v>
      </c>
      <c r="K104" s="2">
        <f t="shared" si="1"/>
        <v>0.91891585117501429</v>
      </c>
      <c r="L104" s="3">
        <v>0</v>
      </c>
      <c r="M104" s="2">
        <v>1</v>
      </c>
      <c r="N104" s="2">
        <v>0</v>
      </c>
      <c r="O104" s="3"/>
    </row>
    <row r="105" spans="1:15" x14ac:dyDescent="0.25">
      <c r="A105" s="6" t="s">
        <v>16</v>
      </c>
      <c r="B105" s="2">
        <v>3</v>
      </c>
      <c r="C105" s="8">
        <v>0</v>
      </c>
      <c r="D105" s="8">
        <v>0</v>
      </c>
      <c r="E105" s="4">
        <v>43763</v>
      </c>
      <c r="F105" s="5">
        <v>3</v>
      </c>
      <c r="G105" s="6" t="s">
        <v>17</v>
      </c>
      <c r="H105" s="8">
        <v>1</v>
      </c>
      <c r="I105" s="5">
        <v>55</v>
      </c>
      <c r="J105" s="5">
        <v>3</v>
      </c>
      <c r="K105" s="6">
        <f t="shared" si="1"/>
        <v>1.2959069696057897</v>
      </c>
      <c r="L105" s="5">
        <v>0</v>
      </c>
      <c r="M105" s="6">
        <v>0</v>
      </c>
      <c r="N105" s="6">
        <v>0</v>
      </c>
      <c r="O105" s="5" t="s">
        <v>30</v>
      </c>
    </row>
    <row r="106" spans="1:15" x14ac:dyDescent="0.25">
      <c r="A106" s="2" t="s">
        <v>16</v>
      </c>
      <c r="B106" s="2">
        <v>4</v>
      </c>
      <c r="C106" s="8">
        <v>1</v>
      </c>
      <c r="D106" s="8">
        <v>0</v>
      </c>
      <c r="E106" s="1">
        <v>43763</v>
      </c>
      <c r="F106" s="3">
        <v>2</v>
      </c>
      <c r="G106" s="2" t="s">
        <v>17</v>
      </c>
      <c r="H106" s="8">
        <v>1</v>
      </c>
      <c r="I106" s="3">
        <v>49</v>
      </c>
      <c r="J106" s="3">
        <v>12</v>
      </c>
      <c r="K106" s="2">
        <f t="shared" si="1"/>
        <v>18.472564803107982</v>
      </c>
      <c r="L106" s="2">
        <v>0</v>
      </c>
      <c r="M106" s="2">
        <v>0</v>
      </c>
      <c r="N106" s="2">
        <v>1</v>
      </c>
      <c r="O106" s="7"/>
    </row>
    <row r="107" spans="1:15" x14ac:dyDescent="0.25">
      <c r="A107" s="2" t="s">
        <v>16</v>
      </c>
      <c r="B107" s="2">
        <v>4</v>
      </c>
      <c r="C107" s="8">
        <v>1</v>
      </c>
      <c r="D107" s="8">
        <v>0</v>
      </c>
      <c r="E107" s="1">
        <v>43763</v>
      </c>
      <c r="F107" s="3">
        <v>8</v>
      </c>
      <c r="G107" s="2" t="s">
        <v>17</v>
      </c>
      <c r="H107" s="8">
        <v>1</v>
      </c>
      <c r="I107" s="3">
        <v>61</v>
      </c>
      <c r="J107" s="3">
        <v>10</v>
      </c>
      <c r="K107" s="2">
        <f t="shared" si="1"/>
        <v>15.969762655748115</v>
      </c>
      <c r="L107" s="2">
        <v>0</v>
      </c>
      <c r="M107" s="2">
        <v>0</v>
      </c>
      <c r="N107" s="2">
        <v>0</v>
      </c>
      <c r="O107" s="7"/>
    </row>
    <row r="108" spans="1:15" s="6" customFormat="1" x14ac:dyDescent="0.25">
      <c r="A108" s="2" t="s">
        <v>16</v>
      </c>
      <c r="B108" s="2">
        <v>4</v>
      </c>
      <c r="C108" s="8">
        <v>1</v>
      </c>
      <c r="D108" s="8">
        <v>0</v>
      </c>
      <c r="E108" s="1">
        <v>43763</v>
      </c>
      <c r="F108" s="3">
        <v>6</v>
      </c>
      <c r="G108" s="2" t="s">
        <v>17</v>
      </c>
      <c r="H108" s="8">
        <v>1</v>
      </c>
      <c r="I108" s="3">
        <v>64</v>
      </c>
      <c r="J108" s="3">
        <v>10</v>
      </c>
      <c r="K108" s="2">
        <f t="shared" si="1"/>
        <v>16.755160819145562</v>
      </c>
      <c r="L108" s="2">
        <v>0</v>
      </c>
      <c r="M108" s="2">
        <v>0</v>
      </c>
      <c r="N108" s="2">
        <v>1</v>
      </c>
      <c r="O108" s="7"/>
    </row>
    <row r="109" spans="1:15" x14ac:dyDescent="0.25">
      <c r="A109" s="2" t="s">
        <v>16</v>
      </c>
      <c r="B109" s="2">
        <v>4</v>
      </c>
      <c r="C109" s="8">
        <v>1</v>
      </c>
      <c r="D109" s="8">
        <v>0</v>
      </c>
      <c r="E109" s="1">
        <v>43763</v>
      </c>
      <c r="F109" s="3">
        <v>5</v>
      </c>
      <c r="G109" s="2" t="s">
        <v>17</v>
      </c>
      <c r="H109" s="8">
        <v>1</v>
      </c>
      <c r="I109" s="3">
        <v>53</v>
      </c>
      <c r="J109" s="3">
        <v>8</v>
      </c>
      <c r="K109" s="2">
        <f t="shared" si="1"/>
        <v>8.8802352341471504</v>
      </c>
      <c r="L109" s="2">
        <v>0</v>
      </c>
      <c r="M109" s="2">
        <v>0</v>
      </c>
      <c r="N109" s="7">
        <v>1</v>
      </c>
      <c r="O109" s="7"/>
    </row>
    <row r="110" spans="1:15" x14ac:dyDescent="0.25">
      <c r="A110" s="2" t="s">
        <v>16</v>
      </c>
      <c r="B110" s="2">
        <v>4</v>
      </c>
      <c r="C110" s="8">
        <v>1</v>
      </c>
      <c r="D110" s="8">
        <v>0</v>
      </c>
      <c r="E110" s="1">
        <v>43763</v>
      </c>
      <c r="F110" s="3">
        <v>15</v>
      </c>
      <c r="G110" s="2" t="s">
        <v>17</v>
      </c>
      <c r="H110" s="8">
        <v>1</v>
      </c>
      <c r="I110" s="3">
        <v>51</v>
      </c>
      <c r="J110" s="3">
        <v>7</v>
      </c>
      <c r="K110" s="2">
        <f t="shared" si="1"/>
        <v>6.5423667011007431</v>
      </c>
      <c r="L110" s="2">
        <v>0</v>
      </c>
      <c r="M110" s="2">
        <v>0</v>
      </c>
      <c r="N110" s="2">
        <v>1</v>
      </c>
      <c r="O110" s="7"/>
    </row>
    <row r="111" spans="1:15" x14ac:dyDescent="0.25">
      <c r="A111" s="2" t="s">
        <v>16</v>
      </c>
      <c r="B111" s="2">
        <v>4</v>
      </c>
      <c r="C111" s="8">
        <v>1</v>
      </c>
      <c r="D111" s="8">
        <v>0</v>
      </c>
      <c r="E111" s="1">
        <v>43763</v>
      </c>
      <c r="F111" s="3">
        <v>9</v>
      </c>
      <c r="G111" s="2" t="s">
        <v>17</v>
      </c>
      <c r="H111" s="8">
        <v>1</v>
      </c>
      <c r="I111" s="3">
        <v>23</v>
      </c>
      <c r="J111" s="3">
        <v>6</v>
      </c>
      <c r="K111" s="2">
        <f t="shared" si="1"/>
        <v>2.167698930976957</v>
      </c>
      <c r="L111" s="2">
        <v>1</v>
      </c>
      <c r="M111" s="2">
        <v>0</v>
      </c>
      <c r="N111" s="7">
        <v>1</v>
      </c>
      <c r="O111" s="7"/>
    </row>
    <row r="112" spans="1:15" x14ac:dyDescent="0.25">
      <c r="A112" s="2" t="s">
        <v>16</v>
      </c>
      <c r="B112" s="2">
        <v>4</v>
      </c>
      <c r="C112" s="8">
        <v>1</v>
      </c>
      <c r="D112" s="8">
        <v>0</v>
      </c>
      <c r="E112" s="1">
        <v>43763</v>
      </c>
      <c r="F112" s="3">
        <v>1</v>
      </c>
      <c r="G112" s="2" t="s">
        <v>17</v>
      </c>
      <c r="H112" s="8">
        <v>1</v>
      </c>
      <c r="I112" s="3">
        <v>36</v>
      </c>
      <c r="J112" s="3">
        <v>5</v>
      </c>
      <c r="K112" s="2">
        <f t="shared" si="1"/>
        <v>2.3561944901923448</v>
      </c>
      <c r="L112" s="2">
        <v>0</v>
      </c>
      <c r="M112" s="2">
        <v>0</v>
      </c>
      <c r="N112" s="2">
        <v>0</v>
      </c>
      <c r="O112" s="7"/>
    </row>
    <row r="113" spans="1:15" x14ac:dyDescent="0.25">
      <c r="A113" s="2" t="s">
        <v>16</v>
      </c>
      <c r="B113" s="2">
        <v>4</v>
      </c>
      <c r="C113" s="8">
        <v>1</v>
      </c>
      <c r="D113" s="8">
        <v>0</v>
      </c>
      <c r="E113" s="1">
        <v>43763</v>
      </c>
      <c r="F113" s="3">
        <v>3</v>
      </c>
      <c r="G113" s="2" t="s">
        <v>17</v>
      </c>
      <c r="H113" s="8">
        <v>1</v>
      </c>
      <c r="I113" s="3">
        <v>39</v>
      </c>
      <c r="J113" s="3">
        <v>5</v>
      </c>
      <c r="K113" s="2">
        <f t="shared" si="1"/>
        <v>2.5525440310417067</v>
      </c>
      <c r="L113" s="2">
        <v>0</v>
      </c>
      <c r="M113" s="2">
        <v>0</v>
      </c>
      <c r="N113" s="2">
        <v>0</v>
      </c>
      <c r="O113" s="7"/>
    </row>
    <row r="114" spans="1:15" x14ac:dyDescent="0.25">
      <c r="A114" s="2" t="s">
        <v>16</v>
      </c>
      <c r="B114" s="2">
        <v>4</v>
      </c>
      <c r="C114" s="8">
        <v>1</v>
      </c>
      <c r="D114" s="8">
        <v>0</v>
      </c>
      <c r="E114" s="1">
        <v>43763</v>
      </c>
      <c r="F114" s="3">
        <v>4</v>
      </c>
      <c r="G114" s="2" t="s">
        <v>17</v>
      </c>
      <c r="H114" s="8">
        <v>1</v>
      </c>
      <c r="I114" s="3">
        <v>70</v>
      </c>
      <c r="J114" s="3">
        <v>5</v>
      </c>
      <c r="K114" s="2">
        <f t="shared" si="1"/>
        <v>4.5814892864851151</v>
      </c>
      <c r="L114" s="2">
        <v>0</v>
      </c>
      <c r="M114" s="2">
        <v>0</v>
      </c>
      <c r="N114" s="2">
        <v>0</v>
      </c>
      <c r="O114" s="7"/>
    </row>
    <row r="115" spans="1:15" x14ac:dyDescent="0.25">
      <c r="A115" s="2" t="s">
        <v>16</v>
      </c>
      <c r="B115" s="2">
        <v>4</v>
      </c>
      <c r="C115" s="8">
        <v>1</v>
      </c>
      <c r="D115" s="8">
        <v>0</v>
      </c>
      <c r="E115" s="1">
        <v>43763</v>
      </c>
      <c r="F115" s="3">
        <v>10</v>
      </c>
      <c r="G115" s="2" t="s">
        <v>17</v>
      </c>
      <c r="H115" s="8">
        <v>1</v>
      </c>
      <c r="I115" s="3">
        <v>26</v>
      </c>
      <c r="J115" s="3">
        <v>5</v>
      </c>
      <c r="K115" s="2">
        <f t="shared" si="1"/>
        <v>1.7016960206944713</v>
      </c>
      <c r="L115" s="2">
        <v>0</v>
      </c>
      <c r="M115" s="2">
        <v>0</v>
      </c>
      <c r="N115" s="2">
        <v>0</v>
      </c>
      <c r="O115" s="7"/>
    </row>
    <row r="116" spans="1:15" x14ac:dyDescent="0.25">
      <c r="A116" s="2" t="s">
        <v>16</v>
      </c>
      <c r="B116" s="2">
        <v>4</v>
      </c>
      <c r="C116" s="8">
        <v>1</v>
      </c>
      <c r="D116" s="8">
        <v>0</v>
      </c>
      <c r="E116" s="1">
        <v>43763</v>
      </c>
      <c r="F116" s="3">
        <v>11</v>
      </c>
      <c r="G116" s="2" t="s">
        <v>17</v>
      </c>
      <c r="H116" s="8">
        <v>1</v>
      </c>
      <c r="I116" s="3">
        <v>43</v>
      </c>
      <c r="J116" s="3">
        <v>5</v>
      </c>
      <c r="K116" s="2">
        <f t="shared" si="1"/>
        <v>2.8143434188408563</v>
      </c>
      <c r="L116" s="2">
        <v>0</v>
      </c>
      <c r="M116" s="2">
        <v>0</v>
      </c>
      <c r="N116" s="2">
        <v>0</v>
      </c>
      <c r="O116" s="7" t="s">
        <v>31</v>
      </c>
    </row>
    <row r="117" spans="1:15" x14ac:dyDescent="0.25">
      <c r="A117" s="2" t="s">
        <v>16</v>
      </c>
      <c r="B117" s="2">
        <v>4</v>
      </c>
      <c r="C117" s="8">
        <v>1</v>
      </c>
      <c r="D117" s="8">
        <v>0</v>
      </c>
      <c r="E117" s="1">
        <v>43763</v>
      </c>
      <c r="F117" s="3">
        <v>14</v>
      </c>
      <c r="G117" s="2" t="s">
        <v>17</v>
      </c>
      <c r="H117" s="8">
        <v>1</v>
      </c>
      <c r="I117" s="3">
        <v>39</v>
      </c>
      <c r="J117" s="3">
        <v>4</v>
      </c>
      <c r="K117" s="2">
        <f t="shared" si="1"/>
        <v>1.6336281798666927</v>
      </c>
      <c r="L117" s="2">
        <v>0</v>
      </c>
      <c r="M117" s="2">
        <v>1</v>
      </c>
      <c r="N117" s="2">
        <v>0</v>
      </c>
      <c r="O117" s="7"/>
    </row>
    <row r="118" spans="1:15" x14ac:dyDescent="0.25">
      <c r="A118" s="2" t="s">
        <v>16</v>
      </c>
      <c r="B118" s="2">
        <v>4</v>
      </c>
      <c r="C118" s="8">
        <v>1</v>
      </c>
      <c r="D118" s="8">
        <v>0</v>
      </c>
      <c r="E118" s="1">
        <v>43763</v>
      </c>
      <c r="F118" s="3">
        <v>16</v>
      </c>
      <c r="G118" s="2" t="s">
        <v>17</v>
      </c>
      <c r="H118" s="8">
        <v>1</v>
      </c>
      <c r="I118" s="3">
        <v>42</v>
      </c>
      <c r="J118" s="3">
        <v>4</v>
      </c>
      <c r="K118" s="2">
        <f t="shared" si="1"/>
        <v>1.7592918860102846</v>
      </c>
      <c r="L118" s="2">
        <v>0</v>
      </c>
      <c r="M118" s="2">
        <v>0</v>
      </c>
      <c r="N118" s="7">
        <v>1</v>
      </c>
      <c r="O118" s="7"/>
    </row>
    <row r="119" spans="1:15" x14ac:dyDescent="0.25">
      <c r="A119" s="2" t="s">
        <v>16</v>
      </c>
      <c r="B119" s="2">
        <v>4</v>
      </c>
      <c r="C119" s="8">
        <v>1</v>
      </c>
      <c r="D119" s="8">
        <v>0</v>
      </c>
      <c r="E119" s="1">
        <v>43763</v>
      </c>
      <c r="F119" s="3">
        <v>7</v>
      </c>
      <c r="G119" s="2" t="s">
        <v>17</v>
      </c>
      <c r="H119" s="8">
        <v>1</v>
      </c>
      <c r="I119" s="3">
        <v>67</v>
      </c>
      <c r="J119" s="3">
        <v>3</v>
      </c>
      <c r="K119" s="2">
        <f t="shared" si="1"/>
        <v>1.5786503084288708</v>
      </c>
      <c r="L119" s="2">
        <v>0</v>
      </c>
      <c r="M119" s="2">
        <v>0</v>
      </c>
      <c r="N119" s="2">
        <v>0</v>
      </c>
      <c r="O119" s="7"/>
    </row>
    <row r="120" spans="1:15" x14ac:dyDescent="0.25">
      <c r="A120" s="2" t="s">
        <v>16</v>
      </c>
      <c r="B120" s="2">
        <v>4</v>
      </c>
      <c r="C120" s="8">
        <v>1</v>
      </c>
      <c r="D120" s="8">
        <v>0</v>
      </c>
      <c r="E120" s="1">
        <v>43763</v>
      </c>
      <c r="F120" s="3">
        <v>13</v>
      </c>
      <c r="G120" s="2" t="s">
        <v>17</v>
      </c>
      <c r="H120" s="8">
        <v>1</v>
      </c>
      <c r="I120" s="3">
        <v>49</v>
      </c>
      <c r="J120" s="3">
        <v>3</v>
      </c>
      <c r="K120" s="2">
        <f t="shared" si="1"/>
        <v>1.1545353001942489</v>
      </c>
      <c r="L120" s="2">
        <v>0</v>
      </c>
      <c r="M120" s="2">
        <v>0</v>
      </c>
      <c r="N120" s="2">
        <v>0</v>
      </c>
      <c r="O120" s="7" t="s">
        <v>31</v>
      </c>
    </row>
    <row r="121" spans="1:15" x14ac:dyDescent="0.25">
      <c r="A121" s="2" t="s">
        <v>16</v>
      </c>
      <c r="B121" s="2">
        <v>4</v>
      </c>
      <c r="C121" s="8">
        <v>1</v>
      </c>
      <c r="D121" s="8">
        <v>0</v>
      </c>
      <c r="E121" s="1">
        <v>43763</v>
      </c>
      <c r="F121" s="3">
        <v>12</v>
      </c>
      <c r="G121" s="2" t="s">
        <v>17</v>
      </c>
      <c r="H121" s="8">
        <v>1</v>
      </c>
      <c r="I121" s="3">
        <v>58</v>
      </c>
      <c r="J121" s="3">
        <v>2</v>
      </c>
      <c r="K121" s="2">
        <f t="shared" si="1"/>
        <v>0.60737457969402675</v>
      </c>
      <c r="L121" s="2">
        <v>0</v>
      </c>
      <c r="M121" s="2">
        <v>0</v>
      </c>
      <c r="N121" s="7">
        <v>1</v>
      </c>
      <c r="O121" s="7"/>
    </row>
    <row r="122" spans="1:15" x14ac:dyDescent="0.25">
      <c r="A122" s="2" t="s">
        <v>50</v>
      </c>
      <c r="B122" s="2">
        <v>1</v>
      </c>
      <c r="C122" s="8">
        <v>1</v>
      </c>
      <c r="D122" s="8">
        <v>1</v>
      </c>
      <c r="E122" s="1">
        <v>43784</v>
      </c>
      <c r="F122" s="3">
        <v>1</v>
      </c>
      <c r="G122" s="2" t="s">
        <v>17</v>
      </c>
      <c r="H122" s="8">
        <v>1</v>
      </c>
      <c r="I122" s="3">
        <v>133</v>
      </c>
      <c r="J122" s="3">
        <v>15</v>
      </c>
      <c r="K122" s="2">
        <f t="shared" si="1"/>
        <v>78.343466798895463</v>
      </c>
      <c r="L122" s="3">
        <v>0</v>
      </c>
      <c r="M122" s="3">
        <v>0</v>
      </c>
      <c r="N122" s="3">
        <v>0</v>
      </c>
      <c r="O122" s="2" t="s">
        <v>77</v>
      </c>
    </row>
    <row r="123" spans="1:15" x14ac:dyDescent="0.25">
      <c r="A123" s="2" t="s">
        <v>50</v>
      </c>
      <c r="B123" s="2">
        <v>1</v>
      </c>
      <c r="C123" s="8">
        <v>1</v>
      </c>
      <c r="D123" s="8">
        <v>1</v>
      </c>
      <c r="E123" s="1">
        <v>43784</v>
      </c>
      <c r="F123" s="3">
        <v>2</v>
      </c>
      <c r="G123" s="2" t="s">
        <v>17</v>
      </c>
      <c r="H123" s="8">
        <v>1</v>
      </c>
      <c r="I123" s="3">
        <v>102</v>
      </c>
      <c r="J123" s="3">
        <v>11</v>
      </c>
      <c r="K123" s="2">
        <f t="shared" si="1"/>
        <v>32.311280442171032</v>
      </c>
      <c r="L123" s="3">
        <v>0</v>
      </c>
      <c r="M123" s="3">
        <v>0</v>
      </c>
      <c r="N123" s="3">
        <v>0</v>
      </c>
      <c r="O123" s="2" t="s">
        <v>78</v>
      </c>
    </row>
    <row r="124" spans="1:15" x14ac:dyDescent="0.25">
      <c r="A124" s="2" t="s">
        <v>50</v>
      </c>
      <c r="B124" s="2">
        <v>1</v>
      </c>
      <c r="C124" s="8">
        <v>1</v>
      </c>
      <c r="D124" s="8">
        <v>1</v>
      </c>
      <c r="E124" s="1">
        <v>43784</v>
      </c>
      <c r="F124" s="3">
        <v>3</v>
      </c>
      <c r="G124" s="2" t="s">
        <v>17</v>
      </c>
      <c r="H124" s="8">
        <v>1</v>
      </c>
      <c r="I124" s="3">
        <v>66</v>
      </c>
      <c r="J124" s="3">
        <v>6</v>
      </c>
      <c r="K124" s="2">
        <f t="shared" si="1"/>
        <v>6.2203534541077898</v>
      </c>
      <c r="L124" s="2">
        <v>1</v>
      </c>
      <c r="M124" s="2">
        <v>0</v>
      </c>
      <c r="N124" s="2">
        <v>0</v>
      </c>
      <c r="O124" s="2" t="s">
        <v>79</v>
      </c>
    </row>
    <row r="125" spans="1:15" x14ac:dyDescent="0.25">
      <c r="A125" s="2" t="s">
        <v>50</v>
      </c>
      <c r="B125" s="2">
        <v>1</v>
      </c>
      <c r="C125" s="8">
        <v>1</v>
      </c>
      <c r="D125" s="8">
        <v>1</v>
      </c>
      <c r="E125" s="1">
        <v>43784</v>
      </c>
      <c r="F125" s="3">
        <v>4</v>
      </c>
      <c r="G125" s="2" t="s">
        <v>17</v>
      </c>
      <c r="H125" s="8">
        <v>1</v>
      </c>
      <c r="I125" s="3">
        <v>99</v>
      </c>
      <c r="J125" s="3">
        <v>10</v>
      </c>
      <c r="K125" s="2">
        <f t="shared" si="1"/>
        <v>25.918139392115794</v>
      </c>
      <c r="L125" s="3">
        <v>0</v>
      </c>
      <c r="M125" s="3">
        <v>0</v>
      </c>
      <c r="N125" s="3">
        <v>0</v>
      </c>
      <c r="O125" s="2" t="s">
        <v>80</v>
      </c>
    </row>
    <row r="126" spans="1:15" x14ac:dyDescent="0.25">
      <c r="A126" s="2" t="s">
        <v>50</v>
      </c>
      <c r="B126" s="2">
        <v>1</v>
      </c>
      <c r="C126" s="8">
        <v>1</v>
      </c>
      <c r="D126" s="8">
        <v>1</v>
      </c>
      <c r="E126" s="1">
        <v>43784</v>
      </c>
      <c r="F126" s="3">
        <v>5</v>
      </c>
      <c r="G126" s="2" t="s">
        <v>17</v>
      </c>
      <c r="H126" s="8">
        <v>1</v>
      </c>
      <c r="I126" s="3">
        <v>81</v>
      </c>
      <c r="J126" s="3">
        <v>11</v>
      </c>
      <c r="K126" s="2">
        <f t="shared" si="1"/>
        <v>25.658957998194637</v>
      </c>
      <c r="L126" s="3">
        <v>0</v>
      </c>
      <c r="M126" s="3">
        <v>0</v>
      </c>
      <c r="N126" s="3">
        <v>0</v>
      </c>
      <c r="O126" s="2" t="s">
        <v>81</v>
      </c>
    </row>
    <row r="127" spans="1:15" x14ac:dyDescent="0.25">
      <c r="A127" s="2" t="s">
        <v>50</v>
      </c>
      <c r="B127" s="2">
        <v>1</v>
      </c>
      <c r="C127" s="8">
        <v>1</v>
      </c>
      <c r="D127" s="8">
        <v>1</v>
      </c>
      <c r="E127" s="1">
        <v>43784</v>
      </c>
      <c r="F127" s="3">
        <v>6</v>
      </c>
      <c r="G127" s="2" t="s">
        <v>17</v>
      </c>
      <c r="H127" s="8">
        <v>1</v>
      </c>
      <c r="I127" s="3">
        <v>55</v>
      </c>
      <c r="J127" s="3">
        <v>6</v>
      </c>
      <c r="K127" s="2">
        <f t="shared" si="1"/>
        <v>5.1836278784231586</v>
      </c>
      <c r="L127" s="3">
        <v>0</v>
      </c>
      <c r="M127" s="3">
        <v>0</v>
      </c>
      <c r="N127" s="3">
        <v>0</v>
      </c>
      <c r="O127" s="2" t="s">
        <v>82</v>
      </c>
    </row>
    <row r="128" spans="1:15" x14ac:dyDescent="0.25">
      <c r="A128" s="2" t="s">
        <v>50</v>
      </c>
      <c r="B128" s="2">
        <v>1</v>
      </c>
      <c r="C128" s="8">
        <v>1</v>
      </c>
      <c r="D128" s="8">
        <v>1</v>
      </c>
      <c r="E128" s="1">
        <v>43784</v>
      </c>
      <c r="F128" s="3">
        <v>7</v>
      </c>
      <c r="G128" s="2" t="s">
        <v>17</v>
      </c>
      <c r="H128" s="8">
        <v>1</v>
      </c>
      <c r="I128" s="3">
        <v>76</v>
      </c>
      <c r="J128" s="3">
        <v>14</v>
      </c>
      <c r="K128" s="2">
        <f t="shared" si="1"/>
        <v>38.997636806561289</v>
      </c>
      <c r="L128" s="3">
        <v>1</v>
      </c>
      <c r="M128" s="3">
        <v>0</v>
      </c>
      <c r="N128" s="3">
        <v>0</v>
      </c>
      <c r="O128" s="2" t="s">
        <v>83</v>
      </c>
    </row>
    <row r="129" spans="1:15" x14ac:dyDescent="0.25">
      <c r="A129" s="2" t="s">
        <v>50</v>
      </c>
      <c r="B129" s="2">
        <v>1</v>
      </c>
      <c r="C129" s="8">
        <v>1</v>
      </c>
      <c r="D129" s="8">
        <v>1</v>
      </c>
      <c r="E129" s="1">
        <v>43784</v>
      </c>
      <c r="F129" s="3">
        <v>8</v>
      </c>
      <c r="G129" s="2" t="s">
        <v>17</v>
      </c>
      <c r="H129" s="8">
        <v>1</v>
      </c>
      <c r="I129" s="3">
        <v>76</v>
      </c>
      <c r="J129" s="3">
        <v>5</v>
      </c>
      <c r="K129" s="2">
        <f t="shared" si="1"/>
        <v>4.9741883681838388</v>
      </c>
      <c r="L129" s="3">
        <v>0</v>
      </c>
      <c r="M129" s="3">
        <v>0</v>
      </c>
      <c r="N129" s="3">
        <v>0</v>
      </c>
      <c r="O129" s="2" t="s">
        <v>84</v>
      </c>
    </row>
    <row r="130" spans="1:15" x14ac:dyDescent="0.25">
      <c r="A130" s="2" t="s">
        <v>50</v>
      </c>
      <c r="B130" s="2">
        <v>1</v>
      </c>
      <c r="C130" s="8">
        <v>1</v>
      </c>
      <c r="D130" s="8">
        <v>1</v>
      </c>
      <c r="E130" s="1">
        <v>43784</v>
      </c>
      <c r="F130" s="3">
        <v>9</v>
      </c>
      <c r="G130" s="2" t="s">
        <v>17</v>
      </c>
      <c r="H130" s="8">
        <v>1</v>
      </c>
      <c r="I130" s="3">
        <v>85</v>
      </c>
      <c r="J130" s="3">
        <v>12</v>
      </c>
      <c r="K130" s="2">
        <f t="shared" ref="K130:K193" si="2">(I130*PI()*(J130/20)*(J130/20))/3</f>
        <v>32.044245066615886</v>
      </c>
      <c r="L130" s="3">
        <v>0</v>
      </c>
      <c r="M130" s="3">
        <v>0</v>
      </c>
      <c r="N130" s="3">
        <v>1</v>
      </c>
      <c r="O130" s="2" t="s">
        <v>85</v>
      </c>
    </row>
    <row r="131" spans="1:15" x14ac:dyDescent="0.25">
      <c r="A131" s="2" t="s">
        <v>50</v>
      </c>
      <c r="B131" s="2">
        <v>1</v>
      </c>
      <c r="C131" s="8">
        <v>1</v>
      </c>
      <c r="D131" s="8">
        <v>1</v>
      </c>
      <c r="E131" s="1">
        <v>43784</v>
      </c>
      <c r="F131" s="3">
        <v>10</v>
      </c>
      <c r="G131" s="2" t="s">
        <v>17</v>
      </c>
      <c r="H131" s="8">
        <v>1</v>
      </c>
      <c r="I131" s="3">
        <v>72</v>
      </c>
      <c r="J131" s="3">
        <v>10</v>
      </c>
      <c r="K131" s="2">
        <f t="shared" si="2"/>
        <v>18.849555921538759</v>
      </c>
      <c r="L131" s="3">
        <v>0</v>
      </c>
      <c r="M131" s="3">
        <v>0</v>
      </c>
      <c r="N131" s="3">
        <v>1</v>
      </c>
      <c r="O131" s="2" t="s">
        <v>86</v>
      </c>
    </row>
    <row r="132" spans="1:15" x14ac:dyDescent="0.25">
      <c r="A132" s="2" t="s">
        <v>50</v>
      </c>
      <c r="B132" s="2">
        <v>1</v>
      </c>
      <c r="C132" s="8">
        <v>1</v>
      </c>
      <c r="D132" s="8">
        <v>1</v>
      </c>
      <c r="E132" s="1">
        <v>43784</v>
      </c>
      <c r="F132" s="3">
        <v>11</v>
      </c>
      <c r="G132" s="2" t="s">
        <v>17</v>
      </c>
      <c r="H132" s="8">
        <v>1</v>
      </c>
      <c r="I132" s="3">
        <v>55</v>
      </c>
      <c r="J132" s="3">
        <v>5</v>
      </c>
      <c r="K132" s="2">
        <f t="shared" si="2"/>
        <v>3.599741582238305</v>
      </c>
      <c r="L132" s="3">
        <v>0</v>
      </c>
      <c r="M132" s="3">
        <v>0</v>
      </c>
      <c r="N132" s="3">
        <v>0</v>
      </c>
      <c r="O132" s="2" t="s">
        <v>87</v>
      </c>
    </row>
    <row r="133" spans="1:15" x14ac:dyDescent="0.25">
      <c r="A133" s="2" t="s">
        <v>50</v>
      </c>
      <c r="B133" s="2">
        <v>1</v>
      </c>
      <c r="C133" s="8">
        <v>1</v>
      </c>
      <c r="D133" s="8">
        <v>1</v>
      </c>
      <c r="E133" s="1">
        <v>43784</v>
      </c>
      <c r="F133" s="3">
        <v>12</v>
      </c>
      <c r="G133" s="2" t="s">
        <v>17</v>
      </c>
      <c r="H133" s="8">
        <v>1</v>
      </c>
      <c r="I133" s="3">
        <v>125</v>
      </c>
      <c r="J133" s="3">
        <v>17</v>
      </c>
      <c r="K133" s="2">
        <f t="shared" si="2"/>
        <v>94.575028842442734</v>
      </c>
      <c r="L133" s="3">
        <v>0</v>
      </c>
      <c r="M133" s="3">
        <v>0</v>
      </c>
      <c r="N133" s="3">
        <v>0</v>
      </c>
      <c r="O133" s="2" t="s">
        <v>88</v>
      </c>
    </row>
    <row r="134" spans="1:15" x14ac:dyDescent="0.25">
      <c r="A134" s="2" t="s">
        <v>50</v>
      </c>
      <c r="B134" s="2">
        <v>1</v>
      </c>
      <c r="C134" s="8">
        <v>1</v>
      </c>
      <c r="D134" s="8">
        <v>1</v>
      </c>
      <c r="E134" s="1">
        <v>43784</v>
      </c>
      <c r="F134" s="3">
        <v>13</v>
      </c>
      <c r="G134" s="2" t="s">
        <v>17</v>
      </c>
      <c r="H134" s="8">
        <v>1</v>
      </c>
      <c r="I134" s="3">
        <v>83</v>
      </c>
      <c r="J134" s="3">
        <v>11</v>
      </c>
      <c r="K134" s="2">
        <f t="shared" si="2"/>
        <v>26.292512516668584</v>
      </c>
      <c r="L134" s="2">
        <v>0</v>
      </c>
      <c r="M134" s="3">
        <v>0</v>
      </c>
      <c r="N134" s="3">
        <v>0</v>
      </c>
      <c r="O134" s="2" t="s">
        <v>89</v>
      </c>
    </row>
    <row r="135" spans="1:15" x14ac:dyDescent="0.25">
      <c r="A135" s="2" t="s">
        <v>50</v>
      </c>
      <c r="B135" s="2">
        <v>1</v>
      </c>
      <c r="C135" s="8">
        <v>1</v>
      </c>
      <c r="D135" s="8">
        <v>1</v>
      </c>
      <c r="E135" s="1">
        <v>43784</v>
      </c>
      <c r="F135" s="3">
        <v>14</v>
      </c>
      <c r="G135" s="2" t="s">
        <v>17</v>
      </c>
      <c r="H135" s="8">
        <v>1</v>
      </c>
      <c r="I135" s="3">
        <v>100</v>
      </c>
      <c r="J135" s="3">
        <v>11</v>
      </c>
      <c r="K135" s="2">
        <f t="shared" si="2"/>
        <v>31.677725923697086</v>
      </c>
      <c r="L135" s="3">
        <v>0</v>
      </c>
      <c r="M135" s="3">
        <v>0</v>
      </c>
      <c r="N135" s="3">
        <v>0</v>
      </c>
      <c r="O135" s="2" t="s">
        <v>90</v>
      </c>
    </row>
    <row r="136" spans="1:15" s="6" customFormat="1" x14ac:dyDescent="0.25">
      <c r="A136" s="2" t="s">
        <v>50</v>
      </c>
      <c r="B136" s="2">
        <v>1</v>
      </c>
      <c r="C136" s="8">
        <v>1</v>
      </c>
      <c r="D136" s="8">
        <v>1</v>
      </c>
      <c r="E136" s="1">
        <v>43784</v>
      </c>
      <c r="F136" s="3">
        <v>15</v>
      </c>
      <c r="G136" s="2" t="s">
        <v>17</v>
      </c>
      <c r="H136" s="8">
        <v>1</v>
      </c>
      <c r="I136" s="3">
        <v>49</v>
      </c>
      <c r="J136" s="3">
        <v>9</v>
      </c>
      <c r="K136" s="2">
        <f t="shared" si="2"/>
        <v>10.390817701748242</v>
      </c>
      <c r="L136" s="3">
        <v>1</v>
      </c>
      <c r="M136" s="3">
        <v>0</v>
      </c>
      <c r="N136" s="3">
        <v>1</v>
      </c>
      <c r="O136" s="2" t="s">
        <v>91</v>
      </c>
    </row>
    <row r="137" spans="1:15" x14ac:dyDescent="0.25">
      <c r="A137" s="2" t="s">
        <v>50</v>
      </c>
      <c r="B137" s="2">
        <v>1</v>
      </c>
      <c r="C137" s="8">
        <v>1</v>
      </c>
      <c r="D137" s="8">
        <v>1</v>
      </c>
      <c r="E137" s="1">
        <v>43784</v>
      </c>
      <c r="F137" s="3">
        <v>16</v>
      </c>
      <c r="G137" s="2" t="s">
        <v>17</v>
      </c>
      <c r="H137" s="8">
        <v>1</v>
      </c>
      <c r="I137" s="3">
        <v>100</v>
      </c>
      <c r="J137" s="3">
        <v>12</v>
      </c>
      <c r="K137" s="2">
        <f t="shared" si="2"/>
        <v>37.699111843077517</v>
      </c>
      <c r="L137" s="2">
        <v>0</v>
      </c>
      <c r="M137" s="3">
        <v>0</v>
      </c>
      <c r="N137" s="3">
        <v>0</v>
      </c>
      <c r="O137" s="2" t="s">
        <v>92</v>
      </c>
    </row>
    <row r="138" spans="1:15" x14ac:dyDescent="0.25">
      <c r="A138" s="2" t="s">
        <v>50</v>
      </c>
      <c r="B138" s="2">
        <v>1</v>
      </c>
      <c r="C138" s="8">
        <v>1</v>
      </c>
      <c r="D138" s="8">
        <v>1</v>
      </c>
      <c r="E138" s="1">
        <v>43784</v>
      </c>
      <c r="F138" s="3">
        <v>17</v>
      </c>
      <c r="G138" s="2" t="s">
        <v>17</v>
      </c>
      <c r="H138" s="8">
        <v>1</v>
      </c>
      <c r="I138" s="3">
        <v>50</v>
      </c>
      <c r="J138" s="3">
        <v>8</v>
      </c>
      <c r="K138" s="2">
        <f t="shared" si="2"/>
        <v>8.3775804095727828</v>
      </c>
      <c r="L138" s="3">
        <v>0</v>
      </c>
      <c r="M138" s="3">
        <v>0</v>
      </c>
      <c r="N138" s="3">
        <v>0</v>
      </c>
      <c r="O138" s="2" t="s">
        <v>93</v>
      </c>
    </row>
    <row r="139" spans="1:15" x14ac:dyDescent="0.25">
      <c r="A139" s="2" t="s">
        <v>50</v>
      </c>
      <c r="B139" s="2">
        <v>1</v>
      </c>
      <c r="C139" s="8">
        <v>1</v>
      </c>
      <c r="D139" s="8">
        <v>1</v>
      </c>
      <c r="E139" s="1">
        <v>43784</v>
      </c>
      <c r="F139" s="3">
        <v>18</v>
      </c>
      <c r="G139" s="2" t="s">
        <v>17</v>
      </c>
      <c r="H139" s="8">
        <v>1</v>
      </c>
      <c r="I139" s="3">
        <v>82</v>
      </c>
      <c r="J139" s="3">
        <v>8</v>
      </c>
      <c r="K139" s="2">
        <f t="shared" si="2"/>
        <v>13.739231871699362</v>
      </c>
      <c r="L139" s="2">
        <v>0</v>
      </c>
      <c r="M139" s="3">
        <v>0</v>
      </c>
      <c r="N139" s="3">
        <v>1</v>
      </c>
      <c r="O139" s="2" t="s">
        <v>94</v>
      </c>
    </row>
    <row r="140" spans="1:15" x14ac:dyDescent="0.25">
      <c r="A140" s="2" t="s">
        <v>50</v>
      </c>
      <c r="B140" s="2">
        <v>1</v>
      </c>
      <c r="C140" s="8">
        <v>1</v>
      </c>
      <c r="D140" s="8">
        <v>1</v>
      </c>
      <c r="E140" s="1">
        <v>43784</v>
      </c>
      <c r="F140" s="3">
        <v>19</v>
      </c>
      <c r="G140" s="2" t="s">
        <v>17</v>
      </c>
      <c r="H140" s="8">
        <v>1</v>
      </c>
      <c r="I140" s="3">
        <v>110</v>
      </c>
      <c r="J140" s="3">
        <v>13.5</v>
      </c>
      <c r="K140" s="2">
        <f t="shared" si="2"/>
        <v>52.484232269034493</v>
      </c>
      <c r="L140" s="3">
        <v>0</v>
      </c>
      <c r="M140" s="3">
        <v>0</v>
      </c>
      <c r="N140" s="3">
        <v>1</v>
      </c>
      <c r="O140" s="2" t="s">
        <v>95</v>
      </c>
    </row>
    <row r="141" spans="1:15" x14ac:dyDescent="0.25">
      <c r="A141" s="2" t="s">
        <v>50</v>
      </c>
      <c r="B141" s="2">
        <v>1</v>
      </c>
      <c r="C141" s="8">
        <v>1</v>
      </c>
      <c r="D141" s="8">
        <v>1</v>
      </c>
      <c r="E141" s="1">
        <v>43784</v>
      </c>
      <c r="F141" s="3">
        <v>20</v>
      </c>
      <c r="G141" s="2" t="s">
        <v>17</v>
      </c>
      <c r="H141" s="8">
        <v>1</v>
      </c>
      <c r="I141" s="3">
        <v>72</v>
      </c>
      <c r="J141" s="3">
        <v>8</v>
      </c>
      <c r="K141" s="2">
        <f t="shared" si="2"/>
        <v>12.063715789784807</v>
      </c>
      <c r="L141" s="3">
        <v>0</v>
      </c>
      <c r="M141" s="3">
        <v>0</v>
      </c>
      <c r="N141" s="3">
        <v>0</v>
      </c>
      <c r="O141" s="2" t="s">
        <v>96</v>
      </c>
    </row>
    <row r="142" spans="1:15" x14ac:dyDescent="0.25">
      <c r="A142" s="2" t="s">
        <v>50</v>
      </c>
      <c r="B142" s="2">
        <v>1</v>
      </c>
      <c r="C142" s="8">
        <v>1</v>
      </c>
      <c r="D142" s="8">
        <v>1</v>
      </c>
      <c r="E142" s="1">
        <v>43784</v>
      </c>
      <c r="F142" s="3">
        <v>21</v>
      </c>
      <c r="G142" s="2" t="s">
        <v>17</v>
      </c>
      <c r="H142" s="8">
        <v>1</v>
      </c>
      <c r="I142" s="3">
        <v>58</v>
      </c>
      <c r="J142" s="3">
        <v>8</v>
      </c>
      <c r="K142" s="2">
        <f t="shared" si="2"/>
        <v>9.717993275104428</v>
      </c>
      <c r="L142" s="3">
        <v>1</v>
      </c>
      <c r="M142" s="3">
        <v>0</v>
      </c>
      <c r="N142" s="3">
        <v>1</v>
      </c>
      <c r="O142" s="2" t="s">
        <v>97</v>
      </c>
    </row>
    <row r="143" spans="1:15" x14ac:dyDescent="0.25">
      <c r="A143" s="2" t="s">
        <v>50</v>
      </c>
      <c r="B143" s="2">
        <v>1</v>
      </c>
      <c r="C143" s="8">
        <v>1</v>
      </c>
      <c r="D143" s="8">
        <v>1</v>
      </c>
      <c r="E143" s="1">
        <v>43784</v>
      </c>
      <c r="F143" s="3">
        <v>22</v>
      </c>
      <c r="G143" s="2" t="s">
        <v>17</v>
      </c>
      <c r="H143" s="8">
        <v>1</v>
      </c>
      <c r="I143" s="3">
        <v>67</v>
      </c>
      <c r="J143" s="3">
        <v>8</v>
      </c>
      <c r="K143" s="2">
        <f t="shared" si="2"/>
        <v>11.225957748827527</v>
      </c>
      <c r="L143" s="3">
        <v>0</v>
      </c>
      <c r="M143" s="3">
        <v>0</v>
      </c>
      <c r="N143" s="3">
        <v>0</v>
      </c>
      <c r="O143" s="2" t="s">
        <v>98</v>
      </c>
    </row>
    <row r="144" spans="1:15" x14ac:dyDescent="0.25">
      <c r="A144" s="2" t="s">
        <v>50</v>
      </c>
      <c r="B144" s="2">
        <v>1</v>
      </c>
      <c r="C144" s="8">
        <v>1</v>
      </c>
      <c r="D144" s="8">
        <v>1</v>
      </c>
      <c r="E144" s="1">
        <v>43784</v>
      </c>
      <c r="F144" s="3">
        <v>23</v>
      </c>
      <c r="G144" s="2" t="s">
        <v>17</v>
      </c>
      <c r="H144" s="8">
        <v>1</v>
      </c>
      <c r="I144" s="3">
        <v>47</v>
      </c>
      <c r="J144" s="3">
        <v>8</v>
      </c>
      <c r="K144" s="2">
        <f t="shared" si="2"/>
        <v>7.8749255849984161</v>
      </c>
      <c r="L144" s="3">
        <v>1</v>
      </c>
      <c r="M144" s="3">
        <v>0</v>
      </c>
      <c r="N144" s="3">
        <v>1</v>
      </c>
      <c r="O144" s="2" t="s">
        <v>99</v>
      </c>
    </row>
    <row r="145" spans="1:15" x14ac:dyDescent="0.25">
      <c r="A145" s="2" t="s">
        <v>50</v>
      </c>
      <c r="B145" s="2">
        <v>1</v>
      </c>
      <c r="C145" s="8">
        <v>1</v>
      </c>
      <c r="D145" s="8">
        <v>1</v>
      </c>
      <c r="E145" s="1">
        <v>43784</v>
      </c>
      <c r="F145" s="3">
        <v>24</v>
      </c>
      <c r="G145" s="2" t="s">
        <v>17</v>
      </c>
      <c r="H145" s="8">
        <v>1</v>
      </c>
      <c r="I145" s="3">
        <v>73</v>
      </c>
      <c r="J145" s="3">
        <v>12</v>
      </c>
      <c r="K145" s="2">
        <f t="shared" si="2"/>
        <v>27.520351645446581</v>
      </c>
      <c r="L145" s="3">
        <v>0</v>
      </c>
      <c r="M145" s="3">
        <v>0</v>
      </c>
      <c r="N145" s="3">
        <v>1</v>
      </c>
      <c r="O145" s="2" t="s">
        <v>100</v>
      </c>
    </row>
    <row r="146" spans="1:15" x14ac:dyDescent="0.25">
      <c r="A146" s="2" t="s">
        <v>50</v>
      </c>
      <c r="B146" s="2">
        <v>1</v>
      </c>
      <c r="C146" s="8">
        <v>1</v>
      </c>
      <c r="D146" s="8">
        <v>1</v>
      </c>
      <c r="E146" s="1">
        <v>43784</v>
      </c>
      <c r="F146" s="3">
        <v>32</v>
      </c>
      <c r="G146" s="2" t="s">
        <v>17</v>
      </c>
      <c r="H146" s="8">
        <v>1</v>
      </c>
      <c r="I146" s="3">
        <v>85</v>
      </c>
      <c r="J146" s="3">
        <v>11</v>
      </c>
      <c r="K146" s="2">
        <f t="shared" si="2"/>
        <v>26.926067035142523</v>
      </c>
      <c r="L146" s="3">
        <v>0</v>
      </c>
      <c r="M146" s="3">
        <v>0</v>
      </c>
      <c r="N146" s="3">
        <v>0</v>
      </c>
      <c r="O146" s="2" t="s">
        <v>101</v>
      </c>
    </row>
    <row r="147" spans="1:15" x14ac:dyDescent="0.25">
      <c r="A147" s="2" t="s">
        <v>50</v>
      </c>
      <c r="B147" s="2">
        <v>1</v>
      </c>
      <c r="C147" s="8">
        <v>1</v>
      </c>
      <c r="D147" s="8">
        <v>1</v>
      </c>
      <c r="E147" s="1">
        <v>43784</v>
      </c>
      <c r="F147" s="3">
        <v>33</v>
      </c>
      <c r="G147" s="2" t="s">
        <v>17</v>
      </c>
      <c r="H147" s="8">
        <v>1</v>
      </c>
      <c r="I147" s="3">
        <v>62.5</v>
      </c>
      <c r="J147" s="3">
        <v>14</v>
      </c>
      <c r="K147" s="2">
        <f t="shared" si="2"/>
        <v>32.070425005395798</v>
      </c>
      <c r="L147" s="3">
        <v>0</v>
      </c>
      <c r="M147" s="3">
        <v>0</v>
      </c>
      <c r="N147" s="3">
        <v>1</v>
      </c>
      <c r="O147" s="2" t="s">
        <v>102</v>
      </c>
    </row>
    <row r="148" spans="1:15" x14ac:dyDescent="0.25">
      <c r="A148" s="2" t="s">
        <v>50</v>
      </c>
      <c r="B148" s="2">
        <v>1</v>
      </c>
      <c r="C148" s="8">
        <v>1</v>
      </c>
      <c r="D148" s="8">
        <v>1</v>
      </c>
      <c r="E148" s="1">
        <v>43784</v>
      </c>
      <c r="F148" s="3">
        <v>34</v>
      </c>
      <c r="G148" s="2" t="s">
        <v>17</v>
      </c>
      <c r="H148" s="8">
        <v>1</v>
      </c>
      <c r="I148" s="3">
        <v>72</v>
      </c>
      <c r="J148" s="3">
        <v>11</v>
      </c>
      <c r="K148" s="2">
        <f t="shared" si="2"/>
        <v>22.807962665061904</v>
      </c>
      <c r="L148" s="3">
        <v>0</v>
      </c>
      <c r="M148" s="3">
        <v>0</v>
      </c>
      <c r="N148" s="3">
        <v>0</v>
      </c>
      <c r="O148" s="2" t="s">
        <v>103</v>
      </c>
    </row>
    <row r="149" spans="1:15" x14ac:dyDescent="0.25">
      <c r="A149" s="2" t="s">
        <v>50</v>
      </c>
      <c r="B149" s="2">
        <v>1</v>
      </c>
      <c r="C149" s="8">
        <v>1</v>
      </c>
      <c r="D149" s="8">
        <v>1</v>
      </c>
      <c r="E149" s="1">
        <v>43784</v>
      </c>
      <c r="F149" s="3">
        <v>35</v>
      </c>
      <c r="G149" s="2" t="s">
        <v>17</v>
      </c>
      <c r="H149" s="8">
        <v>1</v>
      </c>
      <c r="I149" s="3">
        <v>95</v>
      </c>
      <c r="J149" s="3">
        <v>10</v>
      </c>
      <c r="K149" s="2">
        <f t="shared" si="2"/>
        <v>24.870941840919198</v>
      </c>
      <c r="L149" s="3">
        <v>0</v>
      </c>
      <c r="M149" s="3">
        <v>0</v>
      </c>
      <c r="N149" s="3">
        <v>0</v>
      </c>
      <c r="O149" s="2" t="s">
        <v>104</v>
      </c>
    </row>
    <row r="150" spans="1:15" x14ac:dyDescent="0.25">
      <c r="A150" s="2" t="s">
        <v>50</v>
      </c>
      <c r="B150" s="2">
        <v>1</v>
      </c>
      <c r="C150" s="8">
        <v>1</v>
      </c>
      <c r="D150" s="8">
        <v>1</v>
      </c>
      <c r="E150" s="1">
        <v>43784</v>
      </c>
      <c r="F150" s="3">
        <v>36</v>
      </c>
      <c r="G150" s="2" t="s">
        <v>17</v>
      </c>
      <c r="H150" s="8">
        <v>1</v>
      </c>
      <c r="I150" s="3">
        <v>58</v>
      </c>
      <c r="J150" s="3">
        <v>7</v>
      </c>
      <c r="K150" s="2">
        <f t="shared" si="2"/>
        <v>7.4403386012518267</v>
      </c>
      <c r="L150" s="3">
        <v>1</v>
      </c>
      <c r="M150" s="3">
        <v>0</v>
      </c>
      <c r="N150" s="3">
        <v>0</v>
      </c>
      <c r="O150" s="2" t="s">
        <v>105</v>
      </c>
    </row>
    <row r="151" spans="1:15" x14ac:dyDescent="0.25">
      <c r="A151" s="2" t="s">
        <v>50</v>
      </c>
      <c r="B151" s="2">
        <v>1</v>
      </c>
      <c r="C151" s="8">
        <v>1</v>
      </c>
      <c r="D151" s="8">
        <v>1</v>
      </c>
      <c r="E151" s="1">
        <v>43784</v>
      </c>
      <c r="F151" s="3">
        <v>37</v>
      </c>
      <c r="G151" s="2" t="s">
        <v>17</v>
      </c>
      <c r="H151" s="8">
        <v>1</v>
      </c>
      <c r="I151" s="3">
        <v>96</v>
      </c>
      <c r="J151" s="3">
        <v>14</v>
      </c>
      <c r="K151" s="2">
        <f t="shared" si="2"/>
        <v>49.260172808287955</v>
      </c>
      <c r="L151" s="3">
        <v>0</v>
      </c>
      <c r="M151" s="3">
        <v>0</v>
      </c>
      <c r="N151" s="3">
        <v>0</v>
      </c>
      <c r="O151" s="2" t="s">
        <v>106</v>
      </c>
    </row>
    <row r="152" spans="1:15" x14ac:dyDescent="0.25">
      <c r="A152" s="2" t="s">
        <v>50</v>
      </c>
      <c r="B152" s="2">
        <v>1</v>
      </c>
      <c r="C152" s="8">
        <v>1</v>
      </c>
      <c r="D152" s="8">
        <v>1</v>
      </c>
      <c r="E152" s="1">
        <v>43784</v>
      </c>
      <c r="F152" s="3">
        <v>48</v>
      </c>
      <c r="G152" s="2" t="s">
        <v>17</v>
      </c>
      <c r="H152" s="8">
        <v>1</v>
      </c>
      <c r="I152" s="3">
        <v>42</v>
      </c>
      <c r="J152" s="3">
        <v>2</v>
      </c>
      <c r="K152" s="2">
        <f t="shared" si="2"/>
        <v>0.43982297150257116</v>
      </c>
      <c r="L152" s="3">
        <v>1</v>
      </c>
      <c r="M152" s="3">
        <v>0</v>
      </c>
      <c r="N152" s="3">
        <v>0</v>
      </c>
      <c r="O152" s="2" t="s">
        <v>110</v>
      </c>
    </row>
    <row r="153" spans="1:15" x14ac:dyDescent="0.25">
      <c r="A153" s="2" t="s">
        <v>50</v>
      </c>
      <c r="B153" s="2">
        <v>1</v>
      </c>
      <c r="C153" s="8">
        <v>1</v>
      </c>
      <c r="D153" s="8">
        <v>1</v>
      </c>
      <c r="E153" s="1">
        <v>43784</v>
      </c>
      <c r="F153" s="3">
        <v>49</v>
      </c>
      <c r="G153" s="2" t="s">
        <v>17</v>
      </c>
      <c r="H153" s="8">
        <v>1</v>
      </c>
      <c r="I153" s="3">
        <v>133</v>
      </c>
      <c r="J153" s="3">
        <v>15</v>
      </c>
      <c r="K153" s="2">
        <f t="shared" si="2"/>
        <v>78.343466798895463</v>
      </c>
      <c r="L153" s="3">
        <v>0</v>
      </c>
      <c r="M153" s="3">
        <v>0</v>
      </c>
      <c r="N153" s="3">
        <v>0</v>
      </c>
    </row>
    <row r="154" spans="1:15" x14ac:dyDescent="0.25">
      <c r="A154" s="2" t="s">
        <v>50</v>
      </c>
      <c r="B154" s="2">
        <v>4</v>
      </c>
      <c r="C154" s="8">
        <v>1</v>
      </c>
      <c r="D154" s="8">
        <v>0</v>
      </c>
      <c r="E154" s="1">
        <v>43784</v>
      </c>
      <c r="F154" s="3">
        <v>1</v>
      </c>
      <c r="G154" s="2" t="s">
        <v>17</v>
      </c>
      <c r="H154" s="8">
        <v>1</v>
      </c>
      <c r="I154" s="3">
        <v>25</v>
      </c>
      <c r="J154" s="3">
        <v>4</v>
      </c>
      <c r="K154" s="2">
        <f t="shared" si="2"/>
        <v>1.0471975511965979</v>
      </c>
      <c r="L154" s="3">
        <v>0</v>
      </c>
      <c r="M154" s="3">
        <v>0</v>
      </c>
      <c r="N154" s="3">
        <v>1</v>
      </c>
      <c r="O154" s="2" t="s">
        <v>90</v>
      </c>
    </row>
    <row r="155" spans="1:15" x14ac:dyDescent="0.25">
      <c r="A155" s="2" t="s">
        <v>50</v>
      </c>
      <c r="B155" s="2">
        <v>4</v>
      </c>
      <c r="C155" s="8">
        <v>1</v>
      </c>
      <c r="D155" s="8">
        <v>0</v>
      </c>
      <c r="E155" s="1">
        <v>43784</v>
      </c>
      <c r="F155" s="3">
        <v>2</v>
      </c>
      <c r="G155" s="2" t="s">
        <v>17</v>
      </c>
      <c r="H155" s="8">
        <v>1</v>
      </c>
      <c r="I155" s="3">
        <v>60</v>
      </c>
      <c r="J155" s="3">
        <v>7</v>
      </c>
      <c r="K155" s="2">
        <f t="shared" si="2"/>
        <v>7.6969020012949914</v>
      </c>
      <c r="L155" s="3">
        <v>0</v>
      </c>
      <c r="M155" s="3">
        <v>0</v>
      </c>
      <c r="N155" s="3">
        <v>0</v>
      </c>
      <c r="O155" s="2" t="s">
        <v>111</v>
      </c>
    </row>
    <row r="156" spans="1:15" x14ac:dyDescent="0.25">
      <c r="A156" s="2" t="s">
        <v>50</v>
      </c>
      <c r="B156" s="2">
        <v>4</v>
      </c>
      <c r="C156" s="8">
        <v>1</v>
      </c>
      <c r="D156" s="8">
        <v>0</v>
      </c>
      <c r="E156" s="1">
        <v>43784</v>
      </c>
      <c r="F156" s="3">
        <v>3</v>
      </c>
      <c r="G156" s="2" t="s">
        <v>17</v>
      </c>
      <c r="H156" s="8">
        <v>1</v>
      </c>
      <c r="I156" s="3">
        <v>40</v>
      </c>
      <c r="J156" s="3">
        <v>10</v>
      </c>
      <c r="K156" s="2">
        <f t="shared" si="2"/>
        <v>10.471975511965978</v>
      </c>
      <c r="L156" s="3">
        <v>1</v>
      </c>
      <c r="M156" s="3">
        <v>0</v>
      </c>
      <c r="N156" s="3">
        <v>0</v>
      </c>
      <c r="O156" s="2" t="s">
        <v>112</v>
      </c>
    </row>
    <row r="157" spans="1:15" x14ac:dyDescent="0.25">
      <c r="A157" s="2" t="s">
        <v>50</v>
      </c>
      <c r="B157" s="2">
        <v>4</v>
      </c>
      <c r="C157" s="8">
        <v>1</v>
      </c>
      <c r="D157" s="8">
        <v>0</v>
      </c>
      <c r="E157" s="1">
        <v>43784</v>
      </c>
      <c r="F157" s="3">
        <v>4</v>
      </c>
      <c r="G157" s="2" t="s">
        <v>17</v>
      </c>
      <c r="H157" s="8">
        <v>1</v>
      </c>
      <c r="I157" s="3">
        <v>42.5</v>
      </c>
      <c r="J157" s="3">
        <v>7</v>
      </c>
      <c r="K157" s="2">
        <f t="shared" si="2"/>
        <v>5.4519722509172865</v>
      </c>
      <c r="L157" s="3">
        <v>0</v>
      </c>
      <c r="M157" s="3">
        <v>0</v>
      </c>
      <c r="N157" s="3">
        <v>0</v>
      </c>
      <c r="O157" s="2" t="s">
        <v>87</v>
      </c>
    </row>
    <row r="158" spans="1:15" x14ac:dyDescent="0.25">
      <c r="A158" s="2" t="s">
        <v>50</v>
      </c>
      <c r="B158" s="2">
        <v>4</v>
      </c>
      <c r="C158" s="8">
        <v>1</v>
      </c>
      <c r="D158" s="8">
        <v>0</v>
      </c>
      <c r="E158" s="1">
        <v>43784</v>
      </c>
      <c r="F158" s="3">
        <v>5</v>
      </c>
      <c r="G158" s="2" t="s">
        <v>17</v>
      </c>
      <c r="H158" s="8">
        <v>1</v>
      </c>
      <c r="I158" s="3">
        <v>27</v>
      </c>
      <c r="J158" s="3">
        <v>6</v>
      </c>
      <c r="K158" s="2">
        <f t="shared" si="2"/>
        <v>2.5446900494077322</v>
      </c>
      <c r="L158" s="3">
        <v>0</v>
      </c>
      <c r="M158" s="3">
        <v>0</v>
      </c>
      <c r="N158" s="3">
        <v>0</v>
      </c>
      <c r="O158" s="2" t="s">
        <v>113</v>
      </c>
    </row>
    <row r="159" spans="1:15" x14ac:dyDescent="0.25">
      <c r="A159" s="2" t="s">
        <v>50</v>
      </c>
      <c r="B159" s="2">
        <v>4</v>
      </c>
      <c r="C159" s="8">
        <v>1</v>
      </c>
      <c r="D159" s="8">
        <v>0</v>
      </c>
      <c r="E159" s="1">
        <v>43784</v>
      </c>
      <c r="F159" s="3">
        <v>6</v>
      </c>
      <c r="G159" s="2" t="s">
        <v>17</v>
      </c>
      <c r="H159" s="8">
        <v>1</v>
      </c>
      <c r="I159" s="3">
        <v>80</v>
      </c>
      <c r="J159" s="3">
        <v>13</v>
      </c>
      <c r="K159" s="2">
        <f t="shared" si="2"/>
        <v>35.395277230445011</v>
      </c>
      <c r="L159" s="3">
        <v>0</v>
      </c>
      <c r="M159" s="3">
        <v>0</v>
      </c>
      <c r="N159" s="3">
        <v>0</v>
      </c>
      <c r="O159" s="2" t="s">
        <v>83</v>
      </c>
    </row>
    <row r="160" spans="1:15" x14ac:dyDescent="0.25">
      <c r="A160" s="2" t="s">
        <v>50</v>
      </c>
      <c r="B160" s="2">
        <v>4</v>
      </c>
      <c r="C160" s="8">
        <v>1</v>
      </c>
      <c r="D160" s="8">
        <v>0</v>
      </c>
      <c r="E160" s="1">
        <v>43784</v>
      </c>
      <c r="F160" s="3">
        <v>7</v>
      </c>
      <c r="G160" s="2" t="s">
        <v>17</v>
      </c>
      <c r="H160" s="8">
        <v>1</v>
      </c>
      <c r="I160" s="3">
        <v>44</v>
      </c>
      <c r="J160" s="3">
        <v>8</v>
      </c>
      <c r="K160" s="2">
        <f t="shared" si="2"/>
        <v>7.3722707604240485</v>
      </c>
      <c r="L160" s="3">
        <v>0</v>
      </c>
      <c r="M160" s="3">
        <v>0</v>
      </c>
      <c r="N160" s="3">
        <v>1</v>
      </c>
      <c r="O160" s="2" t="s">
        <v>114</v>
      </c>
    </row>
    <row r="161" spans="1:15" x14ac:dyDescent="0.25">
      <c r="A161" s="2" t="s">
        <v>50</v>
      </c>
      <c r="B161" s="2">
        <v>4</v>
      </c>
      <c r="C161" s="8">
        <v>1</v>
      </c>
      <c r="D161" s="8">
        <v>0</v>
      </c>
      <c r="E161" s="1">
        <v>43784</v>
      </c>
      <c r="F161" s="3">
        <v>8</v>
      </c>
      <c r="G161" s="2" t="s">
        <v>17</v>
      </c>
      <c r="H161" s="8">
        <v>1</v>
      </c>
      <c r="I161" s="3">
        <v>37</v>
      </c>
      <c r="J161" s="3">
        <v>6</v>
      </c>
      <c r="K161" s="2">
        <f t="shared" si="2"/>
        <v>3.4871678454846702</v>
      </c>
      <c r="L161" s="3">
        <v>0</v>
      </c>
      <c r="M161" s="3">
        <v>0</v>
      </c>
      <c r="N161" s="3">
        <v>1</v>
      </c>
      <c r="O161" s="2" t="s">
        <v>115</v>
      </c>
    </row>
    <row r="162" spans="1:15" x14ac:dyDescent="0.25">
      <c r="A162" s="2" t="s">
        <v>50</v>
      </c>
      <c r="B162" s="2">
        <v>4</v>
      </c>
      <c r="C162" s="8">
        <v>1</v>
      </c>
      <c r="D162" s="8">
        <v>0</v>
      </c>
      <c r="E162" s="1">
        <v>43784</v>
      </c>
      <c r="F162" s="3">
        <v>9</v>
      </c>
      <c r="G162" s="2" t="s">
        <v>17</v>
      </c>
      <c r="H162" s="8">
        <v>1</v>
      </c>
      <c r="I162" s="3">
        <v>30</v>
      </c>
      <c r="J162" s="3">
        <v>4</v>
      </c>
      <c r="K162" s="2">
        <f t="shared" si="2"/>
        <v>1.2566370614359172</v>
      </c>
      <c r="L162" s="3">
        <v>0</v>
      </c>
      <c r="M162" s="3">
        <v>0</v>
      </c>
      <c r="N162" s="3">
        <v>0</v>
      </c>
      <c r="O162" s="2" t="s">
        <v>104</v>
      </c>
    </row>
    <row r="163" spans="1:15" x14ac:dyDescent="0.25">
      <c r="A163" s="2" t="s">
        <v>50</v>
      </c>
      <c r="B163" s="2">
        <v>4</v>
      </c>
      <c r="C163" s="8">
        <v>1</v>
      </c>
      <c r="D163" s="8">
        <v>0</v>
      </c>
      <c r="E163" s="1">
        <v>43784</v>
      </c>
      <c r="F163" s="3">
        <v>10</v>
      </c>
      <c r="G163" s="2" t="s">
        <v>17</v>
      </c>
      <c r="H163" s="8">
        <v>1</v>
      </c>
      <c r="I163" s="3">
        <v>75</v>
      </c>
      <c r="J163" s="3">
        <v>12</v>
      </c>
      <c r="K163" s="2">
        <f t="shared" si="2"/>
        <v>28.274333882308138</v>
      </c>
      <c r="L163" s="3">
        <v>0</v>
      </c>
      <c r="M163" s="3">
        <v>0</v>
      </c>
      <c r="N163" s="3">
        <v>0</v>
      </c>
      <c r="O163" s="2" t="s">
        <v>82</v>
      </c>
    </row>
    <row r="164" spans="1:15" x14ac:dyDescent="0.25">
      <c r="A164" s="2" t="s">
        <v>50</v>
      </c>
      <c r="B164" s="2">
        <v>4</v>
      </c>
      <c r="C164" s="8">
        <v>1</v>
      </c>
      <c r="D164" s="8">
        <v>0</v>
      </c>
      <c r="E164" s="1">
        <v>43784</v>
      </c>
      <c r="F164" s="3">
        <v>11</v>
      </c>
      <c r="G164" s="2" t="s">
        <v>17</v>
      </c>
      <c r="H164" s="8">
        <v>1</v>
      </c>
      <c r="I164" s="3">
        <v>48</v>
      </c>
      <c r="J164" s="3">
        <v>6</v>
      </c>
      <c r="K164" s="2">
        <f t="shared" si="2"/>
        <v>4.5238934211693023</v>
      </c>
      <c r="L164" s="3">
        <v>0</v>
      </c>
      <c r="M164" s="3">
        <v>0</v>
      </c>
      <c r="N164" s="3">
        <v>1</v>
      </c>
      <c r="O164" s="2" t="s">
        <v>116</v>
      </c>
    </row>
    <row r="165" spans="1:15" x14ac:dyDescent="0.25">
      <c r="A165" s="2" t="s">
        <v>50</v>
      </c>
      <c r="B165" s="2">
        <v>4</v>
      </c>
      <c r="C165" s="8">
        <v>1</v>
      </c>
      <c r="D165" s="8">
        <v>0</v>
      </c>
      <c r="E165" s="1">
        <v>43784</v>
      </c>
      <c r="F165" s="3">
        <v>12</v>
      </c>
      <c r="G165" s="2" t="s">
        <v>17</v>
      </c>
      <c r="H165" s="8">
        <v>1</v>
      </c>
      <c r="I165" s="3">
        <v>68.5</v>
      </c>
      <c r="J165" s="3">
        <v>12</v>
      </c>
      <c r="K165" s="2">
        <f t="shared" si="2"/>
        <v>25.823891612508103</v>
      </c>
      <c r="L165" s="3">
        <v>0</v>
      </c>
      <c r="M165" s="3">
        <v>0</v>
      </c>
      <c r="N165" s="3">
        <v>0</v>
      </c>
      <c r="O165" s="2" t="s">
        <v>89</v>
      </c>
    </row>
    <row r="166" spans="1:15" x14ac:dyDescent="0.25">
      <c r="A166" s="2" t="s">
        <v>50</v>
      </c>
      <c r="B166" s="2">
        <v>4</v>
      </c>
      <c r="C166" s="8">
        <v>1</v>
      </c>
      <c r="D166" s="8">
        <v>0</v>
      </c>
      <c r="E166" s="1">
        <v>43784</v>
      </c>
      <c r="F166" s="3">
        <v>13</v>
      </c>
      <c r="G166" s="2" t="s">
        <v>17</v>
      </c>
      <c r="H166" s="8">
        <v>1</v>
      </c>
      <c r="I166" s="3">
        <v>16</v>
      </c>
      <c r="J166" s="3">
        <v>5</v>
      </c>
      <c r="K166" s="2">
        <f t="shared" si="2"/>
        <v>1.0471975511965976</v>
      </c>
      <c r="L166" s="3">
        <v>0</v>
      </c>
      <c r="M166" s="3">
        <v>0</v>
      </c>
      <c r="N166" s="3">
        <v>0</v>
      </c>
      <c r="O166" s="2" t="s">
        <v>81</v>
      </c>
    </row>
    <row r="167" spans="1:15" x14ac:dyDescent="0.25">
      <c r="A167" s="2" t="s">
        <v>50</v>
      </c>
      <c r="B167" s="2">
        <v>4</v>
      </c>
      <c r="C167" s="8">
        <v>1</v>
      </c>
      <c r="D167" s="8">
        <v>0</v>
      </c>
      <c r="E167" s="1">
        <v>43784</v>
      </c>
      <c r="F167" s="3">
        <v>14</v>
      </c>
      <c r="G167" s="2" t="s">
        <v>17</v>
      </c>
      <c r="H167" s="8">
        <v>1</v>
      </c>
      <c r="I167" s="3">
        <v>56</v>
      </c>
      <c r="J167" s="3">
        <v>11</v>
      </c>
      <c r="K167" s="2">
        <f t="shared" si="2"/>
        <v>17.739526517270367</v>
      </c>
      <c r="L167" s="3">
        <v>0</v>
      </c>
      <c r="M167" s="3">
        <v>0</v>
      </c>
      <c r="N167" s="3">
        <v>1</v>
      </c>
      <c r="O167" s="2" t="s">
        <v>117</v>
      </c>
    </row>
    <row r="168" spans="1:15" x14ac:dyDescent="0.25">
      <c r="A168" s="2" t="s">
        <v>50</v>
      </c>
      <c r="B168" s="2">
        <v>4</v>
      </c>
      <c r="C168" s="8">
        <v>1</v>
      </c>
      <c r="D168" s="8">
        <v>0</v>
      </c>
      <c r="E168" s="1">
        <v>43784</v>
      </c>
      <c r="F168" s="3">
        <v>15</v>
      </c>
      <c r="G168" s="2" t="s">
        <v>17</v>
      </c>
      <c r="H168" s="8">
        <v>1</v>
      </c>
      <c r="I168" s="3">
        <v>41.5</v>
      </c>
      <c r="J168" s="3">
        <v>7</v>
      </c>
      <c r="K168" s="2">
        <f t="shared" si="2"/>
        <v>5.3236905508957033</v>
      </c>
      <c r="L168" s="3">
        <v>0</v>
      </c>
      <c r="M168" s="3">
        <v>0</v>
      </c>
      <c r="N168" s="3">
        <v>1</v>
      </c>
      <c r="O168" s="2" t="s">
        <v>88</v>
      </c>
    </row>
    <row r="169" spans="1:15" x14ac:dyDescent="0.25">
      <c r="A169" s="2" t="s">
        <v>50</v>
      </c>
      <c r="B169" s="2">
        <v>4</v>
      </c>
      <c r="C169" s="8">
        <v>1</v>
      </c>
      <c r="D169" s="8">
        <v>0</v>
      </c>
      <c r="E169" s="1">
        <v>43784</v>
      </c>
      <c r="F169" s="3">
        <v>16</v>
      </c>
      <c r="G169" s="2" t="s">
        <v>17</v>
      </c>
      <c r="H169" s="8">
        <v>1</v>
      </c>
      <c r="I169" s="3">
        <v>71</v>
      </c>
      <c r="J169" s="3">
        <v>12</v>
      </c>
      <c r="K169" s="2">
        <f t="shared" si="2"/>
        <v>26.766369408585035</v>
      </c>
      <c r="L169" s="3">
        <v>0</v>
      </c>
      <c r="M169" s="3">
        <v>0</v>
      </c>
      <c r="N169" s="3">
        <v>1</v>
      </c>
      <c r="O169" s="2" t="s">
        <v>93</v>
      </c>
    </row>
    <row r="170" spans="1:15" x14ac:dyDescent="0.25">
      <c r="A170" s="2" t="s">
        <v>50</v>
      </c>
      <c r="B170" s="2">
        <v>4</v>
      </c>
      <c r="C170" s="8">
        <v>1</v>
      </c>
      <c r="D170" s="8">
        <v>0</v>
      </c>
      <c r="E170" s="1">
        <v>43784</v>
      </c>
      <c r="F170" s="3">
        <v>17</v>
      </c>
      <c r="G170" s="2" t="s">
        <v>17</v>
      </c>
      <c r="H170" s="8">
        <v>1</v>
      </c>
      <c r="I170" s="3">
        <v>54</v>
      </c>
      <c r="J170" s="3">
        <v>7</v>
      </c>
      <c r="K170" s="2">
        <f t="shared" si="2"/>
        <v>6.927211801165492</v>
      </c>
      <c r="L170" s="3">
        <v>0</v>
      </c>
      <c r="M170" s="3">
        <v>0</v>
      </c>
      <c r="N170" s="3">
        <v>0</v>
      </c>
      <c r="O170" s="2" t="s">
        <v>92</v>
      </c>
    </row>
    <row r="171" spans="1:15" x14ac:dyDescent="0.25">
      <c r="A171" s="2" t="s">
        <v>50</v>
      </c>
      <c r="B171" s="2">
        <v>4</v>
      </c>
      <c r="C171" s="8">
        <v>1</v>
      </c>
      <c r="D171" s="8">
        <v>0</v>
      </c>
      <c r="E171" s="1">
        <v>43784</v>
      </c>
      <c r="F171" s="3">
        <v>18</v>
      </c>
      <c r="G171" s="2" t="s">
        <v>17</v>
      </c>
      <c r="H171" s="8">
        <v>1</v>
      </c>
      <c r="I171" s="3">
        <v>37</v>
      </c>
      <c r="J171" s="3">
        <v>6</v>
      </c>
      <c r="K171" s="2">
        <f t="shared" si="2"/>
        <v>3.4871678454846702</v>
      </c>
      <c r="L171" s="3">
        <v>0</v>
      </c>
      <c r="M171" s="3">
        <v>0</v>
      </c>
      <c r="N171" s="3">
        <v>0</v>
      </c>
      <c r="O171" s="2" t="s">
        <v>118</v>
      </c>
    </row>
    <row r="172" spans="1:15" x14ac:dyDescent="0.25">
      <c r="A172" s="2" t="s">
        <v>50</v>
      </c>
      <c r="B172" s="2">
        <v>4</v>
      </c>
      <c r="C172" s="8">
        <v>1</v>
      </c>
      <c r="D172" s="8">
        <v>0</v>
      </c>
      <c r="E172" s="1">
        <v>43784</v>
      </c>
      <c r="F172" s="3">
        <v>19</v>
      </c>
      <c r="G172" s="2" t="s">
        <v>17</v>
      </c>
      <c r="H172" s="8">
        <v>1</v>
      </c>
      <c r="I172" s="3">
        <v>42</v>
      </c>
      <c r="J172" s="3">
        <v>4</v>
      </c>
      <c r="K172" s="2">
        <f t="shared" si="2"/>
        <v>1.7592918860102846</v>
      </c>
      <c r="L172" s="3">
        <v>0</v>
      </c>
      <c r="M172" s="3">
        <v>0</v>
      </c>
      <c r="N172" s="3">
        <v>0</v>
      </c>
      <c r="O172" s="2" t="s">
        <v>101</v>
      </c>
    </row>
    <row r="173" spans="1:15" x14ac:dyDescent="0.25">
      <c r="A173" s="2" t="s">
        <v>50</v>
      </c>
      <c r="B173" s="2">
        <v>4</v>
      </c>
      <c r="C173" s="8">
        <v>1</v>
      </c>
      <c r="D173" s="8">
        <v>0</v>
      </c>
      <c r="E173" s="1">
        <v>43784</v>
      </c>
      <c r="F173" s="3">
        <v>20</v>
      </c>
      <c r="G173" s="2" t="s">
        <v>17</v>
      </c>
      <c r="H173" s="8">
        <v>1</v>
      </c>
      <c r="I173" s="3">
        <v>45</v>
      </c>
      <c r="J173" s="3">
        <v>7</v>
      </c>
      <c r="K173" s="2">
        <f t="shared" si="2"/>
        <v>5.7726765009712437</v>
      </c>
      <c r="L173" s="3">
        <v>0</v>
      </c>
      <c r="M173" s="3">
        <v>0</v>
      </c>
      <c r="N173" s="3">
        <v>1</v>
      </c>
      <c r="O173" s="2" t="s">
        <v>96</v>
      </c>
    </row>
    <row r="174" spans="1:15" x14ac:dyDescent="0.25">
      <c r="A174" s="2" t="s">
        <v>50</v>
      </c>
      <c r="B174" s="2">
        <v>4</v>
      </c>
      <c r="C174" s="8">
        <v>1</v>
      </c>
      <c r="D174" s="8">
        <v>0</v>
      </c>
      <c r="E174" s="1">
        <v>43784</v>
      </c>
      <c r="F174" s="3">
        <v>21</v>
      </c>
      <c r="G174" s="2" t="s">
        <v>17</v>
      </c>
      <c r="H174" s="8">
        <v>1</v>
      </c>
      <c r="I174" s="3">
        <v>37</v>
      </c>
      <c r="J174" s="3">
        <v>5</v>
      </c>
      <c r="K174" s="2">
        <f t="shared" si="2"/>
        <v>2.4216443371421321</v>
      </c>
      <c r="L174" s="3">
        <v>0</v>
      </c>
      <c r="M174" s="3">
        <v>0</v>
      </c>
      <c r="N174" s="3">
        <v>0</v>
      </c>
      <c r="O174" s="2" t="s">
        <v>98</v>
      </c>
    </row>
    <row r="175" spans="1:15" x14ac:dyDescent="0.25">
      <c r="A175" s="2" t="s">
        <v>50</v>
      </c>
      <c r="B175" s="2">
        <v>4</v>
      </c>
      <c r="C175" s="8">
        <v>1</v>
      </c>
      <c r="D175" s="8">
        <v>0</v>
      </c>
      <c r="E175" s="1">
        <v>43784</v>
      </c>
      <c r="F175" s="3">
        <v>22</v>
      </c>
      <c r="G175" s="2" t="s">
        <v>17</v>
      </c>
      <c r="H175" s="8">
        <v>1</v>
      </c>
      <c r="I175" s="3">
        <v>83</v>
      </c>
      <c r="J175" s="3">
        <v>6</v>
      </c>
      <c r="K175" s="2">
        <f t="shared" si="2"/>
        <v>7.822565707438585</v>
      </c>
      <c r="L175" s="3">
        <v>1</v>
      </c>
      <c r="M175" s="3">
        <v>0</v>
      </c>
      <c r="N175" s="3">
        <v>0</v>
      </c>
      <c r="O175" s="2" t="s">
        <v>119</v>
      </c>
    </row>
    <row r="176" spans="1:15" x14ac:dyDescent="0.25">
      <c r="A176" s="2" t="s">
        <v>50</v>
      </c>
      <c r="B176" s="2">
        <v>4</v>
      </c>
      <c r="C176" s="8">
        <v>1</v>
      </c>
      <c r="D176" s="8">
        <v>0</v>
      </c>
      <c r="E176" s="1">
        <v>43784</v>
      </c>
      <c r="F176" s="3">
        <v>23</v>
      </c>
      <c r="G176" s="2" t="s">
        <v>17</v>
      </c>
      <c r="H176" s="8">
        <v>1</v>
      </c>
      <c r="I176" s="3">
        <v>27</v>
      </c>
      <c r="J176" s="3">
        <v>5</v>
      </c>
      <c r="K176" s="2">
        <f t="shared" si="2"/>
        <v>1.7671458676442586</v>
      </c>
      <c r="L176" s="3">
        <v>1</v>
      </c>
      <c r="M176" s="3">
        <v>0</v>
      </c>
      <c r="N176" s="3">
        <v>1</v>
      </c>
      <c r="O176" s="2" t="s">
        <v>120</v>
      </c>
    </row>
    <row r="177" spans="1:15" x14ac:dyDescent="0.25">
      <c r="A177" s="2" t="s">
        <v>50</v>
      </c>
      <c r="B177" s="2">
        <v>4</v>
      </c>
      <c r="C177" s="8">
        <v>1</v>
      </c>
      <c r="D177" s="8">
        <v>0</v>
      </c>
      <c r="E177" s="1">
        <v>43784</v>
      </c>
      <c r="F177" s="3">
        <v>24</v>
      </c>
      <c r="G177" s="2" t="s">
        <v>17</v>
      </c>
      <c r="H177" s="8">
        <v>1</v>
      </c>
      <c r="I177" s="3">
        <v>65</v>
      </c>
      <c r="J177" s="3">
        <v>12</v>
      </c>
      <c r="K177" s="2">
        <f t="shared" si="2"/>
        <v>24.504422698000383</v>
      </c>
      <c r="L177" s="3">
        <v>0</v>
      </c>
      <c r="M177" s="3">
        <v>0</v>
      </c>
      <c r="N177" s="3">
        <v>0</v>
      </c>
      <c r="O177" s="2" t="s">
        <v>103</v>
      </c>
    </row>
    <row r="178" spans="1:15" x14ac:dyDescent="0.25">
      <c r="A178" s="2" t="s">
        <v>50</v>
      </c>
      <c r="B178" s="2">
        <v>4</v>
      </c>
      <c r="C178" s="8">
        <v>1</v>
      </c>
      <c r="D178" s="8">
        <v>0</v>
      </c>
      <c r="E178" s="1">
        <v>43784</v>
      </c>
      <c r="F178" s="3">
        <v>32</v>
      </c>
      <c r="G178" s="2" t="s">
        <v>17</v>
      </c>
      <c r="H178" s="8">
        <v>1</v>
      </c>
      <c r="I178" s="3">
        <v>52</v>
      </c>
      <c r="J178" s="3">
        <v>10</v>
      </c>
      <c r="K178" s="2">
        <f t="shared" si="2"/>
        <v>13.613568165555771</v>
      </c>
      <c r="L178" s="3">
        <v>0</v>
      </c>
      <c r="M178" s="3">
        <v>0</v>
      </c>
      <c r="N178" s="3">
        <v>0</v>
      </c>
      <c r="O178" s="2" t="s">
        <v>121</v>
      </c>
    </row>
    <row r="179" spans="1:15" x14ac:dyDescent="0.25">
      <c r="A179" s="2" t="s">
        <v>50</v>
      </c>
      <c r="B179" s="2">
        <v>4</v>
      </c>
      <c r="C179" s="8">
        <v>1</v>
      </c>
      <c r="D179" s="8">
        <v>0</v>
      </c>
      <c r="E179" s="1">
        <v>43784</v>
      </c>
      <c r="F179" s="3">
        <v>33</v>
      </c>
      <c r="G179" s="2" t="s">
        <v>17</v>
      </c>
      <c r="H179" s="8">
        <v>1</v>
      </c>
      <c r="I179" s="3">
        <v>49</v>
      </c>
      <c r="J179" s="3">
        <v>6</v>
      </c>
      <c r="K179" s="2">
        <f t="shared" si="2"/>
        <v>4.6181412007769955</v>
      </c>
      <c r="L179" s="3">
        <v>0</v>
      </c>
      <c r="M179" s="3">
        <v>0</v>
      </c>
      <c r="N179" s="3">
        <v>1</v>
      </c>
      <c r="O179" s="2" t="s">
        <v>122</v>
      </c>
    </row>
    <row r="180" spans="1:15" x14ac:dyDescent="0.25">
      <c r="A180" s="2" t="s">
        <v>50</v>
      </c>
      <c r="B180" s="2">
        <v>4</v>
      </c>
      <c r="C180" s="8">
        <v>1</v>
      </c>
      <c r="D180" s="8">
        <v>0</v>
      </c>
      <c r="E180" s="1">
        <v>43784</v>
      </c>
      <c r="F180" s="3">
        <v>34</v>
      </c>
      <c r="G180" s="2" t="s">
        <v>17</v>
      </c>
      <c r="H180" s="8">
        <v>1</v>
      </c>
      <c r="I180" s="3">
        <v>56</v>
      </c>
      <c r="J180" s="3">
        <v>4</v>
      </c>
      <c r="K180" s="2">
        <f t="shared" si="2"/>
        <v>2.3457225146803791</v>
      </c>
      <c r="L180" s="3">
        <v>0</v>
      </c>
      <c r="M180" s="3">
        <v>0</v>
      </c>
      <c r="N180" s="3">
        <v>1</v>
      </c>
      <c r="O180" s="2" t="s">
        <v>110</v>
      </c>
    </row>
    <row r="181" spans="1:15" x14ac:dyDescent="0.25">
      <c r="A181" s="2" t="s">
        <v>50</v>
      </c>
      <c r="B181" s="2">
        <v>2</v>
      </c>
      <c r="C181" s="8">
        <v>0</v>
      </c>
      <c r="D181" s="8">
        <v>1</v>
      </c>
      <c r="E181" s="1">
        <v>43784</v>
      </c>
      <c r="F181" s="3">
        <v>1</v>
      </c>
      <c r="G181" s="2" t="s">
        <v>17</v>
      </c>
      <c r="H181" s="8">
        <v>1</v>
      </c>
      <c r="I181" s="3">
        <v>52</v>
      </c>
      <c r="J181" s="3">
        <v>6</v>
      </c>
      <c r="K181" s="2">
        <f t="shared" si="2"/>
        <v>4.9008845396000771</v>
      </c>
      <c r="L181" s="3">
        <v>0</v>
      </c>
      <c r="M181" s="3">
        <v>0</v>
      </c>
      <c r="N181" s="3">
        <v>0</v>
      </c>
    </row>
    <row r="182" spans="1:15" x14ac:dyDescent="0.25">
      <c r="A182" s="2" t="s">
        <v>50</v>
      </c>
      <c r="B182" s="2">
        <v>2</v>
      </c>
      <c r="C182" s="8">
        <v>0</v>
      </c>
      <c r="D182" s="8">
        <v>1</v>
      </c>
      <c r="E182" s="1">
        <v>43784</v>
      </c>
      <c r="F182" s="3">
        <v>2</v>
      </c>
      <c r="G182" s="2" t="s">
        <v>17</v>
      </c>
      <c r="H182" s="8">
        <v>1</v>
      </c>
      <c r="I182" s="3">
        <v>111</v>
      </c>
      <c r="J182" s="3">
        <v>12</v>
      </c>
      <c r="K182" s="2">
        <f t="shared" si="2"/>
        <v>41.846014145816042</v>
      </c>
      <c r="L182" s="3">
        <v>0</v>
      </c>
      <c r="M182" s="3">
        <v>0</v>
      </c>
      <c r="N182" s="3">
        <v>0</v>
      </c>
      <c r="O182" s="2" t="s">
        <v>123</v>
      </c>
    </row>
    <row r="183" spans="1:15" x14ac:dyDescent="0.25">
      <c r="A183" s="2" t="s">
        <v>50</v>
      </c>
      <c r="B183" s="2">
        <v>2</v>
      </c>
      <c r="C183" s="8">
        <v>0</v>
      </c>
      <c r="D183" s="8">
        <v>1</v>
      </c>
      <c r="E183" s="1">
        <v>43784</v>
      </c>
      <c r="F183" s="3">
        <v>3</v>
      </c>
      <c r="G183" s="2" t="s">
        <v>17</v>
      </c>
      <c r="H183" s="8">
        <v>1</v>
      </c>
      <c r="I183" s="3">
        <v>58</v>
      </c>
      <c r="J183" s="3">
        <v>8</v>
      </c>
      <c r="K183" s="2">
        <f t="shared" si="2"/>
        <v>9.717993275104428</v>
      </c>
      <c r="L183" s="3">
        <v>0</v>
      </c>
      <c r="M183" s="3">
        <v>0</v>
      </c>
      <c r="N183" s="3">
        <v>0</v>
      </c>
    </row>
    <row r="184" spans="1:15" x14ac:dyDescent="0.25">
      <c r="A184" s="2" t="s">
        <v>50</v>
      </c>
      <c r="B184" s="2">
        <v>2</v>
      </c>
      <c r="C184" s="8">
        <v>0</v>
      </c>
      <c r="D184" s="8">
        <v>1</v>
      </c>
      <c r="E184" s="1">
        <v>43784</v>
      </c>
      <c r="F184" s="3">
        <v>4</v>
      </c>
      <c r="G184" s="2" t="s">
        <v>17</v>
      </c>
      <c r="H184" s="8">
        <v>1</v>
      </c>
      <c r="I184" s="3">
        <v>80</v>
      </c>
      <c r="J184" s="3">
        <v>9</v>
      </c>
      <c r="K184" s="2">
        <f t="shared" si="2"/>
        <v>16.964600329384883</v>
      </c>
      <c r="L184" s="3">
        <v>0</v>
      </c>
      <c r="M184" s="3">
        <v>0</v>
      </c>
      <c r="N184" s="3">
        <v>0</v>
      </c>
    </row>
    <row r="185" spans="1:15" x14ac:dyDescent="0.25">
      <c r="A185" s="2" t="s">
        <v>50</v>
      </c>
      <c r="B185" s="2">
        <v>2</v>
      </c>
      <c r="C185" s="8">
        <v>0</v>
      </c>
      <c r="D185" s="8">
        <v>1</v>
      </c>
      <c r="E185" s="1">
        <v>43784</v>
      </c>
      <c r="F185" s="3">
        <v>5</v>
      </c>
      <c r="G185" s="2" t="s">
        <v>17</v>
      </c>
      <c r="H185" s="8">
        <v>1</v>
      </c>
      <c r="I185" s="3">
        <v>89</v>
      </c>
      <c r="J185" s="3">
        <v>8</v>
      </c>
      <c r="K185" s="2">
        <f t="shared" si="2"/>
        <v>14.912093129039553</v>
      </c>
      <c r="L185" s="3">
        <v>0</v>
      </c>
      <c r="M185" s="3">
        <v>0</v>
      </c>
      <c r="N185" s="3">
        <v>0</v>
      </c>
    </row>
    <row r="186" spans="1:15" x14ac:dyDescent="0.25">
      <c r="A186" s="2" t="s">
        <v>50</v>
      </c>
      <c r="B186" s="2">
        <v>2</v>
      </c>
      <c r="C186" s="8">
        <v>0</v>
      </c>
      <c r="D186" s="8">
        <v>1</v>
      </c>
      <c r="E186" s="1">
        <v>43784</v>
      </c>
      <c r="F186" s="3">
        <v>6</v>
      </c>
      <c r="G186" s="2" t="s">
        <v>17</v>
      </c>
      <c r="H186" s="8">
        <v>1</v>
      </c>
      <c r="I186" s="3">
        <v>78</v>
      </c>
      <c r="J186" s="3">
        <v>10</v>
      </c>
      <c r="K186" s="2">
        <f t="shared" si="2"/>
        <v>20.420352248333653</v>
      </c>
      <c r="L186" s="3">
        <v>0</v>
      </c>
      <c r="M186" s="3">
        <v>0</v>
      </c>
      <c r="N186" s="3">
        <v>0</v>
      </c>
    </row>
    <row r="187" spans="1:15" x14ac:dyDescent="0.25">
      <c r="A187" s="2" t="s">
        <v>50</v>
      </c>
      <c r="B187" s="2">
        <v>2</v>
      </c>
      <c r="C187" s="8">
        <v>0</v>
      </c>
      <c r="D187" s="8">
        <v>1</v>
      </c>
      <c r="E187" s="1">
        <v>43784</v>
      </c>
      <c r="F187" s="3">
        <v>7</v>
      </c>
      <c r="G187" s="2" t="s">
        <v>17</v>
      </c>
      <c r="H187" s="8">
        <v>1</v>
      </c>
      <c r="I187" s="3">
        <v>58</v>
      </c>
      <c r="J187" s="3">
        <v>5</v>
      </c>
      <c r="K187" s="2">
        <f t="shared" si="2"/>
        <v>3.7960911230876668</v>
      </c>
      <c r="L187" s="3">
        <v>0</v>
      </c>
      <c r="M187" s="3">
        <v>0</v>
      </c>
      <c r="N187" s="3">
        <v>0</v>
      </c>
    </row>
    <row r="188" spans="1:15" x14ac:dyDescent="0.25">
      <c r="A188" s="2" t="s">
        <v>50</v>
      </c>
      <c r="B188" s="2">
        <v>2</v>
      </c>
      <c r="C188" s="8">
        <v>0</v>
      </c>
      <c r="D188" s="8">
        <v>1</v>
      </c>
      <c r="E188" s="1">
        <v>43784</v>
      </c>
      <c r="F188" s="3">
        <v>8</v>
      </c>
      <c r="G188" s="2" t="s">
        <v>17</v>
      </c>
      <c r="H188" s="8">
        <v>1</v>
      </c>
      <c r="I188" s="3">
        <v>57</v>
      </c>
      <c r="J188" s="3">
        <v>4</v>
      </c>
      <c r="K188" s="2">
        <f t="shared" si="2"/>
        <v>2.3876104167282426</v>
      </c>
      <c r="L188" s="3">
        <v>0</v>
      </c>
      <c r="M188" s="3">
        <v>0</v>
      </c>
      <c r="N188" s="3">
        <v>0</v>
      </c>
    </row>
    <row r="189" spans="1:15" x14ac:dyDescent="0.25">
      <c r="A189" s="2" t="s">
        <v>50</v>
      </c>
      <c r="B189" s="2">
        <v>2</v>
      </c>
      <c r="C189" s="8">
        <v>0</v>
      </c>
      <c r="D189" s="8">
        <v>1</v>
      </c>
      <c r="E189" s="1">
        <v>43784</v>
      </c>
      <c r="F189" s="3">
        <v>9</v>
      </c>
      <c r="G189" s="2" t="s">
        <v>17</v>
      </c>
      <c r="H189" s="8">
        <v>1</v>
      </c>
      <c r="I189" s="3">
        <v>70</v>
      </c>
      <c r="J189" s="3">
        <v>9</v>
      </c>
      <c r="K189" s="2">
        <f t="shared" si="2"/>
        <v>14.844025288211775</v>
      </c>
      <c r="L189" s="3">
        <v>0</v>
      </c>
      <c r="M189" s="3">
        <v>0</v>
      </c>
      <c r="N189" s="3">
        <v>0</v>
      </c>
    </row>
    <row r="190" spans="1:15" x14ac:dyDescent="0.25">
      <c r="A190" s="2" t="s">
        <v>50</v>
      </c>
      <c r="B190" s="2">
        <v>2</v>
      </c>
      <c r="C190" s="8">
        <v>0</v>
      </c>
      <c r="D190" s="8">
        <v>1</v>
      </c>
      <c r="E190" s="1">
        <v>43784</v>
      </c>
      <c r="F190" s="3">
        <v>10</v>
      </c>
      <c r="G190" s="2" t="s">
        <v>17</v>
      </c>
      <c r="H190" s="8">
        <v>1</v>
      </c>
      <c r="I190" s="3">
        <v>98</v>
      </c>
      <c r="J190" s="3">
        <v>12</v>
      </c>
      <c r="K190" s="2">
        <f t="shared" si="2"/>
        <v>36.945129606215964</v>
      </c>
      <c r="L190" s="3">
        <v>0</v>
      </c>
      <c r="M190" s="3">
        <v>0</v>
      </c>
      <c r="N190" s="3">
        <v>0</v>
      </c>
      <c r="O190" s="2" t="s">
        <v>124</v>
      </c>
    </row>
    <row r="191" spans="1:15" x14ac:dyDescent="0.25">
      <c r="A191" s="2" t="s">
        <v>50</v>
      </c>
      <c r="B191" s="2">
        <v>3</v>
      </c>
      <c r="C191" s="8">
        <v>0</v>
      </c>
      <c r="D191" s="8">
        <v>0</v>
      </c>
      <c r="E191" s="1">
        <v>43784</v>
      </c>
      <c r="F191" s="3">
        <v>1</v>
      </c>
      <c r="G191" s="2" t="s">
        <v>17</v>
      </c>
      <c r="H191" s="8">
        <v>1</v>
      </c>
      <c r="I191" s="3">
        <v>88</v>
      </c>
      <c r="J191" s="3">
        <v>11</v>
      </c>
      <c r="K191" s="2">
        <f t="shared" si="2"/>
        <v>27.876398812853434</v>
      </c>
      <c r="L191" s="3">
        <v>0</v>
      </c>
      <c r="M191" s="3">
        <v>0</v>
      </c>
      <c r="N191" s="3">
        <v>0</v>
      </c>
    </row>
    <row r="192" spans="1:15" x14ac:dyDescent="0.25">
      <c r="A192" s="2" t="s">
        <v>50</v>
      </c>
      <c r="B192" s="2">
        <v>3</v>
      </c>
      <c r="C192" s="8">
        <v>0</v>
      </c>
      <c r="D192" s="8">
        <v>0</v>
      </c>
      <c r="E192" s="1">
        <v>43784</v>
      </c>
      <c r="F192" s="3">
        <v>2</v>
      </c>
      <c r="G192" s="2" t="s">
        <v>17</v>
      </c>
      <c r="H192" s="8">
        <v>1</v>
      </c>
      <c r="I192" s="3">
        <v>54</v>
      </c>
      <c r="J192" s="3">
        <v>6</v>
      </c>
      <c r="K192" s="2">
        <f t="shared" si="2"/>
        <v>5.0893800988154645</v>
      </c>
      <c r="L192" s="3">
        <v>0</v>
      </c>
      <c r="M192" s="3">
        <v>0</v>
      </c>
      <c r="N192" s="3">
        <v>0</v>
      </c>
    </row>
    <row r="193" spans="1:15" x14ac:dyDescent="0.25">
      <c r="A193" s="2" t="s">
        <v>50</v>
      </c>
      <c r="B193" s="2">
        <v>3</v>
      </c>
      <c r="C193" s="8">
        <v>0</v>
      </c>
      <c r="D193" s="8">
        <v>0</v>
      </c>
      <c r="E193" s="1">
        <v>43784</v>
      </c>
      <c r="F193" s="3">
        <v>3</v>
      </c>
      <c r="G193" s="2" t="s">
        <v>17</v>
      </c>
      <c r="H193" s="8">
        <v>1</v>
      </c>
      <c r="I193" s="3">
        <v>55</v>
      </c>
      <c r="J193" s="3">
        <v>6</v>
      </c>
      <c r="K193" s="2">
        <f t="shared" si="2"/>
        <v>5.1836278784231586</v>
      </c>
      <c r="L193" s="3">
        <v>0</v>
      </c>
      <c r="M193" s="3">
        <v>0</v>
      </c>
      <c r="N193" s="3">
        <v>0</v>
      </c>
    </row>
    <row r="194" spans="1:15" x14ac:dyDescent="0.25">
      <c r="A194" s="2" t="s">
        <v>50</v>
      </c>
      <c r="B194" s="2">
        <v>3</v>
      </c>
      <c r="C194" s="8">
        <v>0</v>
      </c>
      <c r="D194" s="8">
        <v>0</v>
      </c>
      <c r="E194" s="1">
        <v>43784</v>
      </c>
      <c r="F194" s="3">
        <v>4</v>
      </c>
      <c r="G194" s="2" t="s">
        <v>17</v>
      </c>
      <c r="H194" s="8">
        <v>1</v>
      </c>
      <c r="I194" s="3">
        <v>73</v>
      </c>
      <c r="J194" s="3">
        <v>4</v>
      </c>
      <c r="K194" s="2">
        <f t="shared" ref="K194:K257" si="3">(I194*PI()*(J194/20)*(J194/20))/3</f>
        <v>3.0578168494940656</v>
      </c>
      <c r="L194" s="3">
        <v>0</v>
      </c>
      <c r="M194" s="3">
        <v>0</v>
      </c>
      <c r="N194" s="3">
        <v>0</v>
      </c>
    </row>
    <row r="195" spans="1:15" x14ac:dyDescent="0.25">
      <c r="A195" s="2" t="s">
        <v>50</v>
      </c>
      <c r="B195" s="2">
        <v>3</v>
      </c>
      <c r="C195" s="8">
        <v>0</v>
      </c>
      <c r="D195" s="8">
        <v>0</v>
      </c>
      <c r="E195" s="1">
        <v>43784</v>
      </c>
      <c r="F195" s="3">
        <v>5</v>
      </c>
      <c r="G195" s="2" t="s">
        <v>17</v>
      </c>
      <c r="H195" s="8">
        <v>1</v>
      </c>
      <c r="I195" s="3">
        <v>43</v>
      </c>
      <c r="J195" s="3">
        <v>6</v>
      </c>
      <c r="K195" s="2">
        <f t="shared" si="3"/>
        <v>4.0526545231308324</v>
      </c>
      <c r="L195" s="3">
        <v>0</v>
      </c>
      <c r="M195" s="3">
        <v>0</v>
      </c>
      <c r="N195" s="3">
        <v>0</v>
      </c>
    </row>
    <row r="196" spans="1:15" x14ac:dyDescent="0.25">
      <c r="A196" s="2" t="s">
        <v>50</v>
      </c>
      <c r="B196" s="2">
        <v>3</v>
      </c>
      <c r="C196" s="8">
        <v>0</v>
      </c>
      <c r="D196" s="8">
        <v>0</v>
      </c>
      <c r="E196" s="1">
        <v>43784</v>
      </c>
      <c r="F196" s="3">
        <v>6</v>
      </c>
      <c r="G196" s="2" t="s">
        <v>17</v>
      </c>
      <c r="H196" s="8">
        <v>1</v>
      </c>
      <c r="I196" s="3">
        <v>45</v>
      </c>
      <c r="J196" s="3">
        <v>6</v>
      </c>
      <c r="K196" s="2">
        <f t="shared" si="3"/>
        <v>4.2411500823462207</v>
      </c>
      <c r="L196" s="3">
        <v>0</v>
      </c>
      <c r="M196" s="3">
        <v>0</v>
      </c>
      <c r="N196" s="3">
        <v>0</v>
      </c>
    </row>
    <row r="197" spans="1:15" x14ac:dyDescent="0.25">
      <c r="A197" s="2" t="s">
        <v>50</v>
      </c>
      <c r="B197" s="2">
        <v>3</v>
      </c>
      <c r="C197" s="8">
        <v>0</v>
      </c>
      <c r="D197" s="8">
        <v>0</v>
      </c>
      <c r="E197" s="1">
        <v>43784</v>
      </c>
      <c r="F197" s="3">
        <v>7</v>
      </c>
      <c r="G197" s="2" t="s">
        <v>17</v>
      </c>
      <c r="H197" s="8">
        <v>1</v>
      </c>
      <c r="I197" s="3">
        <v>43</v>
      </c>
      <c r="J197" s="3">
        <v>2</v>
      </c>
      <c r="K197" s="2">
        <f t="shared" si="3"/>
        <v>0.45029494701453704</v>
      </c>
      <c r="L197" s="3">
        <v>0</v>
      </c>
      <c r="M197" s="3">
        <v>0</v>
      </c>
      <c r="N197" s="3">
        <v>0</v>
      </c>
    </row>
    <row r="198" spans="1:15" x14ac:dyDescent="0.25">
      <c r="A198" s="2" t="s">
        <v>50</v>
      </c>
      <c r="B198" s="2">
        <v>3</v>
      </c>
      <c r="C198" s="8">
        <v>0</v>
      </c>
      <c r="D198" s="8">
        <v>0</v>
      </c>
      <c r="E198" s="1">
        <v>43784</v>
      </c>
      <c r="F198" s="3">
        <v>8</v>
      </c>
      <c r="G198" s="2" t="s">
        <v>17</v>
      </c>
      <c r="H198" s="8">
        <v>1</v>
      </c>
      <c r="I198" s="3">
        <v>56.5</v>
      </c>
      <c r="J198" s="3">
        <v>11</v>
      </c>
      <c r="K198" s="2">
        <f t="shared" si="3"/>
        <v>17.897915146888852</v>
      </c>
      <c r="L198" s="3">
        <v>0</v>
      </c>
      <c r="M198" s="3">
        <v>0</v>
      </c>
      <c r="N198" s="3">
        <v>0</v>
      </c>
    </row>
    <row r="199" spans="1:15" x14ac:dyDescent="0.25">
      <c r="A199" s="2" t="s">
        <v>126</v>
      </c>
      <c r="B199" s="2">
        <v>1</v>
      </c>
      <c r="C199" s="8">
        <v>1</v>
      </c>
      <c r="D199" s="8">
        <v>1</v>
      </c>
      <c r="E199" s="1">
        <v>43784</v>
      </c>
      <c r="F199" s="3">
        <v>1</v>
      </c>
      <c r="G199" s="2" t="s">
        <v>17</v>
      </c>
      <c r="H199" s="8">
        <v>1</v>
      </c>
      <c r="I199" s="3">
        <v>117</v>
      </c>
      <c r="J199" s="3">
        <v>17</v>
      </c>
      <c r="K199" s="2">
        <f t="shared" si="3"/>
        <v>88.522226996526385</v>
      </c>
      <c r="L199" s="3">
        <v>0</v>
      </c>
      <c r="M199" s="3">
        <v>0</v>
      </c>
      <c r="N199" s="3">
        <v>0</v>
      </c>
    </row>
    <row r="200" spans="1:15" x14ac:dyDescent="0.25">
      <c r="A200" s="2" t="s">
        <v>126</v>
      </c>
      <c r="B200" s="2">
        <v>1</v>
      </c>
      <c r="C200" s="8">
        <v>1</v>
      </c>
      <c r="D200" s="8">
        <v>1</v>
      </c>
      <c r="E200" s="1">
        <v>43784</v>
      </c>
      <c r="F200" s="3">
        <v>2</v>
      </c>
      <c r="G200" s="2" t="s">
        <v>17</v>
      </c>
      <c r="H200" s="8">
        <v>1</v>
      </c>
      <c r="I200" s="3">
        <v>100</v>
      </c>
      <c r="J200" s="3">
        <v>15</v>
      </c>
      <c r="K200" s="2">
        <f t="shared" si="3"/>
        <v>58.90486225480862</v>
      </c>
      <c r="L200" s="3">
        <v>0</v>
      </c>
      <c r="M200" s="3">
        <v>0</v>
      </c>
      <c r="N200" s="3">
        <v>0</v>
      </c>
    </row>
    <row r="201" spans="1:15" x14ac:dyDescent="0.25">
      <c r="A201" s="2" t="s">
        <v>126</v>
      </c>
      <c r="B201" s="2">
        <v>1</v>
      </c>
      <c r="C201" s="8">
        <v>1</v>
      </c>
      <c r="D201" s="8">
        <v>1</v>
      </c>
      <c r="E201" s="1">
        <v>43784</v>
      </c>
      <c r="F201" s="3">
        <v>3</v>
      </c>
      <c r="G201" s="2" t="s">
        <v>17</v>
      </c>
      <c r="H201" s="8">
        <v>1</v>
      </c>
      <c r="I201" s="3">
        <v>95</v>
      </c>
      <c r="J201" s="3">
        <v>14</v>
      </c>
      <c r="K201" s="2">
        <f t="shared" si="3"/>
        <v>48.747046008201615</v>
      </c>
      <c r="L201" s="3">
        <v>0</v>
      </c>
      <c r="M201" s="3">
        <v>0</v>
      </c>
      <c r="N201" s="3">
        <v>0</v>
      </c>
    </row>
    <row r="202" spans="1:15" x14ac:dyDescent="0.25">
      <c r="A202" s="2" t="s">
        <v>126</v>
      </c>
      <c r="B202" s="2">
        <v>1</v>
      </c>
      <c r="C202" s="8">
        <v>1</v>
      </c>
      <c r="D202" s="8">
        <v>1</v>
      </c>
      <c r="E202" s="1">
        <v>43784</v>
      </c>
      <c r="F202" s="3">
        <v>4</v>
      </c>
      <c r="G202" s="2" t="s">
        <v>17</v>
      </c>
      <c r="H202" s="8">
        <v>1</v>
      </c>
      <c r="I202" s="3">
        <v>78</v>
      </c>
      <c r="J202" s="3">
        <v>10</v>
      </c>
      <c r="K202" s="2">
        <f t="shared" si="3"/>
        <v>20.420352248333653</v>
      </c>
      <c r="L202" s="3">
        <v>0</v>
      </c>
      <c r="M202" s="3">
        <v>0</v>
      </c>
      <c r="N202" s="3">
        <v>0</v>
      </c>
    </row>
    <row r="203" spans="1:15" x14ac:dyDescent="0.25">
      <c r="A203" s="2" t="s">
        <v>126</v>
      </c>
      <c r="B203" s="2">
        <v>1</v>
      </c>
      <c r="C203" s="8">
        <v>1</v>
      </c>
      <c r="D203" s="8">
        <v>1</v>
      </c>
      <c r="E203" s="1">
        <v>43784</v>
      </c>
      <c r="F203" s="3">
        <v>5</v>
      </c>
      <c r="G203" s="2" t="s">
        <v>17</v>
      </c>
      <c r="H203" s="8">
        <v>1</v>
      </c>
      <c r="I203" s="3">
        <v>69</v>
      </c>
      <c r="J203" s="3">
        <v>10</v>
      </c>
      <c r="K203" s="2">
        <f t="shared" si="3"/>
        <v>18.06415775814131</v>
      </c>
      <c r="L203" s="3">
        <v>1</v>
      </c>
      <c r="M203" s="3">
        <v>0</v>
      </c>
      <c r="N203" s="3">
        <v>0</v>
      </c>
    </row>
    <row r="204" spans="1:15" x14ac:dyDescent="0.25">
      <c r="A204" s="2" t="s">
        <v>126</v>
      </c>
      <c r="B204" s="2">
        <v>1</v>
      </c>
      <c r="C204" s="8">
        <v>1</v>
      </c>
      <c r="D204" s="8">
        <v>1</v>
      </c>
      <c r="E204" s="1">
        <v>43784</v>
      </c>
      <c r="F204" s="3">
        <v>6</v>
      </c>
      <c r="G204" s="2" t="s">
        <v>17</v>
      </c>
      <c r="H204" s="8">
        <v>1</v>
      </c>
      <c r="I204" s="3">
        <v>123</v>
      </c>
      <c r="J204" s="3">
        <v>20</v>
      </c>
      <c r="K204" s="2">
        <f t="shared" si="3"/>
        <v>128.80529879718151</v>
      </c>
      <c r="L204" s="3">
        <v>0</v>
      </c>
      <c r="M204" s="3">
        <v>0</v>
      </c>
      <c r="N204" s="3">
        <v>0</v>
      </c>
    </row>
    <row r="205" spans="1:15" x14ac:dyDescent="0.25">
      <c r="A205" s="2" t="s">
        <v>126</v>
      </c>
      <c r="B205" s="2">
        <v>1</v>
      </c>
      <c r="C205" s="8">
        <v>1</v>
      </c>
      <c r="D205" s="8">
        <v>1</v>
      </c>
      <c r="E205" s="1">
        <v>43784</v>
      </c>
      <c r="F205" s="3">
        <v>7</v>
      </c>
      <c r="G205" s="2" t="s">
        <v>17</v>
      </c>
      <c r="H205" s="8">
        <v>1</v>
      </c>
      <c r="I205" s="3">
        <v>100</v>
      </c>
      <c r="J205" s="3">
        <v>13</v>
      </c>
      <c r="K205" s="2">
        <f t="shared" si="3"/>
        <v>44.244096538056255</v>
      </c>
      <c r="L205" s="3">
        <v>0</v>
      </c>
      <c r="M205" s="3">
        <v>0</v>
      </c>
      <c r="N205" s="3">
        <v>0</v>
      </c>
    </row>
    <row r="206" spans="1:15" x14ac:dyDescent="0.25">
      <c r="A206" s="2" t="s">
        <v>126</v>
      </c>
      <c r="B206" s="2">
        <v>1</v>
      </c>
      <c r="C206" s="8">
        <v>1</v>
      </c>
      <c r="D206" s="8">
        <v>1</v>
      </c>
      <c r="E206" s="1">
        <v>43784</v>
      </c>
      <c r="F206" s="3">
        <v>8</v>
      </c>
      <c r="G206" s="2" t="s">
        <v>17</v>
      </c>
      <c r="H206" s="8">
        <v>1</v>
      </c>
      <c r="I206" s="3">
        <v>75</v>
      </c>
      <c r="J206" s="3">
        <v>8</v>
      </c>
      <c r="K206" s="2">
        <f t="shared" si="3"/>
        <v>12.566370614359174</v>
      </c>
      <c r="L206" s="3">
        <v>0</v>
      </c>
      <c r="M206" s="3">
        <v>0</v>
      </c>
      <c r="N206" s="3">
        <v>0</v>
      </c>
      <c r="O206" s="2" t="s">
        <v>127</v>
      </c>
    </row>
    <row r="207" spans="1:15" x14ac:dyDescent="0.25">
      <c r="A207" s="2" t="s">
        <v>126</v>
      </c>
      <c r="B207" s="2">
        <v>1</v>
      </c>
      <c r="C207" s="8">
        <v>1</v>
      </c>
      <c r="D207" s="8">
        <v>1</v>
      </c>
      <c r="E207" s="1">
        <v>43784</v>
      </c>
      <c r="F207" s="3">
        <v>9</v>
      </c>
      <c r="G207" s="2" t="s">
        <v>17</v>
      </c>
      <c r="H207" s="8">
        <v>1</v>
      </c>
      <c r="I207" s="3">
        <v>126</v>
      </c>
      <c r="J207" s="3">
        <v>22</v>
      </c>
      <c r="K207" s="2">
        <f t="shared" si="3"/>
        <v>159.65573865543331</v>
      </c>
      <c r="L207" s="3">
        <v>0</v>
      </c>
      <c r="M207" s="3">
        <v>0</v>
      </c>
      <c r="N207" s="3">
        <v>0</v>
      </c>
    </row>
    <row r="208" spans="1:15" x14ac:dyDescent="0.25">
      <c r="A208" s="2" t="s">
        <v>126</v>
      </c>
      <c r="B208" s="2">
        <v>1</v>
      </c>
      <c r="C208" s="8">
        <v>1</v>
      </c>
      <c r="D208" s="8">
        <v>1</v>
      </c>
      <c r="E208" s="1">
        <v>43784</v>
      </c>
      <c r="F208" s="3">
        <v>10</v>
      </c>
      <c r="G208" s="2" t="s">
        <v>17</v>
      </c>
      <c r="H208" s="8">
        <v>1</v>
      </c>
      <c r="I208" s="3">
        <v>45</v>
      </c>
      <c r="J208" s="3">
        <v>10</v>
      </c>
      <c r="K208" s="2">
        <f t="shared" si="3"/>
        <v>11.780972450961725</v>
      </c>
      <c r="L208" s="3">
        <v>0</v>
      </c>
      <c r="M208" s="3">
        <v>0</v>
      </c>
      <c r="N208" s="3">
        <v>1</v>
      </c>
    </row>
    <row r="209" spans="1:14" x14ac:dyDescent="0.25">
      <c r="A209" s="2" t="s">
        <v>126</v>
      </c>
      <c r="B209" s="2">
        <v>1</v>
      </c>
      <c r="C209" s="8">
        <v>1</v>
      </c>
      <c r="D209" s="8">
        <v>1</v>
      </c>
      <c r="E209" s="1">
        <v>43784</v>
      </c>
      <c r="F209" s="3">
        <v>11</v>
      </c>
      <c r="G209" s="2" t="s">
        <v>17</v>
      </c>
      <c r="H209" s="8">
        <v>1</v>
      </c>
      <c r="I209" s="3">
        <v>100</v>
      </c>
      <c r="J209" s="3">
        <v>14</v>
      </c>
      <c r="K209" s="2">
        <f t="shared" si="3"/>
        <v>51.312680008633286</v>
      </c>
      <c r="L209" s="3">
        <v>0</v>
      </c>
      <c r="M209" s="3">
        <v>0</v>
      </c>
      <c r="N209" s="3">
        <v>0</v>
      </c>
    </row>
    <row r="210" spans="1:14" x14ac:dyDescent="0.25">
      <c r="A210" s="2" t="s">
        <v>126</v>
      </c>
      <c r="B210" s="2">
        <v>1</v>
      </c>
      <c r="C210" s="8">
        <v>1</v>
      </c>
      <c r="D210" s="8">
        <v>1</v>
      </c>
      <c r="E210" s="1">
        <v>43784</v>
      </c>
      <c r="F210" s="3">
        <v>12</v>
      </c>
      <c r="G210" s="2" t="s">
        <v>17</v>
      </c>
      <c r="H210" s="8">
        <v>1</v>
      </c>
      <c r="I210" s="3">
        <v>21</v>
      </c>
      <c r="J210" s="3">
        <v>5</v>
      </c>
      <c r="K210" s="2">
        <f t="shared" si="3"/>
        <v>1.3744467859455345</v>
      </c>
      <c r="L210" s="3">
        <v>1</v>
      </c>
      <c r="M210" s="3">
        <v>0</v>
      </c>
      <c r="N210" s="3">
        <v>0</v>
      </c>
    </row>
    <row r="211" spans="1:14" x14ac:dyDescent="0.25">
      <c r="A211" s="2" t="s">
        <v>126</v>
      </c>
      <c r="B211" s="2">
        <v>1</v>
      </c>
      <c r="C211" s="8">
        <v>1</v>
      </c>
      <c r="D211" s="8">
        <v>1</v>
      </c>
      <c r="E211" s="1">
        <v>43784</v>
      </c>
      <c r="F211" s="3">
        <v>13</v>
      </c>
      <c r="G211" s="2" t="s">
        <v>17</v>
      </c>
      <c r="H211" s="8">
        <v>1</v>
      </c>
      <c r="I211" s="3">
        <v>108</v>
      </c>
      <c r="J211" s="3">
        <v>11</v>
      </c>
      <c r="K211" s="2">
        <f t="shared" si="3"/>
        <v>34.211943997592847</v>
      </c>
      <c r="L211" s="3">
        <v>0</v>
      </c>
      <c r="M211" s="3">
        <v>0</v>
      </c>
      <c r="N211" s="3">
        <v>0</v>
      </c>
    </row>
    <row r="212" spans="1:14" x14ac:dyDescent="0.25">
      <c r="A212" s="2" t="s">
        <v>126</v>
      </c>
      <c r="B212" s="2">
        <v>1</v>
      </c>
      <c r="C212" s="8">
        <v>1</v>
      </c>
      <c r="D212" s="8">
        <v>1</v>
      </c>
      <c r="E212" s="1">
        <v>43784</v>
      </c>
      <c r="F212" s="3">
        <v>14</v>
      </c>
      <c r="G212" s="2" t="s">
        <v>17</v>
      </c>
      <c r="H212" s="8">
        <v>1</v>
      </c>
      <c r="I212" s="3">
        <v>127</v>
      </c>
      <c r="J212" s="3">
        <v>17</v>
      </c>
      <c r="K212" s="2">
        <f t="shared" si="3"/>
        <v>96.088229303921807</v>
      </c>
      <c r="L212" s="3">
        <v>0</v>
      </c>
      <c r="M212" s="3">
        <v>0</v>
      </c>
      <c r="N212" s="3">
        <v>0</v>
      </c>
    </row>
    <row r="213" spans="1:14" x14ac:dyDescent="0.25">
      <c r="A213" s="2" t="s">
        <v>126</v>
      </c>
      <c r="B213" s="2">
        <v>1</v>
      </c>
      <c r="C213" s="8">
        <v>1</v>
      </c>
      <c r="D213" s="8">
        <v>1</v>
      </c>
      <c r="E213" s="1">
        <v>43784</v>
      </c>
      <c r="F213" s="3">
        <v>15</v>
      </c>
      <c r="G213" s="2" t="s">
        <v>17</v>
      </c>
      <c r="H213" s="8">
        <v>1</v>
      </c>
      <c r="I213" s="3">
        <v>84</v>
      </c>
      <c r="J213" s="3">
        <v>10</v>
      </c>
      <c r="K213" s="2">
        <f t="shared" si="3"/>
        <v>21.991148575128552</v>
      </c>
      <c r="L213" s="3">
        <v>0</v>
      </c>
      <c r="M213" s="3">
        <v>0</v>
      </c>
      <c r="N213" s="3">
        <v>0</v>
      </c>
    </row>
    <row r="214" spans="1:14" x14ac:dyDescent="0.25">
      <c r="A214" s="2" t="s">
        <v>126</v>
      </c>
      <c r="B214" s="2">
        <v>1</v>
      </c>
      <c r="C214" s="8">
        <v>1</v>
      </c>
      <c r="D214" s="8">
        <v>1</v>
      </c>
      <c r="E214" s="1">
        <v>43784</v>
      </c>
      <c r="F214" s="3">
        <v>16</v>
      </c>
      <c r="G214" s="2" t="s">
        <v>17</v>
      </c>
      <c r="H214" s="8">
        <v>1</v>
      </c>
      <c r="I214" s="3">
        <v>78</v>
      </c>
      <c r="J214" s="3">
        <v>11</v>
      </c>
      <c r="K214" s="2">
        <f t="shared" si="3"/>
        <v>24.708626220483726</v>
      </c>
      <c r="L214" s="3">
        <v>0</v>
      </c>
      <c r="M214" s="3">
        <v>0</v>
      </c>
      <c r="N214" s="3">
        <v>0</v>
      </c>
    </row>
    <row r="215" spans="1:14" x14ac:dyDescent="0.25">
      <c r="A215" s="2" t="s">
        <v>126</v>
      </c>
      <c r="B215" s="2">
        <v>1</v>
      </c>
      <c r="C215" s="8">
        <v>1</v>
      </c>
      <c r="D215" s="8">
        <v>1</v>
      </c>
      <c r="E215" s="1">
        <v>43784</v>
      </c>
      <c r="F215" s="3">
        <v>17</v>
      </c>
      <c r="G215" s="2" t="s">
        <v>17</v>
      </c>
      <c r="H215" s="8">
        <v>1</v>
      </c>
      <c r="I215" s="3">
        <v>107</v>
      </c>
      <c r="J215" s="3">
        <v>13</v>
      </c>
      <c r="K215" s="2">
        <f t="shared" si="3"/>
        <v>47.341183295720192</v>
      </c>
      <c r="L215" s="3">
        <v>0</v>
      </c>
      <c r="M215" s="3">
        <v>0</v>
      </c>
      <c r="N215" s="3">
        <v>0</v>
      </c>
    </row>
    <row r="216" spans="1:14" x14ac:dyDescent="0.25">
      <c r="A216" s="2" t="s">
        <v>126</v>
      </c>
      <c r="B216" s="2">
        <v>1</v>
      </c>
      <c r="C216" s="8">
        <v>1</v>
      </c>
      <c r="D216" s="8">
        <v>1</v>
      </c>
      <c r="E216" s="1">
        <v>43784</v>
      </c>
      <c r="F216" s="3">
        <v>18</v>
      </c>
      <c r="G216" s="2" t="s">
        <v>17</v>
      </c>
      <c r="H216" s="8">
        <v>1</v>
      </c>
      <c r="I216" s="3">
        <v>91</v>
      </c>
      <c r="J216" s="3">
        <v>11</v>
      </c>
      <c r="K216" s="2">
        <f t="shared" si="3"/>
        <v>28.826730590564349</v>
      </c>
      <c r="L216" s="3">
        <v>0</v>
      </c>
      <c r="M216" s="3">
        <v>0</v>
      </c>
      <c r="N216" s="3">
        <v>0</v>
      </c>
    </row>
    <row r="217" spans="1:14" x14ac:dyDescent="0.25">
      <c r="A217" s="2" t="s">
        <v>126</v>
      </c>
      <c r="B217" s="2">
        <v>1</v>
      </c>
      <c r="C217" s="8">
        <v>1</v>
      </c>
      <c r="D217" s="8">
        <v>1</v>
      </c>
      <c r="E217" s="1">
        <v>43784</v>
      </c>
      <c r="F217" s="3">
        <v>19</v>
      </c>
      <c r="G217" s="2" t="s">
        <v>17</v>
      </c>
      <c r="H217" s="8">
        <v>1</v>
      </c>
      <c r="I217" s="3">
        <v>59</v>
      </c>
      <c r="J217" s="3">
        <v>5</v>
      </c>
      <c r="K217" s="2">
        <f t="shared" si="3"/>
        <v>3.8615409700374541</v>
      </c>
      <c r="L217" s="3">
        <v>0</v>
      </c>
      <c r="M217" s="3">
        <v>0</v>
      </c>
      <c r="N217" s="3">
        <v>0</v>
      </c>
    </row>
    <row r="218" spans="1:14" x14ac:dyDescent="0.25">
      <c r="A218" s="2" t="s">
        <v>126</v>
      </c>
      <c r="B218" s="2">
        <v>2</v>
      </c>
      <c r="C218" s="8">
        <v>0</v>
      </c>
      <c r="D218" s="8">
        <v>1</v>
      </c>
      <c r="E218" s="1">
        <v>43784</v>
      </c>
      <c r="F218" s="3">
        <v>1</v>
      </c>
      <c r="G218" s="2" t="s">
        <v>17</v>
      </c>
      <c r="H218" s="8">
        <v>1</v>
      </c>
      <c r="I218" s="3">
        <v>52</v>
      </c>
      <c r="J218" s="3">
        <v>5</v>
      </c>
      <c r="K218" s="2">
        <f t="shared" si="3"/>
        <v>3.4033920413889427</v>
      </c>
      <c r="L218" s="3">
        <v>0</v>
      </c>
      <c r="M218" s="3">
        <v>0</v>
      </c>
      <c r="N218" s="3">
        <v>0</v>
      </c>
    </row>
    <row r="219" spans="1:14" x14ac:dyDescent="0.25">
      <c r="A219" s="2" t="s">
        <v>126</v>
      </c>
      <c r="B219" s="2">
        <v>2</v>
      </c>
      <c r="C219" s="8">
        <v>0</v>
      </c>
      <c r="D219" s="8">
        <v>1</v>
      </c>
      <c r="E219" s="1">
        <v>43784</v>
      </c>
      <c r="F219" s="3">
        <v>2</v>
      </c>
      <c r="G219" s="2" t="s">
        <v>17</v>
      </c>
      <c r="H219" s="8">
        <v>1</v>
      </c>
      <c r="I219" s="3">
        <v>82</v>
      </c>
      <c r="J219" s="3">
        <v>9</v>
      </c>
      <c r="K219" s="2">
        <f t="shared" si="3"/>
        <v>17.388715337619505</v>
      </c>
      <c r="L219" s="3">
        <v>0</v>
      </c>
      <c r="M219" s="3">
        <v>0</v>
      </c>
      <c r="N219" s="3">
        <v>0</v>
      </c>
    </row>
    <row r="220" spans="1:14" x14ac:dyDescent="0.25">
      <c r="A220" s="2" t="s">
        <v>126</v>
      </c>
      <c r="B220" s="2">
        <v>2</v>
      </c>
      <c r="C220" s="8">
        <v>0</v>
      </c>
      <c r="D220" s="8">
        <v>1</v>
      </c>
      <c r="E220" s="1">
        <v>43784</v>
      </c>
      <c r="F220" s="3">
        <v>3</v>
      </c>
      <c r="G220" s="2" t="s">
        <v>17</v>
      </c>
      <c r="H220" s="8">
        <v>1</v>
      </c>
      <c r="I220" s="3">
        <v>107</v>
      </c>
      <c r="J220" s="3">
        <v>17</v>
      </c>
      <c r="K220" s="2">
        <f t="shared" si="3"/>
        <v>80.956224689130977</v>
      </c>
      <c r="L220" s="3">
        <v>0</v>
      </c>
      <c r="M220" s="3">
        <v>0</v>
      </c>
      <c r="N220" s="3">
        <v>0</v>
      </c>
    </row>
    <row r="221" spans="1:14" x14ac:dyDescent="0.25">
      <c r="A221" s="2" t="s">
        <v>126</v>
      </c>
      <c r="B221" s="2">
        <v>2</v>
      </c>
      <c r="C221" s="8">
        <v>0</v>
      </c>
      <c r="D221" s="8">
        <v>1</v>
      </c>
      <c r="E221" s="1">
        <v>43784</v>
      </c>
      <c r="F221" s="3">
        <v>4</v>
      </c>
      <c r="G221" s="2" t="s">
        <v>17</v>
      </c>
      <c r="H221" s="8">
        <v>1</v>
      </c>
      <c r="I221" s="3">
        <v>59</v>
      </c>
      <c r="J221" s="3">
        <v>5</v>
      </c>
      <c r="K221" s="2">
        <f t="shared" si="3"/>
        <v>3.8615409700374541</v>
      </c>
      <c r="L221" s="3">
        <v>0</v>
      </c>
      <c r="M221" s="3">
        <v>0</v>
      </c>
      <c r="N221" s="3">
        <v>0</v>
      </c>
    </row>
    <row r="222" spans="1:14" x14ac:dyDescent="0.25">
      <c r="A222" s="2" t="s">
        <v>126</v>
      </c>
      <c r="B222" s="2">
        <v>2</v>
      </c>
      <c r="C222" s="8">
        <v>0</v>
      </c>
      <c r="D222" s="8">
        <v>1</v>
      </c>
      <c r="E222" s="1">
        <v>43784</v>
      </c>
      <c r="F222" s="3">
        <v>5</v>
      </c>
      <c r="G222" s="2" t="s">
        <v>17</v>
      </c>
      <c r="H222" s="8">
        <v>1</v>
      </c>
      <c r="I222" s="3">
        <v>102</v>
      </c>
      <c r="J222" s="3">
        <v>11</v>
      </c>
      <c r="K222" s="2">
        <f t="shared" si="3"/>
        <v>32.311280442171032</v>
      </c>
      <c r="L222" s="3">
        <v>0</v>
      </c>
      <c r="M222" s="3">
        <v>0</v>
      </c>
      <c r="N222" s="3">
        <v>0</v>
      </c>
    </row>
    <row r="223" spans="1:14" x14ac:dyDescent="0.25">
      <c r="A223" s="2" t="s">
        <v>126</v>
      </c>
      <c r="B223" s="2">
        <v>2</v>
      </c>
      <c r="C223" s="8">
        <v>0</v>
      </c>
      <c r="D223" s="8">
        <v>1</v>
      </c>
      <c r="E223" s="1">
        <v>43784</v>
      </c>
      <c r="F223" s="3">
        <v>6</v>
      </c>
      <c r="G223" s="2" t="s">
        <v>17</v>
      </c>
      <c r="H223" s="8">
        <v>1</v>
      </c>
      <c r="I223" s="3">
        <v>103</v>
      </c>
      <c r="J223" s="3">
        <v>6.5</v>
      </c>
      <c r="K223" s="2">
        <f t="shared" si="3"/>
        <v>11.392854858549486</v>
      </c>
      <c r="L223" s="3">
        <v>0</v>
      </c>
      <c r="M223" s="3">
        <v>0</v>
      </c>
      <c r="N223" s="3">
        <v>0</v>
      </c>
    </row>
    <row r="224" spans="1:14" x14ac:dyDescent="0.25">
      <c r="A224" s="2" t="s">
        <v>126</v>
      </c>
      <c r="B224" s="2">
        <v>2</v>
      </c>
      <c r="C224" s="8">
        <v>0</v>
      </c>
      <c r="D224" s="8">
        <v>1</v>
      </c>
      <c r="E224" s="1">
        <v>43784</v>
      </c>
      <c r="F224" s="3">
        <v>7</v>
      </c>
      <c r="G224" s="2" t="s">
        <v>17</v>
      </c>
      <c r="H224" s="8">
        <v>1</v>
      </c>
      <c r="I224" s="3">
        <v>69</v>
      </c>
      <c r="J224" s="3">
        <v>4</v>
      </c>
      <c r="K224" s="2">
        <f t="shared" si="3"/>
        <v>2.8902652413026098</v>
      </c>
      <c r="L224" s="3">
        <v>0</v>
      </c>
      <c r="M224" s="3">
        <v>0</v>
      </c>
      <c r="N224" s="3">
        <v>0</v>
      </c>
    </row>
    <row r="225" spans="1:14" x14ac:dyDescent="0.25">
      <c r="A225" s="2" t="s">
        <v>126</v>
      </c>
      <c r="B225" s="2">
        <v>2</v>
      </c>
      <c r="C225" s="8">
        <v>0</v>
      </c>
      <c r="D225" s="8">
        <v>1</v>
      </c>
      <c r="E225" s="1">
        <v>43784</v>
      </c>
      <c r="F225" s="3">
        <v>8</v>
      </c>
      <c r="G225" s="2" t="s">
        <v>17</v>
      </c>
      <c r="H225" s="8">
        <v>1</v>
      </c>
      <c r="I225" s="3">
        <v>85</v>
      </c>
      <c r="J225" s="3">
        <v>7</v>
      </c>
      <c r="K225" s="2">
        <f t="shared" si="3"/>
        <v>10.903944501834573</v>
      </c>
      <c r="L225" s="3">
        <v>0</v>
      </c>
      <c r="M225" s="3">
        <v>0</v>
      </c>
      <c r="N225" s="3">
        <v>0</v>
      </c>
    </row>
    <row r="226" spans="1:14" x14ac:dyDescent="0.25">
      <c r="A226" s="2" t="s">
        <v>126</v>
      </c>
      <c r="B226" s="2">
        <v>2</v>
      </c>
      <c r="C226" s="8">
        <v>0</v>
      </c>
      <c r="D226" s="8">
        <v>1</v>
      </c>
      <c r="E226" s="1">
        <v>43784</v>
      </c>
      <c r="F226" s="3">
        <v>9</v>
      </c>
      <c r="G226" s="2" t="s">
        <v>17</v>
      </c>
      <c r="H226" s="8">
        <v>1</v>
      </c>
      <c r="I226" s="3">
        <v>102</v>
      </c>
      <c r="J226" s="3">
        <v>7</v>
      </c>
      <c r="K226" s="2">
        <f t="shared" si="3"/>
        <v>13.084733402201486</v>
      </c>
      <c r="L226" s="3">
        <v>0</v>
      </c>
      <c r="M226" s="3">
        <v>0</v>
      </c>
      <c r="N226" s="3">
        <v>0</v>
      </c>
    </row>
    <row r="227" spans="1:14" x14ac:dyDescent="0.25">
      <c r="A227" s="2" t="s">
        <v>126</v>
      </c>
      <c r="B227" s="2">
        <v>2</v>
      </c>
      <c r="C227" s="8">
        <v>0</v>
      </c>
      <c r="D227" s="8">
        <v>1</v>
      </c>
      <c r="E227" s="1">
        <v>43784</v>
      </c>
      <c r="F227" s="3">
        <v>10</v>
      </c>
      <c r="G227" s="2" t="s">
        <v>17</v>
      </c>
      <c r="H227" s="8">
        <v>1</v>
      </c>
      <c r="I227" s="3">
        <v>117</v>
      </c>
      <c r="J227" s="3">
        <v>15</v>
      </c>
      <c r="K227" s="2">
        <f t="shared" si="3"/>
        <v>68.918688838126087</v>
      </c>
      <c r="L227" s="3">
        <v>0</v>
      </c>
      <c r="M227" s="3">
        <v>0</v>
      </c>
      <c r="N227" s="3">
        <v>0</v>
      </c>
    </row>
    <row r="228" spans="1:14" x14ac:dyDescent="0.25">
      <c r="A228" s="2" t="s">
        <v>126</v>
      </c>
      <c r="B228" s="2">
        <v>2</v>
      </c>
      <c r="C228" s="8">
        <v>0</v>
      </c>
      <c r="D228" s="8">
        <v>1</v>
      </c>
      <c r="E228" s="1">
        <v>43784</v>
      </c>
      <c r="F228" s="3">
        <v>11</v>
      </c>
      <c r="G228" s="2" t="s">
        <v>17</v>
      </c>
      <c r="H228" s="8">
        <v>1</v>
      </c>
      <c r="I228" s="3">
        <v>46</v>
      </c>
      <c r="J228" s="3">
        <v>6</v>
      </c>
      <c r="K228" s="2">
        <f t="shared" si="3"/>
        <v>4.335397861953914</v>
      </c>
      <c r="L228" s="3">
        <v>0</v>
      </c>
      <c r="M228" s="3">
        <v>0</v>
      </c>
      <c r="N228" s="3">
        <v>0</v>
      </c>
    </row>
    <row r="229" spans="1:14" x14ac:dyDescent="0.25">
      <c r="A229" s="2" t="s">
        <v>126</v>
      </c>
      <c r="B229" s="2">
        <v>2</v>
      </c>
      <c r="C229" s="8">
        <v>0</v>
      </c>
      <c r="D229" s="8">
        <v>1</v>
      </c>
      <c r="E229" s="1">
        <v>43784</v>
      </c>
      <c r="F229" s="3">
        <v>12</v>
      </c>
      <c r="G229" s="2" t="s">
        <v>17</v>
      </c>
      <c r="H229" s="8">
        <v>1</v>
      </c>
      <c r="I229" s="3">
        <v>106</v>
      </c>
      <c r="J229" s="3">
        <v>12</v>
      </c>
      <c r="K229" s="2">
        <f t="shared" si="3"/>
        <v>39.961058553662163</v>
      </c>
      <c r="L229" s="3">
        <v>0</v>
      </c>
      <c r="M229" s="3">
        <v>0</v>
      </c>
      <c r="N229" s="3">
        <v>0</v>
      </c>
    </row>
    <row r="230" spans="1:14" x14ac:dyDescent="0.25">
      <c r="A230" s="2" t="s">
        <v>126</v>
      </c>
      <c r="B230" s="2">
        <v>3</v>
      </c>
      <c r="C230" s="8">
        <v>0</v>
      </c>
      <c r="D230" s="8">
        <v>0</v>
      </c>
      <c r="E230" s="1">
        <v>43784</v>
      </c>
      <c r="F230" s="3">
        <v>1</v>
      </c>
      <c r="G230" s="2" t="s">
        <v>17</v>
      </c>
      <c r="H230" s="8">
        <v>1</v>
      </c>
      <c r="I230" s="3">
        <v>50</v>
      </c>
      <c r="J230" s="3">
        <v>6</v>
      </c>
      <c r="K230" s="2">
        <f t="shared" si="3"/>
        <v>4.7123889803846897</v>
      </c>
      <c r="L230" s="3">
        <v>0</v>
      </c>
      <c r="M230" s="3">
        <v>0</v>
      </c>
      <c r="N230" s="3">
        <v>0</v>
      </c>
    </row>
    <row r="231" spans="1:14" x14ac:dyDescent="0.25">
      <c r="A231" s="2" t="s">
        <v>126</v>
      </c>
      <c r="B231" s="2">
        <v>3</v>
      </c>
      <c r="C231" s="8">
        <v>0</v>
      </c>
      <c r="D231" s="8">
        <v>0</v>
      </c>
      <c r="E231" s="1">
        <v>43784</v>
      </c>
      <c r="F231" s="3">
        <v>2</v>
      </c>
      <c r="G231" s="2" t="s">
        <v>17</v>
      </c>
      <c r="H231" s="8">
        <v>1</v>
      </c>
      <c r="I231" s="3">
        <v>39</v>
      </c>
      <c r="J231" s="3">
        <v>7</v>
      </c>
      <c r="K231" s="2">
        <f t="shared" si="3"/>
        <v>5.0029863008417443</v>
      </c>
      <c r="L231" s="3">
        <v>0</v>
      </c>
      <c r="M231" s="3">
        <v>0</v>
      </c>
      <c r="N231" s="3">
        <v>0</v>
      </c>
    </row>
    <row r="232" spans="1:14" x14ac:dyDescent="0.25">
      <c r="A232" s="2" t="s">
        <v>126</v>
      </c>
      <c r="B232" s="2">
        <v>3</v>
      </c>
      <c r="C232" s="8">
        <v>0</v>
      </c>
      <c r="D232" s="8">
        <v>0</v>
      </c>
      <c r="E232" s="1">
        <v>43784</v>
      </c>
      <c r="F232" s="3">
        <v>3</v>
      </c>
      <c r="G232" s="2" t="s">
        <v>17</v>
      </c>
      <c r="H232" s="8">
        <v>1</v>
      </c>
      <c r="I232" s="3">
        <v>67</v>
      </c>
      <c r="J232" s="3">
        <v>9</v>
      </c>
      <c r="K232" s="2">
        <f t="shared" si="3"/>
        <v>14.207852775859841</v>
      </c>
      <c r="L232" s="3">
        <v>0</v>
      </c>
      <c r="M232" s="3">
        <v>0</v>
      </c>
      <c r="N232" s="3">
        <v>0</v>
      </c>
    </row>
    <row r="233" spans="1:14" x14ac:dyDescent="0.25">
      <c r="A233" s="2" t="s">
        <v>126</v>
      </c>
      <c r="B233" s="2">
        <v>3</v>
      </c>
      <c r="C233" s="8">
        <v>0</v>
      </c>
      <c r="D233" s="8">
        <v>0</v>
      </c>
      <c r="E233" s="1">
        <v>43784</v>
      </c>
      <c r="F233" s="3">
        <v>4</v>
      </c>
      <c r="G233" s="2" t="s">
        <v>17</v>
      </c>
      <c r="H233" s="8">
        <v>1</v>
      </c>
      <c r="I233" s="3">
        <v>79</v>
      </c>
      <c r="J233" s="3">
        <v>9.5</v>
      </c>
      <c r="K233" s="2">
        <f t="shared" si="3"/>
        <v>18.665641851609855</v>
      </c>
      <c r="L233" s="3">
        <v>0</v>
      </c>
      <c r="M233" s="3">
        <v>0</v>
      </c>
      <c r="N233" s="3">
        <v>0</v>
      </c>
    </row>
    <row r="234" spans="1:14" x14ac:dyDescent="0.25">
      <c r="A234" s="2" t="s">
        <v>126</v>
      </c>
      <c r="B234" s="2">
        <v>3</v>
      </c>
      <c r="C234" s="8">
        <v>0</v>
      </c>
      <c r="D234" s="8">
        <v>0</v>
      </c>
      <c r="E234" s="1">
        <v>43784</v>
      </c>
      <c r="F234" s="3">
        <v>5</v>
      </c>
      <c r="G234" s="2" t="s">
        <v>17</v>
      </c>
      <c r="H234" s="8">
        <v>1</v>
      </c>
      <c r="I234" s="3">
        <v>64</v>
      </c>
      <c r="J234" s="3">
        <v>6</v>
      </c>
      <c r="K234" s="2">
        <f t="shared" si="3"/>
        <v>6.0318578948924033</v>
      </c>
      <c r="L234" s="3">
        <v>0</v>
      </c>
      <c r="M234" s="3">
        <v>0</v>
      </c>
      <c r="N234" s="3">
        <v>0</v>
      </c>
    </row>
    <row r="235" spans="1:14" x14ac:dyDescent="0.25">
      <c r="A235" s="2" t="s">
        <v>126</v>
      </c>
      <c r="B235" s="2">
        <v>3</v>
      </c>
      <c r="C235" s="8">
        <v>0</v>
      </c>
      <c r="D235" s="8">
        <v>0</v>
      </c>
      <c r="E235" s="1">
        <v>43784</v>
      </c>
      <c r="F235" s="3">
        <v>6</v>
      </c>
      <c r="G235" s="2" t="s">
        <v>17</v>
      </c>
      <c r="H235" s="8">
        <v>1</v>
      </c>
      <c r="I235" s="3">
        <v>44.5</v>
      </c>
      <c r="J235" s="3">
        <v>5</v>
      </c>
      <c r="K235" s="2">
        <f t="shared" si="3"/>
        <v>2.9125181892655374</v>
      </c>
      <c r="L235" s="3">
        <v>0</v>
      </c>
      <c r="M235" s="3">
        <v>0</v>
      </c>
      <c r="N235" s="3">
        <v>0</v>
      </c>
    </row>
    <row r="236" spans="1:14" x14ac:dyDescent="0.25">
      <c r="A236" s="2" t="s">
        <v>126</v>
      </c>
      <c r="B236" s="2">
        <v>3</v>
      </c>
      <c r="C236" s="8">
        <v>0</v>
      </c>
      <c r="D236" s="8">
        <v>0</v>
      </c>
      <c r="E236" s="1">
        <v>43784</v>
      </c>
      <c r="F236" s="3">
        <v>7</v>
      </c>
      <c r="G236" s="2" t="s">
        <v>17</v>
      </c>
      <c r="H236" s="8">
        <v>1</v>
      </c>
      <c r="I236" s="3">
        <v>53</v>
      </c>
      <c r="J236" s="3">
        <v>6</v>
      </c>
      <c r="K236" s="2">
        <f t="shared" si="3"/>
        <v>4.9951323192077703</v>
      </c>
      <c r="L236" s="3">
        <v>0</v>
      </c>
      <c r="M236" s="3">
        <v>0</v>
      </c>
      <c r="N236" s="3">
        <v>0</v>
      </c>
    </row>
    <row r="237" spans="1:14" x14ac:dyDescent="0.25">
      <c r="A237" s="2" t="s">
        <v>126</v>
      </c>
      <c r="B237" s="2">
        <v>4</v>
      </c>
      <c r="C237" s="8">
        <v>1</v>
      </c>
      <c r="D237" s="8">
        <v>0</v>
      </c>
      <c r="E237" s="1">
        <v>43784</v>
      </c>
      <c r="F237" s="3">
        <v>1</v>
      </c>
      <c r="G237" s="2" t="s">
        <v>17</v>
      </c>
      <c r="H237" s="8">
        <v>1</v>
      </c>
      <c r="I237" s="3">
        <v>36</v>
      </c>
      <c r="J237" s="3">
        <v>7.5</v>
      </c>
      <c r="K237" s="2">
        <f t="shared" si="3"/>
        <v>5.3014376029327757</v>
      </c>
      <c r="L237" s="3">
        <v>0</v>
      </c>
      <c r="M237" s="3">
        <v>0</v>
      </c>
      <c r="N237" s="3">
        <v>0</v>
      </c>
    </row>
    <row r="238" spans="1:14" x14ac:dyDescent="0.25">
      <c r="A238" s="2" t="s">
        <v>126</v>
      </c>
      <c r="B238" s="2">
        <v>4</v>
      </c>
      <c r="C238" s="8">
        <v>1</v>
      </c>
      <c r="D238" s="8">
        <v>0</v>
      </c>
      <c r="E238" s="1">
        <v>43784</v>
      </c>
      <c r="F238" s="3">
        <v>2</v>
      </c>
      <c r="G238" s="2" t="s">
        <v>17</v>
      </c>
      <c r="H238" s="8">
        <v>1</v>
      </c>
      <c r="I238" s="3">
        <v>70</v>
      </c>
      <c r="J238" s="3">
        <v>10</v>
      </c>
      <c r="K238" s="2">
        <f t="shared" si="3"/>
        <v>18.32595714594046</v>
      </c>
      <c r="L238" s="3">
        <v>0</v>
      </c>
      <c r="M238" s="3">
        <v>0</v>
      </c>
      <c r="N238" s="3">
        <v>0</v>
      </c>
    </row>
    <row r="239" spans="1:14" x14ac:dyDescent="0.25">
      <c r="A239" s="2" t="s">
        <v>126</v>
      </c>
      <c r="B239" s="2">
        <v>4</v>
      </c>
      <c r="C239" s="8">
        <v>1</v>
      </c>
      <c r="D239" s="8">
        <v>0</v>
      </c>
      <c r="E239" s="1">
        <v>43784</v>
      </c>
      <c r="F239" s="3">
        <v>3</v>
      </c>
      <c r="G239" s="2" t="s">
        <v>17</v>
      </c>
      <c r="H239" s="8">
        <v>1</v>
      </c>
      <c r="I239" s="3">
        <v>72</v>
      </c>
      <c r="J239" s="3">
        <v>10</v>
      </c>
      <c r="K239" s="2">
        <f t="shared" si="3"/>
        <v>18.849555921538759</v>
      </c>
      <c r="L239" s="3">
        <v>0</v>
      </c>
      <c r="M239" s="3">
        <v>0</v>
      </c>
      <c r="N239" s="3">
        <v>0</v>
      </c>
    </row>
    <row r="240" spans="1:14" x14ac:dyDescent="0.25">
      <c r="A240" s="2" t="s">
        <v>126</v>
      </c>
      <c r="B240" s="2">
        <v>4</v>
      </c>
      <c r="C240" s="8">
        <v>1</v>
      </c>
      <c r="D240" s="8">
        <v>0</v>
      </c>
      <c r="E240" s="1">
        <v>43784</v>
      </c>
      <c r="F240" s="3">
        <v>4</v>
      </c>
      <c r="G240" s="2" t="s">
        <v>17</v>
      </c>
      <c r="H240" s="8">
        <v>1</v>
      </c>
      <c r="I240" s="3">
        <v>38</v>
      </c>
      <c r="J240" s="3">
        <v>7</v>
      </c>
      <c r="K240" s="2">
        <f t="shared" si="3"/>
        <v>4.8747046008201611</v>
      </c>
      <c r="L240" s="3">
        <v>0</v>
      </c>
      <c r="M240" s="3">
        <v>0</v>
      </c>
      <c r="N240" s="3">
        <v>0</v>
      </c>
    </row>
    <row r="241" spans="1:14" x14ac:dyDescent="0.25">
      <c r="A241" s="2" t="s">
        <v>126</v>
      </c>
      <c r="B241" s="2">
        <v>4</v>
      </c>
      <c r="C241" s="8">
        <v>1</v>
      </c>
      <c r="D241" s="8">
        <v>0</v>
      </c>
      <c r="E241" s="1">
        <v>43784</v>
      </c>
      <c r="F241" s="3">
        <v>5</v>
      </c>
      <c r="G241" s="2" t="s">
        <v>17</v>
      </c>
      <c r="H241" s="8">
        <v>1</v>
      </c>
      <c r="I241" s="3">
        <v>40</v>
      </c>
      <c r="J241" s="3">
        <v>6</v>
      </c>
      <c r="K241" s="2">
        <f t="shared" si="3"/>
        <v>3.7699111843077517</v>
      </c>
      <c r="L241" s="3">
        <v>0</v>
      </c>
      <c r="M241" s="3">
        <v>0</v>
      </c>
      <c r="N241" s="3">
        <v>0</v>
      </c>
    </row>
    <row r="242" spans="1:14" x14ac:dyDescent="0.25">
      <c r="A242" s="2" t="s">
        <v>126</v>
      </c>
      <c r="B242" s="2">
        <v>4</v>
      </c>
      <c r="C242" s="8">
        <v>1</v>
      </c>
      <c r="D242" s="8">
        <v>0</v>
      </c>
      <c r="E242" s="1">
        <v>43784</v>
      </c>
      <c r="F242" s="3">
        <v>6</v>
      </c>
      <c r="G242" s="2" t="s">
        <v>17</v>
      </c>
      <c r="H242" s="8">
        <v>1</v>
      </c>
      <c r="I242" s="3">
        <v>48</v>
      </c>
      <c r="J242" s="3">
        <v>7</v>
      </c>
      <c r="K242" s="2">
        <f t="shared" si="3"/>
        <v>6.1575216010359943</v>
      </c>
      <c r="L242" s="3">
        <v>0</v>
      </c>
      <c r="M242" s="3">
        <v>0</v>
      </c>
      <c r="N242" s="3">
        <v>1</v>
      </c>
    </row>
    <row r="243" spans="1:14" x14ac:dyDescent="0.25">
      <c r="A243" s="2" t="s">
        <v>126</v>
      </c>
      <c r="B243" s="2">
        <v>4</v>
      </c>
      <c r="C243" s="8">
        <v>1</v>
      </c>
      <c r="D243" s="8">
        <v>0</v>
      </c>
      <c r="E243" s="1">
        <v>43784</v>
      </c>
      <c r="F243" s="3">
        <v>7</v>
      </c>
      <c r="G243" s="2" t="s">
        <v>17</v>
      </c>
      <c r="H243" s="8">
        <v>1</v>
      </c>
      <c r="I243" s="3">
        <v>71</v>
      </c>
      <c r="J243" s="3">
        <v>10</v>
      </c>
      <c r="K243" s="2">
        <f t="shared" si="3"/>
        <v>18.587756533739611</v>
      </c>
      <c r="L243" s="3">
        <v>0</v>
      </c>
      <c r="M243" s="3">
        <v>0</v>
      </c>
      <c r="N243" s="3">
        <v>0</v>
      </c>
    </row>
    <row r="244" spans="1:14" x14ac:dyDescent="0.25">
      <c r="A244" s="2" t="s">
        <v>126</v>
      </c>
      <c r="B244" s="2">
        <v>4</v>
      </c>
      <c r="C244" s="8">
        <v>1</v>
      </c>
      <c r="D244" s="8">
        <v>0</v>
      </c>
      <c r="E244" s="1">
        <v>43784</v>
      </c>
      <c r="F244" s="3">
        <v>8</v>
      </c>
      <c r="G244" s="2" t="s">
        <v>17</v>
      </c>
      <c r="H244" s="8">
        <v>1</v>
      </c>
      <c r="I244" s="3">
        <v>62</v>
      </c>
      <c r="J244" s="3">
        <v>8</v>
      </c>
      <c r="K244" s="2">
        <f t="shared" si="3"/>
        <v>10.38819970787025</v>
      </c>
      <c r="L244" s="3">
        <v>0</v>
      </c>
      <c r="M244" s="3">
        <v>0</v>
      </c>
      <c r="N244" s="3">
        <v>0</v>
      </c>
    </row>
    <row r="245" spans="1:14" x14ac:dyDescent="0.25">
      <c r="A245" s="2" t="s">
        <v>126</v>
      </c>
      <c r="B245" s="2">
        <v>4</v>
      </c>
      <c r="C245" s="8">
        <v>1</v>
      </c>
      <c r="D245" s="8">
        <v>0</v>
      </c>
      <c r="E245" s="1">
        <v>43784</v>
      </c>
      <c r="F245" s="3">
        <v>9</v>
      </c>
      <c r="G245" s="2" t="s">
        <v>17</v>
      </c>
      <c r="H245" s="8">
        <v>1</v>
      </c>
      <c r="I245" s="3">
        <v>53</v>
      </c>
      <c r="J245" s="3">
        <v>8</v>
      </c>
      <c r="K245" s="2">
        <f t="shared" si="3"/>
        <v>8.8802352341471504</v>
      </c>
      <c r="L245" s="3">
        <v>0</v>
      </c>
      <c r="M245" s="3">
        <v>0</v>
      </c>
      <c r="N245" s="3">
        <v>0</v>
      </c>
    </row>
    <row r="246" spans="1:14" x14ac:dyDescent="0.25">
      <c r="A246" s="2" t="s">
        <v>130</v>
      </c>
      <c r="B246" s="2">
        <v>1</v>
      </c>
      <c r="C246" s="8">
        <v>1</v>
      </c>
      <c r="D246" s="8">
        <v>1</v>
      </c>
      <c r="E246" s="1">
        <v>43784</v>
      </c>
      <c r="F246" s="3">
        <v>1</v>
      </c>
      <c r="G246" s="2" t="s">
        <v>17</v>
      </c>
      <c r="H246" s="8">
        <v>1</v>
      </c>
      <c r="I246" s="3">
        <v>150</v>
      </c>
      <c r="J246" s="3">
        <v>19</v>
      </c>
      <c r="K246" s="2">
        <f t="shared" si="3"/>
        <v>141.7643684932394</v>
      </c>
      <c r="L246" s="3">
        <v>0</v>
      </c>
      <c r="M246" s="3">
        <v>0</v>
      </c>
      <c r="N246" s="3">
        <v>0</v>
      </c>
    </row>
    <row r="247" spans="1:14" x14ac:dyDescent="0.25">
      <c r="A247" s="2" t="s">
        <v>130</v>
      </c>
      <c r="B247" s="2">
        <v>1</v>
      </c>
      <c r="C247" s="8">
        <v>1</v>
      </c>
      <c r="D247" s="8">
        <v>1</v>
      </c>
      <c r="E247" s="1">
        <v>43784</v>
      </c>
      <c r="F247" s="3">
        <v>2</v>
      </c>
      <c r="G247" s="2" t="s">
        <v>17</v>
      </c>
      <c r="H247" s="8">
        <v>1</v>
      </c>
      <c r="I247" s="3">
        <v>195</v>
      </c>
      <c r="J247" s="3">
        <v>30</v>
      </c>
      <c r="K247" s="2">
        <f t="shared" si="3"/>
        <v>459.45792558750719</v>
      </c>
      <c r="L247" s="3">
        <v>0</v>
      </c>
      <c r="M247" s="3">
        <v>0</v>
      </c>
      <c r="N247" s="3">
        <v>0</v>
      </c>
    </row>
    <row r="248" spans="1:14" x14ac:dyDescent="0.25">
      <c r="A248" s="2" t="s">
        <v>130</v>
      </c>
      <c r="B248" s="2">
        <v>1</v>
      </c>
      <c r="C248" s="8">
        <v>1</v>
      </c>
      <c r="D248" s="8">
        <v>1</v>
      </c>
      <c r="E248" s="1">
        <v>43784</v>
      </c>
      <c r="F248" s="3">
        <v>3</v>
      </c>
      <c r="G248" s="2" t="s">
        <v>17</v>
      </c>
      <c r="H248" s="8">
        <v>1</v>
      </c>
      <c r="I248" s="3">
        <v>79</v>
      </c>
      <c r="J248" s="3">
        <v>9</v>
      </c>
      <c r="K248" s="2">
        <f t="shared" si="3"/>
        <v>16.752542825267575</v>
      </c>
      <c r="L248" s="3">
        <v>0</v>
      </c>
      <c r="M248" s="3">
        <v>0</v>
      </c>
      <c r="N248" s="3">
        <v>0</v>
      </c>
    </row>
    <row r="249" spans="1:14" x14ac:dyDescent="0.25">
      <c r="A249" s="2" t="s">
        <v>130</v>
      </c>
      <c r="B249" s="2">
        <v>1</v>
      </c>
      <c r="C249" s="8">
        <v>1</v>
      </c>
      <c r="D249" s="8">
        <v>1</v>
      </c>
      <c r="E249" s="1">
        <v>43784</v>
      </c>
      <c r="F249" s="3">
        <v>4</v>
      </c>
      <c r="G249" s="2" t="s">
        <v>17</v>
      </c>
      <c r="H249" s="8">
        <v>1</v>
      </c>
      <c r="I249" s="3">
        <v>108</v>
      </c>
      <c r="J249" s="3">
        <v>16</v>
      </c>
      <c r="K249" s="2">
        <f t="shared" si="3"/>
        <v>72.382294738708836</v>
      </c>
      <c r="L249" s="3">
        <v>0</v>
      </c>
      <c r="M249" s="3">
        <v>0</v>
      </c>
      <c r="N249" s="3">
        <v>0</v>
      </c>
    </row>
    <row r="250" spans="1:14" x14ac:dyDescent="0.25">
      <c r="A250" s="2" t="s">
        <v>130</v>
      </c>
      <c r="B250" s="2">
        <v>1</v>
      </c>
      <c r="C250" s="8">
        <v>1</v>
      </c>
      <c r="D250" s="8">
        <v>1</v>
      </c>
      <c r="E250" s="1">
        <v>43784</v>
      </c>
      <c r="F250" s="3">
        <v>5</v>
      </c>
      <c r="G250" s="2" t="s">
        <v>17</v>
      </c>
      <c r="H250" s="8">
        <v>1</v>
      </c>
      <c r="I250" s="3">
        <v>98</v>
      </c>
      <c r="J250" s="3">
        <v>11</v>
      </c>
      <c r="K250" s="2">
        <f t="shared" si="3"/>
        <v>31.044171405223143</v>
      </c>
      <c r="L250" s="3">
        <v>0</v>
      </c>
      <c r="M250" s="3">
        <v>0</v>
      </c>
      <c r="N250" s="3">
        <v>0</v>
      </c>
    </row>
    <row r="251" spans="1:14" x14ac:dyDescent="0.25">
      <c r="A251" s="2" t="s">
        <v>130</v>
      </c>
      <c r="B251" s="2">
        <v>1</v>
      </c>
      <c r="C251" s="8">
        <v>1</v>
      </c>
      <c r="D251" s="8">
        <v>1</v>
      </c>
      <c r="E251" s="1">
        <v>43784</v>
      </c>
      <c r="F251" s="3">
        <v>6</v>
      </c>
      <c r="G251" s="2" t="s">
        <v>17</v>
      </c>
      <c r="H251" s="8">
        <v>1</v>
      </c>
      <c r="I251" s="3">
        <v>113</v>
      </c>
      <c r="J251" s="3">
        <v>11</v>
      </c>
      <c r="K251" s="2">
        <f t="shared" si="3"/>
        <v>35.795830293777705</v>
      </c>
      <c r="L251" s="3">
        <v>0</v>
      </c>
      <c r="M251" s="3">
        <v>0</v>
      </c>
      <c r="N251" s="3">
        <v>0</v>
      </c>
    </row>
    <row r="252" spans="1:14" x14ac:dyDescent="0.25">
      <c r="A252" s="2" t="s">
        <v>130</v>
      </c>
      <c r="B252" s="2">
        <v>1</v>
      </c>
      <c r="C252" s="8">
        <v>1</v>
      </c>
      <c r="D252" s="8">
        <v>1</v>
      </c>
      <c r="E252" s="1">
        <v>43784</v>
      </c>
      <c r="F252" s="3">
        <v>7</v>
      </c>
      <c r="G252" s="2" t="s">
        <v>17</v>
      </c>
      <c r="H252" s="8">
        <v>1</v>
      </c>
      <c r="I252" s="3">
        <v>136</v>
      </c>
      <c r="J252" s="3">
        <v>17</v>
      </c>
      <c r="K252" s="2">
        <f t="shared" si="3"/>
        <v>102.89763138057769</v>
      </c>
      <c r="L252" s="3">
        <v>0</v>
      </c>
      <c r="M252" s="3">
        <v>0</v>
      </c>
      <c r="N252" s="3">
        <v>0</v>
      </c>
    </row>
    <row r="253" spans="1:14" x14ac:dyDescent="0.25">
      <c r="A253" s="2" t="s">
        <v>130</v>
      </c>
      <c r="B253" s="2">
        <v>1</v>
      </c>
      <c r="C253" s="8">
        <v>1</v>
      </c>
      <c r="D253" s="8">
        <v>1</v>
      </c>
      <c r="E253" s="1">
        <v>43784</v>
      </c>
      <c r="F253" s="3">
        <v>8</v>
      </c>
      <c r="G253" s="2" t="s">
        <v>17</v>
      </c>
      <c r="H253" s="8">
        <v>1</v>
      </c>
      <c r="I253" s="3">
        <v>191</v>
      </c>
      <c r="J253" s="3">
        <v>31</v>
      </c>
      <c r="K253" s="2">
        <f t="shared" si="3"/>
        <v>480.53539429921676</v>
      </c>
      <c r="L253" s="3">
        <v>0</v>
      </c>
      <c r="M253" s="3">
        <v>0</v>
      </c>
      <c r="N253" s="3">
        <v>0</v>
      </c>
    </row>
    <row r="254" spans="1:14" x14ac:dyDescent="0.25">
      <c r="A254" s="2" t="s">
        <v>130</v>
      </c>
      <c r="B254" s="2">
        <v>1</v>
      </c>
      <c r="C254" s="8">
        <v>1</v>
      </c>
      <c r="D254" s="8">
        <v>1</v>
      </c>
      <c r="E254" s="1">
        <v>43784</v>
      </c>
      <c r="F254" s="3">
        <v>9</v>
      </c>
      <c r="G254" s="2" t="s">
        <v>17</v>
      </c>
      <c r="H254" s="8">
        <v>1</v>
      </c>
      <c r="I254" s="3">
        <v>153</v>
      </c>
      <c r="J254" s="3">
        <v>22</v>
      </c>
      <c r="K254" s="2">
        <f t="shared" si="3"/>
        <v>193.86768265302621</v>
      </c>
      <c r="L254" s="3">
        <v>0</v>
      </c>
      <c r="M254" s="3">
        <v>0</v>
      </c>
      <c r="N254" s="3">
        <v>0</v>
      </c>
    </row>
    <row r="255" spans="1:14" x14ac:dyDescent="0.25">
      <c r="A255" s="2" t="s">
        <v>130</v>
      </c>
      <c r="B255" s="2">
        <v>1</v>
      </c>
      <c r="C255" s="8">
        <v>1</v>
      </c>
      <c r="D255" s="8">
        <v>1</v>
      </c>
      <c r="E255" s="1">
        <v>43784</v>
      </c>
      <c r="F255" s="3">
        <v>10</v>
      </c>
      <c r="G255" s="2" t="s">
        <v>17</v>
      </c>
      <c r="H255" s="8">
        <v>1</v>
      </c>
      <c r="I255" s="3">
        <v>169</v>
      </c>
      <c r="J255" s="3">
        <v>21</v>
      </c>
      <c r="K255" s="2">
        <f t="shared" si="3"/>
        <v>195.11646573282806</v>
      </c>
      <c r="L255" s="3">
        <v>0</v>
      </c>
      <c r="M255" s="3">
        <v>0</v>
      </c>
      <c r="N255" s="3">
        <v>0</v>
      </c>
    </row>
    <row r="256" spans="1:14" x14ac:dyDescent="0.25">
      <c r="A256" s="2" t="s">
        <v>130</v>
      </c>
      <c r="B256" s="2">
        <v>1</v>
      </c>
      <c r="C256" s="8">
        <v>1</v>
      </c>
      <c r="D256" s="8">
        <v>1</v>
      </c>
      <c r="E256" s="1">
        <v>43784</v>
      </c>
      <c r="F256" s="3">
        <v>11</v>
      </c>
      <c r="G256" s="2" t="s">
        <v>17</v>
      </c>
      <c r="H256" s="8">
        <v>1</v>
      </c>
      <c r="I256" s="3">
        <v>140</v>
      </c>
      <c r="J256" s="3">
        <v>20</v>
      </c>
      <c r="K256" s="2">
        <f t="shared" si="3"/>
        <v>146.60765716752368</v>
      </c>
      <c r="L256" s="3">
        <v>0</v>
      </c>
      <c r="M256" s="3">
        <v>0</v>
      </c>
      <c r="N256" s="3">
        <v>0</v>
      </c>
    </row>
    <row r="257" spans="1:15" x14ac:dyDescent="0.25">
      <c r="A257" s="2" t="s">
        <v>130</v>
      </c>
      <c r="B257" s="2">
        <v>1</v>
      </c>
      <c r="C257" s="8">
        <v>1</v>
      </c>
      <c r="D257" s="8">
        <v>1</v>
      </c>
      <c r="E257" s="1">
        <v>43784</v>
      </c>
      <c r="F257" s="3">
        <v>12</v>
      </c>
      <c r="G257" s="2" t="s">
        <v>17</v>
      </c>
      <c r="H257" s="8">
        <v>1</v>
      </c>
      <c r="I257" s="3">
        <v>135</v>
      </c>
      <c r="J257" s="3">
        <v>15</v>
      </c>
      <c r="K257" s="2">
        <f t="shared" si="3"/>
        <v>79.521564043991631</v>
      </c>
      <c r="L257" s="3">
        <v>0</v>
      </c>
      <c r="M257" s="3">
        <v>0</v>
      </c>
      <c r="N257" s="3">
        <v>0</v>
      </c>
    </row>
    <row r="258" spans="1:15" x14ac:dyDescent="0.25">
      <c r="A258" s="2" t="s">
        <v>130</v>
      </c>
      <c r="B258" s="2">
        <v>1</v>
      </c>
      <c r="C258" s="8">
        <v>1</v>
      </c>
      <c r="D258" s="8">
        <v>1</v>
      </c>
      <c r="E258" s="1">
        <v>43784</v>
      </c>
      <c r="F258" s="3">
        <v>13</v>
      </c>
      <c r="G258" s="2" t="s">
        <v>17</v>
      </c>
      <c r="H258" s="8">
        <v>1</v>
      </c>
      <c r="I258" s="3">
        <v>159</v>
      </c>
      <c r="J258" s="3">
        <v>24</v>
      </c>
      <c r="K258" s="2">
        <f t="shared" ref="K258:K321" si="4">(I258*PI()*(J258/20)*(J258/20))/3</f>
        <v>239.76635132197302</v>
      </c>
      <c r="L258" s="3">
        <v>0</v>
      </c>
      <c r="M258" s="3">
        <v>0</v>
      </c>
      <c r="N258" s="3">
        <v>0</v>
      </c>
    </row>
    <row r="259" spans="1:15" x14ac:dyDescent="0.25">
      <c r="A259" s="2" t="s">
        <v>130</v>
      </c>
      <c r="B259" s="2">
        <v>1</v>
      </c>
      <c r="C259" s="8">
        <v>1</v>
      </c>
      <c r="D259" s="8">
        <v>1</v>
      </c>
      <c r="E259" s="1">
        <v>43784</v>
      </c>
      <c r="F259" s="3">
        <v>14</v>
      </c>
      <c r="G259" s="2" t="s">
        <v>17</v>
      </c>
      <c r="H259" s="8">
        <v>1</v>
      </c>
      <c r="I259" s="3">
        <v>100</v>
      </c>
      <c r="J259" s="3">
        <v>10</v>
      </c>
      <c r="K259" s="2">
        <f t="shared" si="4"/>
        <v>26.179938779914945</v>
      </c>
      <c r="L259" s="3">
        <v>0</v>
      </c>
      <c r="M259" s="3">
        <v>0</v>
      </c>
      <c r="N259" s="3">
        <v>1</v>
      </c>
      <c r="O259" s="2" t="s">
        <v>136</v>
      </c>
    </row>
    <row r="260" spans="1:15" x14ac:dyDescent="0.25">
      <c r="A260" s="2" t="s">
        <v>130</v>
      </c>
      <c r="B260" s="2">
        <v>1</v>
      </c>
      <c r="C260" s="8">
        <v>1</v>
      </c>
      <c r="D260" s="8">
        <v>1</v>
      </c>
      <c r="E260" s="1">
        <v>43784</v>
      </c>
      <c r="F260" s="3">
        <v>15</v>
      </c>
      <c r="G260" s="2" t="s">
        <v>17</v>
      </c>
      <c r="H260" s="8">
        <v>1</v>
      </c>
      <c r="I260" s="3">
        <v>147</v>
      </c>
      <c r="J260" s="3">
        <v>17</v>
      </c>
      <c r="K260" s="2">
        <f t="shared" si="4"/>
        <v>111.22023391871267</v>
      </c>
      <c r="L260" s="3">
        <v>0</v>
      </c>
      <c r="M260" s="3">
        <v>0</v>
      </c>
      <c r="N260" s="3">
        <v>0</v>
      </c>
    </row>
    <row r="261" spans="1:15" x14ac:dyDescent="0.25">
      <c r="A261" s="2" t="s">
        <v>130</v>
      </c>
      <c r="B261" s="2">
        <v>1</v>
      </c>
      <c r="C261" s="8">
        <v>1</v>
      </c>
      <c r="D261" s="8">
        <v>1</v>
      </c>
      <c r="E261" s="1">
        <v>43784</v>
      </c>
      <c r="F261" s="3">
        <v>16</v>
      </c>
      <c r="G261" s="2" t="s">
        <v>17</v>
      </c>
      <c r="H261" s="8">
        <v>1</v>
      </c>
      <c r="I261" s="3">
        <v>115</v>
      </c>
      <c r="J261" s="3">
        <v>18</v>
      </c>
      <c r="K261" s="2">
        <f t="shared" si="4"/>
        <v>97.546451893963081</v>
      </c>
      <c r="L261" s="3">
        <v>0</v>
      </c>
      <c r="M261" s="3">
        <v>0</v>
      </c>
      <c r="N261" s="3">
        <v>0</v>
      </c>
    </row>
    <row r="262" spans="1:15" x14ac:dyDescent="0.25">
      <c r="A262" s="2" t="s">
        <v>130</v>
      </c>
      <c r="B262" s="2">
        <v>1</v>
      </c>
      <c r="C262" s="8">
        <v>1</v>
      </c>
      <c r="D262" s="8">
        <v>1</v>
      </c>
      <c r="E262" s="1">
        <v>43784</v>
      </c>
      <c r="F262" s="3">
        <v>17</v>
      </c>
      <c r="G262" s="2" t="s">
        <v>17</v>
      </c>
      <c r="H262" s="8">
        <v>1</v>
      </c>
      <c r="I262" s="3">
        <v>163</v>
      </c>
      <c r="J262" s="3">
        <v>20</v>
      </c>
      <c r="K262" s="2">
        <f t="shared" si="4"/>
        <v>170.69320084504542</v>
      </c>
      <c r="L262" s="3">
        <v>0</v>
      </c>
      <c r="M262" s="3">
        <v>0</v>
      </c>
      <c r="N262" s="3">
        <v>1</v>
      </c>
    </row>
    <row r="263" spans="1:15" x14ac:dyDescent="0.25">
      <c r="A263" s="2" t="s">
        <v>130</v>
      </c>
      <c r="B263" s="2">
        <v>1</v>
      </c>
      <c r="C263" s="8">
        <v>1</v>
      </c>
      <c r="D263" s="8">
        <v>1</v>
      </c>
      <c r="E263" s="1">
        <v>43784</v>
      </c>
      <c r="F263" s="3">
        <v>18</v>
      </c>
      <c r="G263" s="2" t="s">
        <v>17</v>
      </c>
      <c r="H263" s="8">
        <v>1</v>
      </c>
      <c r="I263" s="3">
        <v>156</v>
      </c>
      <c r="J263" s="3">
        <v>18</v>
      </c>
      <c r="K263" s="2">
        <f t="shared" si="4"/>
        <v>132.32388256920208</v>
      </c>
      <c r="L263" s="3">
        <v>0</v>
      </c>
      <c r="M263" s="3">
        <v>0</v>
      </c>
      <c r="N263" s="3">
        <v>0</v>
      </c>
    </row>
    <row r="264" spans="1:15" x14ac:dyDescent="0.25">
      <c r="A264" s="2" t="s">
        <v>130</v>
      </c>
      <c r="B264" s="2">
        <v>1</v>
      </c>
      <c r="C264" s="8">
        <v>1</v>
      </c>
      <c r="D264" s="8">
        <v>1</v>
      </c>
      <c r="E264" s="1">
        <v>43784</v>
      </c>
      <c r="F264" s="3">
        <v>19</v>
      </c>
      <c r="G264" s="2" t="s">
        <v>17</v>
      </c>
      <c r="H264" s="8">
        <v>1</v>
      </c>
      <c r="I264" s="3">
        <v>127</v>
      </c>
      <c r="J264" s="3">
        <v>14</v>
      </c>
      <c r="K264" s="2">
        <f t="shared" si="4"/>
        <v>65.167103610964261</v>
      </c>
      <c r="L264" s="3">
        <v>0</v>
      </c>
      <c r="M264" s="3">
        <v>0</v>
      </c>
      <c r="N264" s="3">
        <v>0</v>
      </c>
    </row>
    <row r="265" spans="1:15" x14ac:dyDescent="0.25">
      <c r="A265" s="2" t="s">
        <v>130</v>
      </c>
      <c r="B265" s="2">
        <v>1</v>
      </c>
      <c r="C265" s="8">
        <v>1</v>
      </c>
      <c r="D265" s="8">
        <v>1</v>
      </c>
      <c r="E265" s="1">
        <v>43784</v>
      </c>
      <c r="F265" s="3">
        <v>20</v>
      </c>
      <c r="G265" s="2" t="s">
        <v>17</v>
      </c>
      <c r="H265" s="8">
        <v>1</v>
      </c>
      <c r="I265" s="3">
        <v>164</v>
      </c>
      <c r="J265" s="3">
        <v>23</v>
      </c>
      <c r="K265" s="2">
        <f t="shared" si="4"/>
        <v>227.12667687903001</v>
      </c>
      <c r="L265" s="3">
        <v>0</v>
      </c>
      <c r="M265" s="3">
        <v>0</v>
      </c>
      <c r="N265" s="3">
        <v>0</v>
      </c>
    </row>
    <row r="266" spans="1:15" x14ac:dyDescent="0.25">
      <c r="A266" s="2" t="s">
        <v>130</v>
      </c>
      <c r="B266" s="2">
        <v>1</v>
      </c>
      <c r="C266" s="8">
        <v>1</v>
      </c>
      <c r="D266" s="8">
        <v>1</v>
      </c>
      <c r="E266" s="1">
        <v>43784</v>
      </c>
      <c r="F266" s="3">
        <v>21</v>
      </c>
      <c r="G266" s="2" t="s">
        <v>17</v>
      </c>
      <c r="H266" s="8">
        <v>1</v>
      </c>
      <c r="I266" s="3">
        <v>176</v>
      </c>
      <c r="J266" s="3">
        <v>17</v>
      </c>
      <c r="K266" s="2">
        <f t="shared" si="4"/>
        <v>133.16164061015934</v>
      </c>
      <c r="L266" s="3">
        <v>0</v>
      </c>
      <c r="M266" s="3">
        <v>0</v>
      </c>
      <c r="N266" s="3">
        <v>0</v>
      </c>
    </row>
    <row r="267" spans="1:15" x14ac:dyDescent="0.25">
      <c r="A267" s="2" t="s">
        <v>130</v>
      </c>
      <c r="B267" s="2">
        <v>1</v>
      </c>
      <c r="C267" s="8">
        <v>1</v>
      </c>
      <c r="D267" s="8">
        <v>1</v>
      </c>
      <c r="E267" s="1">
        <v>43784</v>
      </c>
      <c r="F267" s="3">
        <v>22</v>
      </c>
      <c r="G267" s="2" t="s">
        <v>17</v>
      </c>
      <c r="H267" s="8">
        <v>1</v>
      </c>
      <c r="I267" s="3">
        <v>73</v>
      </c>
      <c r="J267" s="3">
        <v>10</v>
      </c>
      <c r="K267" s="2">
        <f t="shared" si="4"/>
        <v>19.111355309337906</v>
      </c>
      <c r="L267" s="3">
        <v>0</v>
      </c>
      <c r="M267" s="3">
        <v>0</v>
      </c>
      <c r="N267" s="3">
        <v>1</v>
      </c>
      <c r="O267" s="2" t="s">
        <v>131</v>
      </c>
    </row>
    <row r="268" spans="1:15" x14ac:dyDescent="0.25">
      <c r="A268" s="2" t="s">
        <v>130</v>
      </c>
      <c r="B268" s="2">
        <v>1</v>
      </c>
      <c r="C268" s="8">
        <v>1</v>
      </c>
      <c r="D268" s="8">
        <v>1</v>
      </c>
      <c r="E268" s="1">
        <v>43784</v>
      </c>
      <c r="F268" s="3">
        <v>23</v>
      </c>
      <c r="G268" s="2" t="s">
        <v>17</v>
      </c>
      <c r="H268" s="8">
        <v>1</v>
      </c>
      <c r="I268" s="3">
        <v>132</v>
      </c>
      <c r="J268" s="3">
        <v>14</v>
      </c>
      <c r="K268" s="2">
        <f t="shared" si="4"/>
        <v>67.732737611395933</v>
      </c>
      <c r="L268" s="3">
        <v>0</v>
      </c>
      <c r="M268" s="3">
        <v>0</v>
      </c>
      <c r="N268" s="3">
        <v>0</v>
      </c>
    </row>
    <row r="269" spans="1:15" x14ac:dyDescent="0.25">
      <c r="A269" s="2" t="s">
        <v>130</v>
      </c>
      <c r="B269" s="2">
        <v>1</v>
      </c>
      <c r="C269" s="8">
        <v>1</v>
      </c>
      <c r="D269" s="8">
        <v>1</v>
      </c>
      <c r="E269" s="1">
        <v>43784</v>
      </c>
      <c r="F269" s="3">
        <v>24</v>
      </c>
      <c r="G269" s="2" t="s">
        <v>17</v>
      </c>
      <c r="H269" s="8">
        <v>1</v>
      </c>
      <c r="I269" s="3">
        <v>97</v>
      </c>
      <c r="J269" s="3">
        <v>8</v>
      </c>
      <c r="K269" s="2">
        <f t="shared" si="4"/>
        <v>16.252505994571198</v>
      </c>
      <c r="L269" s="3">
        <v>0</v>
      </c>
      <c r="M269" s="3">
        <v>0</v>
      </c>
      <c r="N269" s="3">
        <v>0</v>
      </c>
    </row>
    <row r="270" spans="1:15" x14ac:dyDescent="0.25">
      <c r="A270" s="2" t="s">
        <v>130</v>
      </c>
      <c r="B270" s="2">
        <v>1</v>
      </c>
      <c r="C270" s="8">
        <v>1</v>
      </c>
      <c r="D270" s="8">
        <v>1</v>
      </c>
      <c r="E270" s="1">
        <v>43784</v>
      </c>
      <c r="F270" s="3">
        <v>32</v>
      </c>
      <c r="G270" s="2" t="s">
        <v>17</v>
      </c>
      <c r="H270" s="8">
        <v>1</v>
      </c>
      <c r="I270" s="3">
        <v>137</v>
      </c>
      <c r="J270" s="3">
        <v>13</v>
      </c>
      <c r="K270" s="2">
        <f t="shared" si="4"/>
        <v>60.614412257137076</v>
      </c>
      <c r="L270" s="3">
        <v>0</v>
      </c>
      <c r="M270" s="3">
        <v>0</v>
      </c>
      <c r="N270" s="3">
        <v>0</v>
      </c>
    </row>
    <row r="271" spans="1:15" x14ac:dyDescent="0.25">
      <c r="A271" s="2" t="s">
        <v>130</v>
      </c>
      <c r="B271" s="2">
        <v>1</v>
      </c>
      <c r="C271" s="8">
        <v>1</v>
      </c>
      <c r="D271" s="8">
        <v>1</v>
      </c>
      <c r="E271" s="1">
        <v>43784</v>
      </c>
      <c r="F271" s="3">
        <v>33</v>
      </c>
      <c r="G271" s="2" t="s">
        <v>17</v>
      </c>
      <c r="H271" s="8">
        <v>1</v>
      </c>
      <c r="I271" s="3">
        <v>122</v>
      </c>
      <c r="J271" s="3">
        <v>19</v>
      </c>
      <c r="K271" s="2">
        <f t="shared" si="4"/>
        <v>115.30168637450139</v>
      </c>
      <c r="L271" s="3">
        <v>0</v>
      </c>
      <c r="M271" s="3">
        <v>0</v>
      </c>
      <c r="N271" s="3">
        <v>0</v>
      </c>
    </row>
    <row r="272" spans="1:15" x14ac:dyDescent="0.25">
      <c r="A272" s="2" t="s">
        <v>130</v>
      </c>
      <c r="B272" s="2">
        <v>1</v>
      </c>
      <c r="C272" s="8">
        <v>1</v>
      </c>
      <c r="D272" s="8">
        <v>1</v>
      </c>
      <c r="E272" s="1">
        <v>43784</v>
      </c>
      <c r="F272" s="3">
        <v>34</v>
      </c>
      <c r="G272" s="2" t="s">
        <v>17</v>
      </c>
      <c r="H272" s="8">
        <v>1</v>
      </c>
      <c r="I272" s="3">
        <v>171</v>
      </c>
      <c r="J272" s="3">
        <v>17</v>
      </c>
      <c r="K272" s="2">
        <f t="shared" si="4"/>
        <v>129.37863945646166</v>
      </c>
      <c r="L272" s="3">
        <v>0</v>
      </c>
      <c r="M272" s="3">
        <v>0</v>
      </c>
      <c r="N272" s="3">
        <v>0</v>
      </c>
    </row>
    <row r="273" spans="1:15" x14ac:dyDescent="0.25">
      <c r="A273" s="2" t="s">
        <v>130</v>
      </c>
      <c r="B273" s="2">
        <v>1</v>
      </c>
      <c r="C273" s="8">
        <v>1</v>
      </c>
      <c r="D273" s="8">
        <v>1</v>
      </c>
      <c r="E273" s="1">
        <v>43784</v>
      </c>
      <c r="F273" s="3">
        <v>35</v>
      </c>
      <c r="G273" s="2" t="s">
        <v>17</v>
      </c>
      <c r="H273" s="8">
        <v>1</v>
      </c>
      <c r="I273" s="3">
        <v>164</v>
      </c>
      <c r="J273" s="3">
        <v>25</v>
      </c>
      <c r="K273" s="2">
        <f t="shared" si="4"/>
        <v>268.34437249412815</v>
      </c>
      <c r="L273" s="3">
        <v>0</v>
      </c>
      <c r="M273" s="3">
        <v>0</v>
      </c>
      <c r="N273" s="3">
        <v>0</v>
      </c>
    </row>
    <row r="274" spans="1:15" x14ac:dyDescent="0.25">
      <c r="A274" s="2" t="s">
        <v>130</v>
      </c>
      <c r="B274" s="2">
        <v>1</v>
      </c>
      <c r="C274" s="8">
        <v>1</v>
      </c>
      <c r="D274" s="8">
        <v>1</v>
      </c>
      <c r="E274" s="1">
        <v>43784</v>
      </c>
      <c r="F274" s="3">
        <v>36</v>
      </c>
      <c r="G274" s="2" t="s">
        <v>17</v>
      </c>
      <c r="H274" s="8">
        <v>1</v>
      </c>
      <c r="I274" s="3">
        <v>125</v>
      </c>
      <c r="J274" s="3">
        <v>10</v>
      </c>
      <c r="K274" s="2">
        <f t="shared" si="4"/>
        <v>32.724923474893679</v>
      </c>
      <c r="L274" s="3">
        <v>0</v>
      </c>
      <c r="M274" s="3">
        <v>0</v>
      </c>
      <c r="N274" s="3">
        <v>0</v>
      </c>
    </row>
    <row r="275" spans="1:15" x14ac:dyDescent="0.25">
      <c r="A275" s="2" t="s">
        <v>130</v>
      </c>
      <c r="B275" s="2">
        <v>1</v>
      </c>
      <c r="C275" s="8">
        <v>1</v>
      </c>
      <c r="D275" s="8">
        <v>1</v>
      </c>
      <c r="E275" s="1">
        <v>43784</v>
      </c>
      <c r="F275" s="3">
        <v>37</v>
      </c>
      <c r="G275" s="2" t="s">
        <v>17</v>
      </c>
      <c r="H275" s="8">
        <v>1</v>
      </c>
      <c r="I275" s="3">
        <v>108</v>
      </c>
      <c r="J275" s="3">
        <v>14</v>
      </c>
      <c r="K275" s="2">
        <f t="shared" si="4"/>
        <v>55.417694409323936</v>
      </c>
      <c r="L275" s="3">
        <v>0</v>
      </c>
      <c r="M275" s="3">
        <v>0</v>
      </c>
      <c r="N275" s="3">
        <v>0</v>
      </c>
    </row>
    <row r="276" spans="1:15" x14ac:dyDescent="0.25">
      <c r="A276" s="2" t="s">
        <v>130</v>
      </c>
      <c r="B276" s="2">
        <v>4</v>
      </c>
      <c r="C276" s="8">
        <v>1</v>
      </c>
      <c r="D276" s="8">
        <v>0</v>
      </c>
      <c r="E276" s="1">
        <v>43784</v>
      </c>
      <c r="F276" s="3">
        <v>1</v>
      </c>
      <c r="G276" s="2" t="s">
        <v>17</v>
      </c>
      <c r="H276" s="8">
        <v>1</v>
      </c>
      <c r="I276" s="3">
        <v>55</v>
      </c>
      <c r="J276" s="3">
        <v>13</v>
      </c>
      <c r="K276" s="2">
        <f t="shared" si="4"/>
        <v>24.334253095930944</v>
      </c>
      <c r="L276" s="3">
        <v>0</v>
      </c>
      <c r="M276" s="3">
        <v>0</v>
      </c>
      <c r="N276" s="3">
        <v>1</v>
      </c>
    </row>
    <row r="277" spans="1:15" x14ac:dyDescent="0.25">
      <c r="A277" s="2" t="s">
        <v>130</v>
      </c>
      <c r="B277" s="2">
        <v>4</v>
      </c>
      <c r="C277" s="8">
        <v>1</v>
      </c>
      <c r="D277" s="8">
        <v>0</v>
      </c>
      <c r="E277" s="1">
        <v>43784</v>
      </c>
      <c r="F277" s="3">
        <v>2</v>
      </c>
      <c r="G277" s="2" t="s">
        <v>17</v>
      </c>
      <c r="H277" s="8">
        <v>1</v>
      </c>
      <c r="I277" s="3">
        <v>59</v>
      </c>
      <c r="J277" s="3">
        <v>6</v>
      </c>
      <c r="K277" s="2">
        <f t="shared" si="4"/>
        <v>5.5606189968539326</v>
      </c>
      <c r="L277" s="3">
        <v>0</v>
      </c>
      <c r="M277" s="3">
        <v>0</v>
      </c>
      <c r="N277" s="3">
        <v>0</v>
      </c>
    </row>
    <row r="278" spans="1:15" x14ac:dyDescent="0.25">
      <c r="A278" s="2" t="s">
        <v>130</v>
      </c>
      <c r="B278" s="2">
        <v>4</v>
      </c>
      <c r="C278" s="8">
        <v>1</v>
      </c>
      <c r="D278" s="8">
        <v>0</v>
      </c>
      <c r="E278" s="1">
        <v>43784</v>
      </c>
      <c r="F278" s="3">
        <v>3</v>
      </c>
      <c r="G278" s="2" t="s">
        <v>17</v>
      </c>
      <c r="H278" s="8">
        <v>1</v>
      </c>
      <c r="I278" s="3">
        <v>76</v>
      </c>
      <c r="J278" s="3">
        <v>11</v>
      </c>
      <c r="K278" s="2">
        <f t="shared" si="4"/>
        <v>24.075071702009783</v>
      </c>
      <c r="L278" s="3">
        <v>0</v>
      </c>
      <c r="M278" s="3">
        <v>0</v>
      </c>
      <c r="N278" s="3">
        <v>0</v>
      </c>
    </row>
    <row r="279" spans="1:15" x14ac:dyDescent="0.25">
      <c r="A279" s="2" t="s">
        <v>130</v>
      </c>
      <c r="B279" s="2">
        <v>4</v>
      </c>
      <c r="C279" s="8">
        <v>1</v>
      </c>
      <c r="D279" s="8">
        <v>0</v>
      </c>
      <c r="E279" s="1">
        <v>43784</v>
      </c>
      <c r="F279" s="3">
        <v>4</v>
      </c>
      <c r="G279" s="2" t="s">
        <v>17</v>
      </c>
      <c r="H279" s="8">
        <v>1</v>
      </c>
      <c r="I279" s="3">
        <v>97</v>
      </c>
      <c r="J279" s="3">
        <v>14</v>
      </c>
      <c r="K279" s="2">
        <f t="shared" si="4"/>
        <v>49.77329960837428</v>
      </c>
      <c r="L279" s="3">
        <v>0</v>
      </c>
      <c r="M279" s="3">
        <v>0</v>
      </c>
      <c r="N279" s="3">
        <v>0</v>
      </c>
    </row>
    <row r="280" spans="1:15" x14ac:dyDescent="0.25">
      <c r="A280" s="2" t="s">
        <v>130</v>
      </c>
      <c r="B280" s="2">
        <v>4</v>
      </c>
      <c r="C280" s="8">
        <v>1</v>
      </c>
      <c r="D280" s="8">
        <v>0</v>
      </c>
      <c r="E280" s="1">
        <v>43784</v>
      </c>
      <c r="F280" s="3">
        <v>5</v>
      </c>
      <c r="G280" s="2" t="s">
        <v>17</v>
      </c>
      <c r="H280" s="8">
        <v>1</v>
      </c>
      <c r="I280" s="3">
        <v>38</v>
      </c>
      <c r="J280" s="3">
        <v>7</v>
      </c>
      <c r="K280" s="2">
        <f t="shared" si="4"/>
        <v>4.8747046008201611</v>
      </c>
      <c r="L280" s="3">
        <v>0</v>
      </c>
      <c r="M280" s="3">
        <v>0</v>
      </c>
      <c r="N280" s="3">
        <v>1</v>
      </c>
    </row>
    <row r="281" spans="1:15" x14ac:dyDescent="0.25">
      <c r="A281" s="2" t="s">
        <v>130</v>
      </c>
      <c r="B281" s="2">
        <v>4</v>
      </c>
      <c r="C281" s="8">
        <v>1</v>
      </c>
      <c r="D281" s="8">
        <v>0</v>
      </c>
      <c r="E281" s="1">
        <v>43784</v>
      </c>
      <c r="F281" s="3">
        <v>6</v>
      </c>
      <c r="G281" s="2" t="s">
        <v>17</v>
      </c>
      <c r="H281" s="8">
        <v>1</v>
      </c>
      <c r="I281" s="3">
        <v>64</v>
      </c>
      <c r="J281" s="3">
        <v>7</v>
      </c>
      <c r="K281" s="2">
        <f t="shared" si="4"/>
        <v>8.2100288013813252</v>
      </c>
      <c r="L281" s="3">
        <v>0</v>
      </c>
      <c r="M281" s="3">
        <v>0</v>
      </c>
      <c r="N281" s="3">
        <v>0</v>
      </c>
    </row>
    <row r="282" spans="1:15" x14ac:dyDescent="0.25">
      <c r="A282" s="2" t="s">
        <v>130</v>
      </c>
      <c r="B282" s="2">
        <v>4</v>
      </c>
      <c r="C282" s="8">
        <v>1</v>
      </c>
      <c r="D282" s="8">
        <v>0</v>
      </c>
      <c r="E282" s="1">
        <v>43784</v>
      </c>
      <c r="F282" s="3">
        <v>7</v>
      </c>
      <c r="G282" s="2" t="s">
        <v>17</v>
      </c>
      <c r="H282" s="8">
        <v>1</v>
      </c>
      <c r="I282" s="3">
        <v>59</v>
      </c>
      <c r="J282" s="3">
        <v>12</v>
      </c>
      <c r="K282" s="2">
        <f t="shared" si="4"/>
        <v>22.24247598741573</v>
      </c>
      <c r="L282" s="3">
        <v>0</v>
      </c>
      <c r="M282" s="3">
        <v>0</v>
      </c>
      <c r="N282" s="3">
        <v>1</v>
      </c>
      <c r="O282" s="2" t="s">
        <v>132</v>
      </c>
    </row>
    <row r="283" spans="1:15" x14ac:dyDescent="0.25">
      <c r="A283" s="2" t="s">
        <v>130</v>
      </c>
      <c r="B283" s="2">
        <v>4</v>
      </c>
      <c r="C283" s="8">
        <v>1</v>
      </c>
      <c r="D283" s="8">
        <v>0</v>
      </c>
      <c r="E283" s="1">
        <v>43784</v>
      </c>
      <c r="F283" s="3">
        <v>8</v>
      </c>
      <c r="G283" s="2" t="s">
        <v>17</v>
      </c>
      <c r="H283" s="8">
        <v>1</v>
      </c>
      <c r="I283" s="3">
        <v>98</v>
      </c>
      <c r="J283" s="3">
        <v>10</v>
      </c>
      <c r="K283" s="2">
        <f t="shared" si="4"/>
        <v>25.656340004316643</v>
      </c>
      <c r="L283" s="3">
        <v>0</v>
      </c>
      <c r="M283" s="3">
        <v>0</v>
      </c>
      <c r="N283" s="3">
        <v>0</v>
      </c>
    </row>
    <row r="284" spans="1:15" x14ac:dyDescent="0.25">
      <c r="A284" s="2" t="s">
        <v>130</v>
      </c>
      <c r="B284" s="2">
        <v>4</v>
      </c>
      <c r="C284" s="8">
        <v>1</v>
      </c>
      <c r="D284" s="8">
        <v>0</v>
      </c>
      <c r="E284" s="1">
        <v>43784</v>
      </c>
      <c r="F284" s="3">
        <v>9</v>
      </c>
      <c r="G284" s="2" t="s">
        <v>17</v>
      </c>
      <c r="H284" s="8">
        <v>1</v>
      </c>
      <c r="I284" s="3">
        <v>32</v>
      </c>
      <c r="J284" s="3">
        <v>7</v>
      </c>
      <c r="K284" s="2">
        <f t="shared" si="4"/>
        <v>4.1050144006906626</v>
      </c>
      <c r="L284" s="3">
        <v>0</v>
      </c>
      <c r="M284" s="3">
        <v>0</v>
      </c>
      <c r="N284" s="3">
        <v>1</v>
      </c>
    </row>
    <row r="285" spans="1:15" x14ac:dyDescent="0.25">
      <c r="A285" s="2" t="s">
        <v>130</v>
      </c>
      <c r="B285" s="2">
        <v>4</v>
      </c>
      <c r="C285" s="8">
        <v>1</v>
      </c>
      <c r="D285" s="8">
        <v>0</v>
      </c>
      <c r="E285" s="1">
        <v>43784</v>
      </c>
      <c r="F285" s="3">
        <v>10</v>
      </c>
      <c r="G285" s="2" t="s">
        <v>17</v>
      </c>
      <c r="H285" s="8">
        <v>1</v>
      </c>
      <c r="I285" s="3">
        <v>95</v>
      </c>
      <c r="J285" s="3">
        <v>11</v>
      </c>
      <c r="K285" s="2">
        <f t="shared" si="4"/>
        <v>30.093839627512228</v>
      </c>
      <c r="L285" s="3">
        <v>0</v>
      </c>
      <c r="M285" s="3">
        <v>0</v>
      </c>
      <c r="N285" s="3">
        <v>0</v>
      </c>
    </row>
    <row r="286" spans="1:15" x14ac:dyDescent="0.25">
      <c r="A286" s="2" t="s">
        <v>130</v>
      </c>
      <c r="B286" s="2">
        <v>4</v>
      </c>
      <c r="C286" s="8">
        <v>1</v>
      </c>
      <c r="D286" s="8">
        <v>0</v>
      </c>
      <c r="E286" s="1">
        <v>43784</v>
      </c>
      <c r="F286" s="3">
        <v>11</v>
      </c>
      <c r="G286" s="2" t="s">
        <v>17</v>
      </c>
      <c r="H286" s="8">
        <v>1</v>
      </c>
      <c r="I286" s="3">
        <v>50</v>
      </c>
      <c r="J286" s="3">
        <v>10</v>
      </c>
      <c r="K286" s="2">
        <f t="shared" si="4"/>
        <v>13.089969389957473</v>
      </c>
      <c r="L286" s="3">
        <v>0</v>
      </c>
      <c r="M286" s="3">
        <v>0</v>
      </c>
      <c r="N286" s="3">
        <v>0</v>
      </c>
    </row>
    <row r="287" spans="1:15" x14ac:dyDescent="0.25">
      <c r="A287" s="2" t="s">
        <v>130</v>
      </c>
      <c r="B287" s="2">
        <v>4</v>
      </c>
      <c r="C287" s="8">
        <v>1</v>
      </c>
      <c r="D287" s="8">
        <v>0</v>
      </c>
      <c r="E287" s="1">
        <v>43784</v>
      </c>
      <c r="F287" s="3">
        <v>12</v>
      </c>
      <c r="G287" s="2" t="s">
        <v>17</v>
      </c>
      <c r="H287" s="8">
        <v>1</v>
      </c>
      <c r="I287" s="3">
        <v>44</v>
      </c>
      <c r="J287" s="3">
        <v>9</v>
      </c>
      <c r="K287" s="2">
        <f t="shared" si="4"/>
        <v>9.3305301811616861</v>
      </c>
      <c r="L287" s="3">
        <v>0</v>
      </c>
      <c r="M287" s="3">
        <v>0</v>
      </c>
      <c r="N287" s="3">
        <v>0</v>
      </c>
    </row>
    <row r="288" spans="1:15" x14ac:dyDescent="0.25">
      <c r="A288" s="2" t="s">
        <v>130</v>
      </c>
      <c r="B288" s="2">
        <v>4</v>
      </c>
      <c r="C288" s="8">
        <v>1</v>
      </c>
      <c r="D288" s="8">
        <v>0</v>
      </c>
      <c r="E288" s="1">
        <v>43784</v>
      </c>
      <c r="F288" s="3">
        <v>13</v>
      </c>
      <c r="G288" s="2" t="s">
        <v>17</v>
      </c>
      <c r="H288" s="8">
        <v>1</v>
      </c>
      <c r="I288" s="3">
        <v>39</v>
      </c>
      <c r="J288" s="3">
        <v>8</v>
      </c>
      <c r="K288" s="2">
        <f t="shared" si="4"/>
        <v>6.5345127194667709</v>
      </c>
      <c r="L288" s="3">
        <v>0</v>
      </c>
      <c r="M288" s="3">
        <v>0</v>
      </c>
      <c r="N288" s="3">
        <v>1</v>
      </c>
    </row>
    <row r="289" spans="1:15" x14ac:dyDescent="0.25">
      <c r="A289" s="2" t="s">
        <v>130</v>
      </c>
      <c r="B289" s="2">
        <v>4</v>
      </c>
      <c r="C289" s="8">
        <v>1</v>
      </c>
      <c r="D289" s="8">
        <v>0</v>
      </c>
      <c r="E289" s="1">
        <v>43784</v>
      </c>
      <c r="F289" s="3">
        <v>14</v>
      </c>
      <c r="G289" s="2" t="s">
        <v>17</v>
      </c>
      <c r="H289" s="8">
        <v>1</v>
      </c>
      <c r="I289" s="3">
        <v>49</v>
      </c>
      <c r="J289" s="3">
        <v>10</v>
      </c>
      <c r="K289" s="2">
        <f t="shared" si="4"/>
        <v>12.828170002158322</v>
      </c>
      <c r="L289" s="3">
        <v>0</v>
      </c>
      <c r="M289" s="3">
        <v>0</v>
      </c>
      <c r="N289" s="3">
        <v>0</v>
      </c>
    </row>
    <row r="290" spans="1:15" x14ac:dyDescent="0.25">
      <c r="A290" s="2" t="s">
        <v>130</v>
      </c>
      <c r="B290" s="2">
        <v>4</v>
      </c>
      <c r="C290" s="8">
        <v>1</v>
      </c>
      <c r="D290" s="8">
        <v>0</v>
      </c>
      <c r="E290" s="1">
        <v>43784</v>
      </c>
      <c r="F290" s="3">
        <v>15</v>
      </c>
      <c r="G290" s="2" t="s">
        <v>17</v>
      </c>
      <c r="H290" s="8">
        <v>1</v>
      </c>
      <c r="I290" s="3">
        <v>69</v>
      </c>
      <c r="J290" s="3">
        <v>7</v>
      </c>
      <c r="K290" s="2">
        <f t="shared" si="4"/>
        <v>8.8514373014892413</v>
      </c>
      <c r="L290" s="3">
        <v>0</v>
      </c>
      <c r="M290" s="3">
        <v>0</v>
      </c>
      <c r="N290" s="3">
        <v>0</v>
      </c>
    </row>
    <row r="291" spans="1:15" x14ac:dyDescent="0.25">
      <c r="A291" s="2" t="s">
        <v>130</v>
      </c>
      <c r="B291" s="2">
        <v>4</v>
      </c>
      <c r="C291" s="8">
        <v>1</v>
      </c>
      <c r="D291" s="8">
        <v>0</v>
      </c>
      <c r="E291" s="1">
        <v>43784</v>
      </c>
      <c r="F291" s="3">
        <v>16</v>
      </c>
      <c r="G291" s="2" t="s">
        <v>17</v>
      </c>
      <c r="H291" s="8">
        <v>1</v>
      </c>
      <c r="I291" s="3">
        <v>36</v>
      </c>
      <c r="J291" s="3">
        <v>7</v>
      </c>
      <c r="K291" s="2">
        <f t="shared" si="4"/>
        <v>4.6181412007769955</v>
      </c>
      <c r="L291" s="3">
        <v>0</v>
      </c>
      <c r="M291" s="3">
        <v>0</v>
      </c>
      <c r="N291" s="3">
        <v>1</v>
      </c>
    </row>
    <row r="292" spans="1:15" x14ac:dyDescent="0.25">
      <c r="A292" s="2" t="s">
        <v>130</v>
      </c>
      <c r="B292" s="2">
        <v>4</v>
      </c>
      <c r="C292" s="8">
        <v>1</v>
      </c>
      <c r="D292" s="8">
        <v>0</v>
      </c>
      <c r="E292" s="1">
        <v>43784</v>
      </c>
      <c r="F292" s="3">
        <v>17</v>
      </c>
      <c r="G292" s="2" t="s">
        <v>17</v>
      </c>
      <c r="H292" s="8">
        <v>1</v>
      </c>
      <c r="I292" s="3">
        <v>29</v>
      </c>
      <c r="J292" s="3">
        <v>8</v>
      </c>
      <c r="K292" s="2">
        <f t="shared" si="4"/>
        <v>4.858996637552214</v>
      </c>
      <c r="L292" s="3">
        <v>0</v>
      </c>
      <c r="M292" s="3">
        <v>0</v>
      </c>
      <c r="N292" s="3">
        <v>0</v>
      </c>
      <c r="O292" s="2" t="s">
        <v>133</v>
      </c>
    </row>
    <row r="293" spans="1:15" x14ac:dyDescent="0.25">
      <c r="A293" s="2" t="s">
        <v>130</v>
      </c>
      <c r="B293" s="2">
        <v>4</v>
      </c>
      <c r="C293" s="8">
        <v>1</v>
      </c>
      <c r="D293" s="8">
        <v>0</v>
      </c>
      <c r="E293" s="1">
        <v>43784</v>
      </c>
      <c r="F293" s="3">
        <v>18</v>
      </c>
      <c r="G293" s="2" t="s">
        <v>17</v>
      </c>
      <c r="H293" s="8">
        <v>1</v>
      </c>
      <c r="I293" s="3">
        <v>71</v>
      </c>
      <c r="J293" s="3">
        <v>10</v>
      </c>
      <c r="K293" s="2">
        <f t="shared" si="4"/>
        <v>18.587756533739611</v>
      </c>
      <c r="L293" s="3">
        <v>0</v>
      </c>
      <c r="M293" s="3">
        <v>0</v>
      </c>
      <c r="N293" s="3">
        <v>1</v>
      </c>
    </row>
    <row r="294" spans="1:15" x14ac:dyDescent="0.25">
      <c r="A294" s="2" t="s">
        <v>130</v>
      </c>
      <c r="B294" s="2">
        <v>4</v>
      </c>
      <c r="C294" s="8">
        <v>1</v>
      </c>
      <c r="D294" s="8">
        <v>0</v>
      </c>
      <c r="E294" s="1">
        <v>43784</v>
      </c>
      <c r="F294" s="3">
        <v>19</v>
      </c>
      <c r="G294" s="2" t="s">
        <v>17</v>
      </c>
      <c r="H294" s="8">
        <v>1</v>
      </c>
      <c r="I294" s="3">
        <v>85</v>
      </c>
      <c r="J294" s="3">
        <v>7</v>
      </c>
      <c r="K294" s="2">
        <f t="shared" si="4"/>
        <v>10.903944501834573</v>
      </c>
      <c r="L294" s="3">
        <v>0</v>
      </c>
      <c r="M294" s="3">
        <v>0</v>
      </c>
      <c r="N294" s="3">
        <v>1</v>
      </c>
    </row>
    <row r="295" spans="1:15" x14ac:dyDescent="0.25">
      <c r="A295" s="2" t="s">
        <v>130</v>
      </c>
      <c r="B295" s="2">
        <v>4</v>
      </c>
      <c r="C295" s="8">
        <v>1</v>
      </c>
      <c r="D295" s="8">
        <v>0</v>
      </c>
      <c r="E295" s="1">
        <v>43784</v>
      </c>
      <c r="F295" s="3">
        <v>20</v>
      </c>
      <c r="G295" s="2" t="s">
        <v>17</v>
      </c>
      <c r="H295" s="8">
        <v>1</v>
      </c>
      <c r="I295" s="3">
        <v>58</v>
      </c>
      <c r="J295" s="3">
        <v>12</v>
      </c>
      <c r="K295" s="2">
        <f t="shared" si="4"/>
        <v>21.865484868984961</v>
      </c>
      <c r="L295" s="3">
        <v>0</v>
      </c>
      <c r="M295" s="3">
        <v>0</v>
      </c>
      <c r="N295" s="3">
        <v>1</v>
      </c>
    </row>
    <row r="296" spans="1:15" x14ac:dyDescent="0.25">
      <c r="A296" s="2" t="s">
        <v>130</v>
      </c>
      <c r="B296" s="2">
        <v>4</v>
      </c>
      <c r="C296" s="8">
        <v>1</v>
      </c>
      <c r="D296" s="8">
        <v>0</v>
      </c>
      <c r="E296" s="1">
        <v>43784</v>
      </c>
      <c r="F296" s="3">
        <v>21</v>
      </c>
      <c r="G296" s="2" t="s">
        <v>17</v>
      </c>
      <c r="H296" s="8">
        <v>1</v>
      </c>
      <c r="I296" s="3">
        <v>47</v>
      </c>
      <c r="J296" s="3">
        <v>10</v>
      </c>
      <c r="K296" s="2">
        <f t="shared" si="4"/>
        <v>12.304571226560023</v>
      </c>
      <c r="L296" s="3">
        <v>0</v>
      </c>
      <c r="M296" s="3">
        <v>0</v>
      </c>
      <c r="N296" s="3">
        <v>1</v>
      </c>
    </row>
    <row r="297" spans="1:15" x14ac:dyDescent="0.25">
      <c r="A297" s="2" t="s">
        <v>130</v>
      </c>
      <c r="B297" s="2">
        <v>4</v>
      </c>
      <c r="C297" s="8">
        <v>1</v>
      </c>
      <c r="D297" s="8">
        <v>0</v>
      </c>
      <c r="E297" s="1">
        <v>43784</v>
      </c>
      <c r="F297" s="3">
        <v>22</v>
      </c>
      <c r="G297" s="2" t="s">
        <v>17</v>
      </c>
      <c r="H297" s="8">
        <v>1</v>
      </c>
      <c r="I297" s="3">
        <v>40</v>
      </c>
      <c r="J297" s="3">
        <v>8</v>
      </c>
      <c r="K297" s="2">
        <f t="shared" si="4"/>
        <v>6.702064327658225</v>
      </c>
      <c r="L297" s="3">
        <v>0</v>
      </c>
      <c r="M297" s="3">
        <v>0</v>
      </c>
      <c r="N297" s="3">
        <v>0</v>
      </c>
    </row>
    <row r="298" spans="1:15" x14ac:dyDescent="0.25">
      <c r="A298" s="2" t="s">
        <v>130</v>
      </c>
      <c r="B298" s="2">
        <v>2</v>
      </c>
      <c r="C298" s="8">
        <v>0</v>
      </c>
      <c r="D298" s="8">
        <v>1</v>
      </c>
      <c r="E298" s="1">
        <v>43784</v>
      </c>
      <c r="F298" s="3">
        <v>1</v>
      </c>
      <c r="G298" s="2" t="s">
        <v>17</v>
      </c>
      <c r="H298" s="8">
        <v>1</v>
      </c>
      <c r="I298" s="3">
        <v>104</v>
      </c>
      <c r="J298" s="3">
        <v>15</v>
      </c>
      <c r="K298" s="2">
        <f t="shared" si="4"/>
        <v>61.261056745000964</v>
      </c>
      <c r="L298" s="3">
        <v>0</v>
      </c>
      <c r="M298" s="3">
        <v>0</v>
      </c>
      <c r="N298" s="3">
        <v>0</v>
      </c>
    </row>
    <row r="299" spans="1:15" x14ac:dyDescent="0.25">
      <c r="A299" s="2" t="s">
        <v>130</v>
      </c>
      <c r="B299" s="2">
        <v>2</v>
      </c>
      <c r="C299" s="8">
        <v>0</v>
      </c>
      <c r="D299" s="8">
        <v>1</v>
      </c>
      <c r="E299" s="1">
        <v>43784</v>
      </c>
      <c r="F299" s="3">
        <v>2</v>
      </c>
      <c r="G299" s="2" t="s">
        <v>17</v>
      </c>
      <c r="H299" s="8">
        <v>1</v>
      </c>
      <c r="I299" s="3">
        <v>146</v>
      </c>
      <c r="J299" s="3">
        <v>21</v>
      </c>
      <c r="K299" s="2">
        <f t="shared" si="4"/>
        <v>168.56215382836035</v>
      </c>
      <c r="L299" s="3">
        <v>0</v>
      </c>
      <c r="M299" s="3">
        <v>0</v>
      </c>
      <c r="N299" s="3">
        <v>0</v>
      </c>
    </row>
    <row r="300" spans="1:15" x14ac:dyDescent="0.25">
      <c r="A300" s="2" t="s">
        <v>130</v>
      </c>
      <c r="B300" s="2">
        <v>2</v>
      </c>
      <c r="C300" s="8">
        <v>0</v>
      </c>
      <c r="D300" s="8">
        <v>1</v>
      </c>
      <c r="E300" s="1">
        <v>43784</v>
      </c>
      <c r="F300" s="3">
        <v>3</v>
      </c>
      <c r="G300" s="2" t="s">
        <v>17</v>
      </c>
      <c r="H300" s="8">
        <v>1</v>
      </c>
      <c r="I300" s="3">
        <v>86</v>
      </c>
      <c r="J300" s="3">
        <v>10.5</v>
      </c>
      <c r="K300" s="2">
        <f t="shared" si="4"/>
        <v>24.822508954176357</v>
      </c>
      <c r="L300" s="3">
        <v>0</v>
      </c>
      <c r="M300" s="3">
        <v>0</v>
      </c>
      <c r="N300" s="3">
        <v>0</v>
      </c>
      <c r="O300" s="2" t="s">
        <v>31</v>
      </c>
    </row>
    <row r="301" spans="1:15" x14ac:dyDescent="0.25">
      <c r="A301" s="2" t="s">
        <v>130</v>
      </c>
      <c r="B301" s="2">
        <v>2</v>
      </c>
      <c r="C301" s="8">
        <v>0</v>
      </c>
      <c r="D301" s="8">
        <v>1</v>
      </c>
      <c r="E301" s="1">
        <v>43784</v>
      </c>
      <c r="F301" s="3">
        <v>4</v>
      </c>
      <c r="G301" s="2" t="s">
        <v>17</v>
      </c>
      <c r="H301" s="8">
        <v>1</v>
      </c>
      <c r="I301" s="3">
        <v>108</v>
      </c>
      <c r="J301" s="3">
        <v>11</v>
      </c>
      <c r="K301" s="2">
        <f t="shared" si="4"/>
        <v>34.211943997592847</v>
      </c>
      <c r="L301" s="3">
        <v>0</v>
      </c>
      <c r="M301" s="3">
        <v>0</v>
      </c>
      <c r="N301" s="3">
        <v>0</v>
      </c>
    </row>
    <row r="302" spans="1:15" x14ac:dyDescent="0.25">
      <c r="A302" s="2" t="s">
        <v>130</v>
      </c>
      <c r="B302" s="2">
        <v>2</v>
      </c>
      <c r="C302" s="8">
        <v>0</v>
      </c>
      <c r="D302" s="8">
        <v>1</v>
      </c>
      <c r="E302" s="1">
        <v>43784</v>
      </c>
      <c r="F302" s="3">
        <v>5</v>
      </c>
      <c r="G302" s="2" t="s">
        <v>17</v>
      </c>
      <c r="H302" s="8">
        <v>1</v>
      </c>
      <c r="I302" s="3">
        <v>119</v>
      </c>
      <c r="J302" s="3">
        <v>17</v>
      </c>
      <c r="K302" s="2">
        <f t="shared" si="4"/>
        <v>90.035427458005472</v>
      </c>
      <c r="L302" s="3">
        <v>0</v>
      </c>
      <c r="M302" s="3">
        <v>0</v>
      </c>
      <c r="N302" s="3">
        <v>0</v>
      </c>
    </row>
    <row r="303" spans="1:15" x14ac:dyDescent="0.25">
      <c r="A303" s="2" t="s">
        <v>130</v>
      </c>
      <c r="B303" s="2">
        <v>2</v>
      </c>
      <c r="C303" s="8">
        <v>0</v>
      </c>
      <c r="D303" s="8">
        <v>1</v>
      </c>
      <c r="E303" s="1">
        <v>43784</v>
      </c>
      <c r="F303" s="3">
        <v>6</v>
      </c>
      <c r="G303" s="2" t="s">
        <v>17</v>
      </c>
      <c r="H303" s="8">
        <v>1</v>
      </c>
      <c r="I303" s="3">
        <v>67</v>
      </c>
      <c r="J303" s="3">
        <v>7</v>
      </c>
      <c r="K303" s="2">
        <f t="shared" si="4"/>
        <v>8.5948739014460749</v>
      </c>
      <c r="L303" s="3">
        <v>0</v>
      </c>
      <c r="M303" s="3">
        <v>0</v>
      </c>
      <c r="N303" s="3">
        <v>0</v>
      </c>
    </row>
    <row r="304" spans="1:15" x14ac:dyDescent="0.25">
      <c r="A304" s="2" t="s">
        <v>130</v>
      </c>
      <c r="B304" s="2">
        <v>2</v>
      </c>
      <c r="C304" s="8">
        <v>0</v>
      </c>
      <c r="D304" s="8">
        <v>1</v>
      </c>
      <c r="E304" s="1">
        <v>43784</v>
      </c>
      <c r="F304" s="3">
        <v>7</v>
      </c>
      <c r="G304" s="2" t="s">
        <v>17</v>
      </c>
      <c r="H304" s="8">
        <v>1</v>
      </c>
      <c r="I304" s="3">
        <v>153</v>
      </c>
      <c r="J304" s="3">
        <v>16</v>
      </c>
      <c r="K304" s="2">
        <f t="shared" si="4"/>
        <v>102.54158421317085</v>
      </c>
      <c r="L304" s="3">
        <v>0</v>
      </c>
      <c r="M304" s="3">
        <v>0</v>
      </c>
      <c r="N304" s="3">
        <v>0</v>
      </c>
    </row>
    <row r="305" spans="1:15" x14ac:dyDescent="0.25">
      <c r="A305" s="2" t="s">
        <v>130</v>
      </c>
      <c r="B305" s="2">
        <v>2</v>
      </c>
      <c r="C305" s="8">
        <v>0</v>
      </c>
      <c r="D305" s="8">
        <v>1</v>
      </c>
      <c r="E305" s="1">
        <v>43784</v>
      </c>
      <c r="F305" s="3">
        <v>8</v>
      </c>
      <c r="G305" s="2" t="s">
        <v>17</v>
      </c>
      <c r="H305" s="8">
        <v>1</v>
      </c>
      <c r="I305" s="3">
        <v>55</v>
      </c>
      <c r="J305" s="3">
        <v>5</v>
      </c>
      <c r="K305" s="2">
        <f t="shared" si="4"/>
        <v>3.599741582238305</v>
      </c>
      <c r="L305" s="3">
        <v>0</v>
      </c>
      <c r="M305" s="3">
        <v>0</v>
      </c>
      <c r="N305" s="3">
        <v>0</v>
      </c>
    </row>
    <row r="306" spans="1:15" x14ac:dyDescent="0.25">
      <c r="A306" s="2" t="s">
        <v>130</v>
      </c>
      <c r="B306" s="2">
        <v>2</v>
      </c>
      <c r="C306" s="8">
        <v>0</v>
      </c>
      <c r="D306" s="8">
        <v>1</v>
      </c>
      <c r="E306" s="1">
        <v>43784</v>
      </c>
      <c r="F306" s="3">
        <v>9</v>
      </c>
      <c r="G306" s="2" t="s">
        <v>17</v>
      </c>
      <c r="H306" s="8">
        <v>1</v>
      </c>
      <c r="I306" s="3">
        <v>116</v>
      </c>
      <c r="J306" s="3">
        <v>11</v>
      </c>
      <c r="K306" s="2">
        <f t="shared" si="4"/>
        <v>36.746162071488619</v>
      </c>
      <c r="L306" s="3">
        <v>0</v>
      </c>
      <c r="M306" s="3">
        <v>0</v>
      </c>
      <c r="N306" s="3">
        <v>0</v>
      </c>
    </row>
    <row r="307" spans="1:15" x14ac:dyDescent="0.25">
      <c r="A307" s="2" t="s">
        <v>130</v>
      </c>
      <c r="B307" s="2">
        <v>2</v>
      </c>
      <c r="C307" s="8">
        <v>0</v>
      </c>
      <c r="D307" s="8">
        <v>1</v>
      </c>
      <c r="E307" s="1">
        <v>43784</v>
      </c>
      <c r="F307" s="3">
        <v>10</v>
      </c>
      <c r="G307" s="2" t="s">
        <v>17</v>
      </c>
      <c r="H307" s="8">
        <v>1</v>
      </c>
      <c r="I307" s="3">
        <v>79</v>
      </c>
      <c r="J307" s="3">
        <v>8</v>
      </c>
      <c r="K307" s="2">
        <f t="shared" si="4"/>
        <v>13.236577047124996</v>
      </c>
      <c r="L307" s="3">
        <v>0</v>
      </c>
      <c r="M307" s="3">
        <v>0</v>
      </c>
      <c r="N307" s="3">
        <v>0</v>
      </c>
      <c r="O307" s="2" t="s">
        <v>134</v>
      </c>
    </row>
    <row r="308" spans="1:15" x14ac:dyDescent="0.25">
      <c r="A308" s="2" t="s">
        <v>130</v>
      </c>
      <c r="B308" s="2">
        <v>2</v>
      </c>
      <c r="C308" s="8">
        <v>0</v>
      </c>
      <c r="D308" s="8">
        <v>1</v>
      </c>
      <c r="E308" s="1">
        <v>43784</v>
      </c>
      <c r="F308" s="3">
        <v>11</v>
      </c>
      <c r="G308" s="2" t="s">
        <v>17</v>
      </c>
      <c r="H308" s="8">
        <v>1</v>
      </c>
      <c r="I308" s="3">
        <v>117</v>
      </c>
      <c r="J308" s="3">
        <v>10</v>
      </c>
      <c r="K308" s="2">
        <f t="shared" si="4"/>
        <v>30.630528372500482</v>
      </c>
      <c r="L308" s="3">
        <v>0</v>
      </c>
      <c r="M308" s="3">
        <v>0</v>
      </c>
      <c r="N308" s="3">
        <v>0</v>
      </c>
    </row>
    <row r="309" spans="1:15" x14ac:dyDescent="0.25">
      <c r="A309" s="2" t="s">
        <v>130</v>
      </c>
      <c r="B309" s="2">
        <v>2</v>
      </c>
      <c r="C309" s="8">
        <v>0</v>
      </c>
      <c r="D309" s="8">
        <v>1</v>
      </c>
      <c r="E309" s="1">
        <v>43784</v>
      </c>
      <c r="F309" s="3">
        <v>12</v>
      </c>
      <c r="G309" s="2" t="s">
        <v>17</v>
      </c>
      <c r="H309" s="8">
        <v>1</v>
      </c>
      <c r="I309" s="3">
        <v>116</v>
      </c>
      <c r="J309" s="3">
        <v>10</v>
      </c>
      <c r="K309" s="2">
        <f t="shared" si="4"/>
        <v>30.368728984701335</v>
      </c>
      <c r="L309" s="3">
        <v>0</v>
      </c>
      <c r="M309" s="3">
        <v>0</v>
      </c>
      <c r="N309" s="3">
        <v>0</v>
      </c>
    </row>
    <row r="310" spans="1:15" x14ac:dyDescent="0.25">
      <c r="A310" s="2" t="s">
        <v>130</v>
      </c>
      <c r="B310" s="2">
        <v>2</v>
      </c>
      <c r="C310" s="8">
        <v>0</v>
      </c>
      <c r="D310" s="8">
        <v>1</v>
      </c>
      <c r="E310" s="1">
        <v>43784</v>
      </c>
      <c r="F310" s="3">
        <v>13</v>
      </c>
      <c r="G310" s="2" t="s">
        <v>17</v>
      </c>
      <c r="H310" s="8">
        <v>1</v>
      </c>
      <c r="I310" s="3">
        <v>127</v>
      </c>
      <c r="J310" s="3">
        <v>14</v>
      </c>
      <c r="K310" s="2">
        <f t="shared" si="4"/>
        <v>65.167103610964261</v>
      </c>
      <c r="L310" s="3">
        <v>0</v>
      </c>
      <c r="M310" s="3">
        <v>0</v>
      </c>
      <c r="N310" s="3">
        <v>0</v>
      </c>
    </row>
    <row r="311" spans="1:15" x14ac:dyDescent="0.25">
      <c r="A311" s="2" t="s">
        <v>130</v>
      </c>
      <c r="B311" s="2">
        <v>2</v>
      </c>
      <c r="C311" s="8">
        <v>0</v>
      </c>
      <c r="D311" s="8">
        <v>1</v>
      </c>
      <c r="E311" s="1">
        <v>43784</v>
      </c>
      <c r="F311" s="3">
        <v>14</v>
      </c>
      <c r="G311" s="2" t="s">
        <v>17</v>
      </c>
      <c r="H311" s="8">
        <v>1</v>
      </c>
      <c r="I311" s="3">
        <v>84</v>
      </c>
      <c r="J311" s="3">
        <v>8</v>
      </c>
      <c r="K311" s="2">
        <f t="shared" si="4"/>
        <v>14.074335088082277</v>
      </c>
      <c r="L311" s="3">
        <v>0</v>
      </c>
      <c r="M311" s="3">
        <v>0</v>
      </c>
      <c r="N311" s="3">
        <v>0</v>
      </c>
    </row>
    <row r="312" spans="1:15" x14ac:dyDescent="0.25">
      <c r="A312" s="2" t="s">
        <v>130</v>
      </c>
      <c r="B312" s="2">
        <v>2</v>
      </c>
      <c r="C312" s="8">
        <v>0</v>
      </c>
      <c r="D312" s="8">
        <v>1</v>
      </c>
      <c r="E312" s="1">
        <v>43784</v>
      </c>
      <c r="F312" s="3">
        <v>15</v>
      </c>
      <c r="G312" s="2" t="s">
        <v>17</v>
      </c>
      <c r="H312" s="8">
        <v>1</v>
      </c>
      <c r="I312" s="3">
        <v>95</v>
      </c>
      <c r="J312" s="3">
        <v>11</v>
      </c>
      <c r="K312" s="2">
        <f t="shared" si="4"/>
        <v>30.093839627512228</v>
      </c>
      <c r="L312" s="3">
        <v>0</v>
      </c>
      <c r="M312" s="3">
        <v>0</v>
      </c>
      <c r="N312" s="3">
        <v>0</v>
      </c>
    </row>
    <row r="313" spans="1:15" x14ac:dyDescent="0.25">
      <c r="A313" s="2" t="s">
        <v>130</v>
      </c>
      <c r="B313" s="2">
        <v>2</v>
      </c>
      <c r="C313" s="8">
        <v>0</v>
      </c>
      <c r="D313" s="8">
        <v>1</v>
      </c>
      <c r="E313" s="1">
        <v>43784</v>
      </c>
      <c r="F313" s="3">
        <v>16</v>
      </c>
      <c r="G313" s="2" t="s">
        <v>17</v>
      </c>
      <c r="H313" s="8">
        <v>1</v>
      </c>
      <c r="I313" s="3">
        <v>128</v>
      </c>
      <c r="J313" s="3">
        <v>15</v>
      </c>
      <c r="K313" s="2">
        <f t="shared" si="4"/>
        <v>75.398223686155035</v>
      </c>
      <c r="L313" s="3">
        <v>0</v>
      </c>
      <c r="M313" s="3">
        <v>0</v>
      </c>
      <c r="N313" s="3">
        <v>0</v>
      </c>
    </row>
    <row r="314" spans="1:15" x14ac:dyDescent="0.25">
      <c r="A314" s="2" t="s">
        <v>130</v>
      </c>
      <c r="B314" s="2">
        <v>2</v>
      </c>
      <c r="C314" s="8">
        <v>0</v>
      </c>
      <c r="D314" s="8">
        <v>1</v>
      </c>
      <c r="E314" s="1">
        <v>43784</v>
      </c>
      <c r="F314" s="3">
        <v>17</v>
      </c>
      <c r="G314" s="2" t="s">
        <v>17</v>
      </c>
      <c r="H314" s="8">
        <v>1</v>
      </c>
      <c r="I314" s="3">
        <v>80</v>
      </c>
      <c r="J314" s="3">
        <v>7.5</v>
      </c>
      <c r="K314" s="2">
        <f t="shared" si="4"/>
        <v>11.780972450961722</v>
      </c>
      <c r="L314" s="3">
        <v>0</v>
      </c>
      <c r="M314" s="3">
        <v>0</v>
      </c>
      <c r="N314" s="3">
        <v>0</v>
      </c>
    </row>
    <row r="315" spans="1:15" x14ac:dyDescent="0.25">
      <c r="A315" s="2" t="s">
        <v>130</v>
      </c>
      <c r="B315" s="2">
        <v>2</v>
      </c>
      <c r="C315" s="8">
        <v>0</v>
      </c>
      <c r="D315" s="8">
        <v>1</v>
      </c>
      <c r="E315" s="1">
        <v>43784</v>
      </c>
      <c r="F315" s="3">
        <v>18</v>
      </c>
      <c r="G315" s="2" t="s">
        <v>17</v>
      </c>
      <c r="H315" s="8">
        <v>1</v>
      </c>
      <c r="I315" s="3">
        <v>142</v>
      </c>
      <c r="J315" s="3">
        <v>18</v>
      </c>
      <c r="K315" s="2">
        <f t="shared" si="4"/>
        <v>120.44866233863269</v>
      </c>
      <c r="L315" s="3">
        <v>0</v>
      </c>
      <c r="M315" s="3">
        <v>0</v>
      </c>
      <c r="N315" s="3">
        <v>0</v>
      </c>
    </row>
    <row r="316" spans="1:15" x14ac:dyDescent="0.25">
      <c r="A316" s="2" t="s">
        <v>130</v>
      </c>
      <c r="B316" s="2">
        <v>2</v>
      </c>
      <c r="C316" s="8">
        <v>0</v>
      </c>
      <c r="D316" s="8">
        <v>1</v>
      </c>
      <c r="E316" s="1">
        <v>43784</v>
      </c>
      <c r="F316" s="3">
        <v>19</v>
      </c>
      <c r="G316" s="2" t="s">
        <v>17</v>
      </c>
      <c r="H316" s="8">
        <v>1</v>
      </c>
      <c r="I316" s="3">
        <v>88</v>
      </c>
      <c r="J316" s="3">
        <v>12</v>
      </c>
      <c r="K316" s="2">
        <f t="shared" si="4"/>
        <v>33.175218421908205</v>
      </c>
      <c r="L316" s="3">
        <v>0</v>
      </c>
      <c r="M316" s="3">
        <v>0</v>
      </c>
      <c r="N316" s="3">
        <v>0</v>
      </c>
    </row>
    <row r="317" spans="1:15" x14ac:dyDescent="0.25">
      <c r="A317" s="2" t="s">
        <v>130</v>
      </c>
      <c r="B317" s="2">
        <v>2</v>
      </c>
      <c r="C317" s="8">
        <v>0</v>
      </c>
      <c r="D317" s="8">
        <v>1</v>
      </c>
      <c r="E317" s="1">
        <v>43784</v>
      </c>
      <c r="F317" s="3">
        <v>20</v>
      </c>
      <c r="G317" s="2" t="s">
        <v>17</v>
      </c>
      <c r="H317" s="8">
        <v>1</v>
      </c>
      <c r="I317" s="3">
        <v>93</v>
      </c>
      <c r="J317" s="3">
        <v>10</v>
      </c>
      <c r="K317" s="2">
        <f t="shared" si="4"/>
        <v>24.347343065320896</v>
      </c>
      <c r="L317" s="3">
        <v>0</v>
      </c>
      <c r="M317" s="3">
        <v>0</v>
      </c>
      <c r="N317" s="3">
        <v>0</v>
      </c>
    </row>
    <row r="318" spans="1:15" x14ac:dyDescent="0.25">
      <c r="A318" s="2" t="s">
        <v>130</v>
      </c>
      <c r="B318" s="2">
        <v>2</v>
      </c>
      <c r="C318" s="8">
        <v>0</v>
      </c>
      <c r="D318" s="8">
        <v>1</v>
      </c>
      <c r="E318" s="1">
        <v>43784</v>
      </c>
      <c r="F318" s="3">
        <v>21</v>
      </c>
      <c r="G318" s="2" t="s">
        <v>17</v>
      </c>
      <c r="H318" s="8">
        <v>1</v>
      </c>
      <c r="I318" s="3">
        <v>80</v>
      </c>
      <c r="J318" s="3">
        <v>9.5</v>
      </c>
      <c r="K318" s="2">
        <f t="shared" si="4"/>
        <v>18.901915799098585</v>
      </c>
      <c r="L318" s="3">
        <v>0</v>
      </c>
      <c r="M318" s="3">
        <v>0</v>
      </c>
      <c r="N318" s="3">
        <v>0</v>
      </c>
    </row>
    <row r="319" spans="1:15" x14ac:dyDescent="0.25">
      <c r="A319" s="2" t="s">
        <v>130</v>
      </c>
      <c r="B319" s="2">
        <v>3</v>
      </c>
      <c r="C319" s="8">
        <v>0</v>
      </c>
      <c r="D319" s="8">
        <v>0</v>
      </c>
      <c r="E319" s="1">
        <v>43784</v>
      </c>
      <c r="F319" s="3">
        <v>1</v>
      </c>
      <c r="G319" s="2" t="s">
        <v>17</v>
      </c>
      <c r="H319" s="8">
        <v>1</v>
      </c>
      <c r="I319" s="3">
        <v>75</v>
      </c>
      <c r="J319" s="3">
        <v>10</v>
      </c>
      <c r="K319" s="2">
        <f t="shared" si="4"/>
        <v>19.634954084936208</v>
      </c>
      <c r="L319" s="3">
        <v>0</v>
      </c>
      <c r="M319" s="3">
        <v>0</v>
      </c>
      <c r="N319" s="3">
        <v>0</v>
      </c>
    </row>
    <row r="320" spans="1:15" x14ac:dyDescent="0.25">
      <c r="A320" s="2" t="s">
        <v>130</v>
      </c>
      <c r="B320" s="2">
        <v>3</v>
      </c>
      <c r="C320" s="8">
        <v>0</v>
      </c>
      <c r="D320" s="8">
        <v>0</v>
      </c>
      <c r="E320" s="1">
        <v>43784</v>
      </c>
      <c r="F320" s="3">
        <v>2</v>
      </c>
      <c r="G320" s="2" t="s">
        <v>17</v>
      </c>
      <c r="H320" s="8">
        <v>1</v>
      </c>
      <c r="I320" s="3">
        <v>71</v>
      </c>
      <c r="J320" s="3">
        <v>10</v>
      </c>
      <c r="K320" s="2">
        <f t="shared" si="4"/>
        <v>18.587756533739611</v>
      </c>
      <c r="L320" s="3">
        <v>0</v>
      </c>
      <c r="M320" s="3">
        <v>0</v>
      </c>
      <c r="N320" s="3">
        <v>0</v>
      </c>
    </row>
    <row r="321" spans="1:15" x14ac:dyDescent="0.25">
      <c r="A321" s="2" t="s">
        <v>130</v>
      </c>
      <c r="B321" s="2">
        <v>3</v>
      </c>
      <c r="C321" s="8">
        <v>0</v>
      </c>
      <c r="D321" s="8">
        <v>0</v>
      </c>
      <c r="E321" s="1">
        <v>43784</v>
      </c>
      <c r="F321" s="3">
        <v>3</v>
      </c>
      <c r="G321" s="2" t="s">
        <v>17</v>
      </c>
      <c r="H321" s="8">
        <v>1</v>
      </c>
      <c r="I321" s="3">
        <v>71</v>
      </c>
      <c r="J321" s="3">
        <v>15</v>
      </c>
      <c r="K321" s="2">
        <f t="shared" si="4"/>
        <v>41.822452200914121</v>
      </c>
      <c r="L321" s="3">
        <v>0</v>
      </c>
      <c r="M321" s="3">
        <v>0</v>
      </c>
      <c r="N321" s="3">
        <v>0</v>
      </c>
    </row>
    <row r="322" spans="1:15" x14ac:dyDescent="0.25">
      <c r="A322" s="2" t="s">
        <v>130</v>
      </c>
      <c r="B322" s="2">
        <v>3</v>
      </c>
      <c r="C322" s="8">
        <v>0</v>
      </c>
      <c r="D322" s="8">
        <v>0</v>
      </c>
      <c r="E322" s="1">
        <v>43784</v>
      </c>
      <c r="F322" s="3">
        <v>4</v>
      </c>
      <c r="G322" s="2" t="s">
        <v>17</v>
      </c>
      <c r="H322" s="8">
        <v>1</v>
      </c>
      <c r="I322" s="3">
        <v>71</v>
      </c>
      <c r="J322" s="3">
        <v>12.5</v>
      </c>
      <c r="K322" s="2">
        <f t="shared" ref="K322:K385" si="5">(I322*PI()*(J322/20)*(J322/20))/3</f>
        <v>29.04336958396814</v>
      </c>
      <c r="L322" s="3">
        <v>0</v>
      </c>
      <c r="M322" s="3">
        <v>0</v>
      </c>
      <c r="N322" s="3">
        <v>1</v>
      </c>
    </row>
    <row r="323" spans="1:15" x14ac:dyDescent="0.25">
      <c r="A323" s="2" t="s">
        <v>130</v>
      </c>
      <c r="B323" s="2">
        <v>3</v>
      </c>
      <c r="C323" s="8">
        <v>0</v>
      </c>
      <c r="D323" s="8">
        <v>0</v>
      </c>
      <c r="E323" s="1">
        <v>43784</v>
      </c>
      <c r="F323" s="3">
        <v>5</v>
      </c>
      <c r="G323" s="2" t="s">
        <v>17</v>
      </c>
      <c r="H323" s="8">
        <v>1</v>
      </c>
      <c r="I323" s="3">
        <v>70</v>
      </c>
      <c r="J323" s="3">
        <v>20</v>
      </c>
      <c r="K323" s="2">
        <f t="shared" si="5"/>
        <v>73.303828583761842</v>
      </c>
      <c r="L323" s="3">
        <v>0</v>
      </c>
      <c r="M323" s="3">
        <v>0</v>
      </c>
      <c r="N323" s="3">
        <v>0</v>
      </c>
    </row>
    <row r="324" spans="1:15" x14ac:dyDescent="0.25">
      <c r="A324" s="2" t="s">
        <v>130</v>
      </c>
      <c r="B324" s="2">
        <v>3</v>
      </c>
      <c r="C324" s="8">
        <v>0</v>
      </c>
      <c r="D324" s="8">
        <v>0</v>
      </c>
      <c r="E324" s="1">
        <v>43784</v>
      </c>
      <c r="F324" s="3">
        <v>6</v>
      </c>
      <c r="G324" s="2" t="s">
        <v>17</v>
      </c>
      <c r="H324" s="8">
        <v>1</v>
      </c>
      <c r="I324" s="3">
        <v>30</v>
      </c>
      <c r="J324" s="3">
        <v>13</v>
      </c>
      <c r="K324" s="2">
        <f t="shared" si="5"/>
        <v>13.273228961416876</v>
      </c>
      <c r="L324" s="3">
        <v>0</v>
      </c>
      <c r="M324" s="3">
        <v>0</v>
      </c>
      <c r="N324" s="3">
        <v>0</v>
      </c>
    </row>
    <row r="325" spans="1:15" x14ac:dyDescent="0.25">
      <c r="A325" s="2" t="s">
        <v>130</v>
      </c>
      <c r="B325" s="2">
        <v>3</v>
      </c>
      <c r="C325" s="8">
        <v>0</v>
      </c>
      <c r="D325" s="8">
        <v>0</v>
      </c>
      <c r="E325" s="1">
        <v>43784</v>
      </c>
      <c r="F325" s="3">
        <v>7</v>
      </c>
      <c r="G325" s="2" t="s">
        <v>17</v>
      </c>
      <c r="H325" s="8">
        <v>1</v>
      </c>
      <c r="I325" s="3">
        <v>59</v>
      </c>
      <c r="J325" s="3">
        <v>5</v>
      </c>
      <c r="K325" s="2">
        <f t="shared" si="5"/>
        <v>3.8615409700374541</v>
      </c>
      <c r="L325" s="3">
        <v>0</v>
      </c>
      <c r="M325" s="3">
        <v>0</v>
      </c>
      <c r="N325" s="3">
        <v>1</v>
      </c>
    </row>
    <row r="326" spans="1:15" x14ac:dyDescent="0.25">
      <c r="A326" s="2" t="s">
        <v>130</v>
      </c>
      <c r="B326" s="2">
        <v>3</v>
      </c>
      <c r="C326" s="8">
        <v>0</v>
      </c>
      <c r="D326" s="8">
        <v>0</v>
      </c>
      <c r="E326" s="1">
        <v>43784</v>
      </c>
      <c r="F326" s="3">
        <v>8</v>
      </c>
      <c r="G326" s="2" t="s">
        <v>17</v>
      </c>
      <c r="H326" s="8">
        <v>1</v>
      </c>
      <c r="I326" s="3">
        <v>70</v>
      </c>
      <c r="J326" s="3">
        <v>19</v>
      </c>
      <c r="K326" s="2">
        <f t="shared" si="5"/>
        <v>66.156705296845047</v>
      </c>
      <c r="L326" s="3">
        <v>0</v>
      </c>
      <c r="M326" s="3">
        <v>0</v>
      </c>
      <c r="N326" s="3">
        <v>0</v>
      </c>
    </row>
    <row r="327" spans="1:15" x14ac:dyDescent="0.25">
      <c r="A327" s="2" t="s">
        <v>130</v>
      </c>
      <c r="B327" s="2">
        <v>3</v>
      </c>
      <c r="C327" s="8">
        <v>0</v>
      </c>
      <c r="D327" s="8">
        <v>0</v>
      </c>
      <c r="E327" s="1">
        <v>43784</v>
      </c>
      <c r="F327" s="3">
        <v>9</v>
      </c>
      <c r="G327" s="2" t="s">
        <v>17</v>
      </c>
      <c r="H327" s="8">
        <v>1</v>
      </c>
      <c r="I327" s="3">
        <v>44</v>
      </c>
      <c r="J327" s="3">
        <v>19</v>
      </c>
      <c r="K327" s="2">
        <f t="shared" si="5"/>
        <v>41.584214758016884</v>
      </c>
      <c r="L327" s="3">
        <v>0</v>
      </c>
      <c r="M327" s="3">
        <v>0</v>
      </c>
      <c r="N327" s="14">
        <v>1</v>
      </c>
      <c r="O327" s="2" t="s">
        <v>135</v>
      </c>
    </row>
    <row r="328" spans="1:15" x14ac:dyDescent="0.25">
      <c r="A328" s="2" t="s">
        <v>130</v>
      </c>
      <c r="B328" s="2">
        <v>3</v>
      </c>
      <c r="C328" s="8">
        <v>0</v>
      </c>
      <c r="D328" s="8">
        <v>0</v>
      </c>
      <c r="E328" s="1">
        <v>43784</v>
      </c>
      <c r="F328" s="3">
        <v>10</v>
      </c>
      <c r="G328" s="2" t="s">
        <v>17</v>
      </c>
      <c r="H328" s="8">
        <v>1</v>
      </c>
      <c r="I328" s="3">
        <v>87</v>
      </c>
      <c r="J328" s="3">
        <v>10</v>
      </c>
      <c r="K328" s="2">
        <f t="shared" si="5"/>
        <v>22.776546738525997</v>
      </c>
      <c r="L328" s="3">
        <v>0</v>
      </c>
      <c r="M328" s="3">
        <v>0</v>
      </c>
      <c r="N328" s="3">
        <v>0</v>
      </c>
    </row>
    <row r="329" spans="1:15" x14ac:dyDescent="0.25">
      <c r="A329" s="2" t="s">
        <v>130</v>
      </c>
      <c r="B329" s="2">
        <v>3</v>
      </c>
      <c r="C329" s="8">
        <v>0</v>
      </c>
      <c r="D329" s="8">
        <v>0</v>
      </c>
      <c r="E329" s="1">
        <v>43784</v>
      </c>
      <c r="F329" s="3">
        <v>11</v>
      </c>
      <c r="G329" s="2" t="s">
        <v>17</v>
      </c>
      <c r="H329" s="8">
        <v>1</v>
      </c>
      <c r="I329" s="3">
        <v>42</v>
      </c>
      <c r="J329" s="3">
        <v>12</v>
      </c>
      <c r="K329" s="2">
        <f t="shared" si="5"/>
        <v>15.833626974092558</v>
      </c>
      <c r="L329" s="3">
        <v>0</v>
      </c>
      <c r="M329" s="3">
        <v>0</v>
      </c>
      <c r="N329" s="3">
        <v>0</v>
      </c>
    </row>
    <row r="330" spans="1:15" x14ac:dyDescent="0.25">
      <c r="A330" s="2" t="s">
        <v>130</v>
      </c>
      <c r="B330" s="2">
        <v>3</v>
      </c>
      <c r="C330" s="8">
        <v>0</v>
      </c>
      <c r="D330" s="8">
        <v>0</v>
      </c>
      <c r="E330" s="1">
        <v>43784</v>
      </c>
      <c r="F330" s="3">
        <v>12</v>
      </c>
      <c r="G330" s="2" t="s">
        <v>17</v>
      </c>
      <c r="H330" s="8">
        <v>1</v>
      </c>
      <c r="I330" s="3">
        <v>43</v>
      </c>
      <c r="J330" s="3">
        <v>4</v>
      </c>
      <c r="K330" s="2">
        <f t="shared" si="5"/>
        <v>1.8011797880581482</v>
      </c>
      <c r="L330" s="3">
        <v>0</v>
      </c>
      <c r="M330" s="3">
        <v>0</v>
      </c>
      <c r="N330" s="3">
        <v>1</v>
      </c>
    </row>
    <row r="331" spans="1:15" x14ac:dyDescent="0.25">
      <c r="A331" s="2" t="s">
        <v>130</v>
      </c>
      <c r="B331" s="2">
        <v>3</v>
      </c>
      <c r="C331" s="8">
        <v>0</v>
      </c>
      <c r="D331" s="8">
        <v>0</v>
      </c>
      <c r="E331" s="1">
        <v>43784</v>
      </c>
      <c r="F331" s="3">
        <v>13</v>
      </c>
      <c r="G331" s="2" t="s">
        <v>17</v>
      </c>
      <c r="H331" s="8">
        <v>1</v>
      </c>
      <c r="I331" s="3">
        <v>60</v>
      </c>
      <c r="J331" s="3">
        <v>7</v>
      </c>
      <c r="K331" s="2">
        <f t="shared" si="5"/>
        <v>7.6969020012949914</v>
      </c>
      <c r="L331" s="3">
        <v>0</v>
      </c>
      <c r="M331" s="3">
        <v>0</v>
      </c>
      <c r="N331" s="3">
        <v>1</v>
      </c>
    </row>
    <row r="332" spans="1:15" x14ac:dyDescent="0.25">
      <c r="A332" s="2" t="s">
        <v>130</v>
      </c>
      <c r="B332" s="2">
        <v>3</v>
      </c>
      <c r="C332" s="8">
        <v>0</v>
      </c>
      <c r="D332" s="8">
        <v>0</v>
      </c>
      <c r="E332" s="1">
        <v>43784</v>
      </c>
      <c r="F332" s="3">
        <v>14</v>
      </c>
      <c r="G332" s="2" t="s">
        <v>17</v>
      </c>
      <c r="H332" s="8">
        <v>1</v>
      </c>
      <c r="I332" s="3">
        <v>65</v>
      </c>
      <c r="J332" s="3">
        <v>9</v>
      </c>
      <c r="K332" s="2">
        <f t="shared" si="5"/>
        <v>13.783737767625219</v>
      </c>
      <c r="L332" s="3">
        <v>0</v>
      </c>
      <c r="M332" s="3">
        <v>0</v>
      </c>
      <c r="N332" s="3">
        <v>0</v>
      </c>
    </row>
    <row r="333" spans="1:15" x14ac:dyDescent="0.25">
      <c r="A333" s="2" t="s">
        <v>130</v>
      </c>
      <c r="B333" s="2">
        <v>3</v>
      </c>
      <c r="C333" s="8">
        <v>0</v>
      </c>
      <c r="D333" s="8">
        <v>0</v>
      </c>
      <c r="E333" s="1">
        <v>43784</v>
      </c>
      <c r="F333" s="3">
        <v>15</v>
      </c>
      <c r="G333" s="2" t="s">
        <v>17</v>
      </c>
      <c r="H333" s="8">
        <v>1</v>
      </c>
      <c r="I333" s="3">
        <v>95</v>
      </c>
      <c r="J333" s="3">
        <v>25</v>
      </c>
      <c r="K333" s="2">
        <f t="shared" si="5"/>
        <v>155.443386505745</v>
      </c>
      <c r="L333" s="3">
        <v>0</v>
      </c>
      <c r="M333" s="3">
        <v>0</v>
      </c>
      <c r="N333" s="3">
        <v>0</v>
      </c>
    </row>
    <row r="334" spans="1:15" x14ac:dyDescent="0.25">
      <c r="A334" s="2" t="s">
        <v>130</v>
      </c>
      <c r="B334" s="2">
        <v>3</v>
      </c>
      <c r="C334" s="8">
        <v>0</v>
      </c>
      <c r="D334" s="8">
        <v>0</v>
      </c>
      <c r="E334" s="1">
        <v>43784</v>
      </c>
      <c r="F334" s="3">
        <v>16</v>
      </c>
      <c r="G334" s="2" t="s">
        <v>17</v>
      </c>
      <c r="H334" s="8">
        <v>1</v>
      </c>
      <c r="I334" s="3">
        <v>57</v>
      </c>
      <c r="J334" s="3">
        <v>6.5</v>
      </c>
      <c r="K334" s="2">
        <f t="shared" si="5"/>
        <v>6.3047837566730154</v>
      </c>
      <c r="L334" s="3">
        <v>0</v>
      </c>
      <c r="M334" s="3">
        <v>0</v>
      </c>
      <c r="N334" s="3">
        <v>0</v>
      </c>
    </row>
    <row r="335" spans="1:15" x14ac:dyDescent="0.25">
      <c r="A335" s="2" t="s">
        <v>130</v>
      </c>
      <c r="B335" s="2">
        <v>3</v>
      </c>
      <c r="C335" s="8">
        <v>0</v>
      </c>
      <c r="D335" s="8">
        <v>0</v>
      </c>
      <c r="E335" s="1">
        <v>43784</v>
      </c>
      <c r="F335" s="3">
        <v>17</v>
      </c>
      <c r="G335" s="2" t="s">
        <v>17</v>
      </c>
      <c r="H335" s="8">
        <v>1</v>
      </c>
      <c r="I335" s="3">
        <v>60</v>
      </c>
      <c r="J335" s="3">
        <v>9</v>
      </c>
      <c r="K335" s="2">
        <f t="shared" si="5"/>
        <v>12.723450247038663</v>
      </c>
      <c r="L335" s="3">
        <v>0</v>
      </c>
      <c r="M335" s="3">
        <v>0</v>
      </c>
      <c r="N335" s="3">
        <v>0</v>
      </c>
    </row>
    <row r="336" spans="1:15" x14ac:dyDescent="0.25">
      <c r="A336" s="2" t="s">
        <v>130</v>
      </c>
      <c r="B336" s="2">
        <v>3</v>
      </c>
      <c r="C336" s="8">
        <v>0</v>
      </c>
      <c r="D336" s="8">
        <v>0</v>
      </c>
      <c r="E336" s="1">
        <v>43784</v>
      </c>
      <c r="F336" s="3">
        <v>18</v>
      </c>
      <c r="G336" s="2" t="s">
        <v>17</v>
      </c>
      <c r="H336" s="8">
        <v>1</v>
      </c>
      <c r="I336" s="3">
        <v>64</v>
      </c>
      <c r="J336" s="3">
        <v>7</v>
      </c>
      <c r="K336" s="2">
        <f t="shared" si="5"/>
        <v>8.2100288013813252</v>
      </c>
      <c r="L336" s="3">
        <v>0</v>
      </c>
      <c r="M336" s="3">
        <v>0</v>
      </c>
      <c r="N336" s="3">
        <v>1</v>
      </c>
    </row>
    <row r="337" spans="1:15" x14ac:dyDescent="0.25">
      <c r="A337" s="2" t="s">
        <v>130</v>
      </c>
      <c r="B337" s="2">
        <v>3</v>
      </c>
      <c r="C337" s="8">
        <v>0</v>
      </c>
      <c r="D337" s="8">
        <v>0</v>
      </c>
      <c r="E337" s="1">
        <v>43784</v>
      </c>
      <c r="F337" s="3">
        <v>19</v>
      </c>
      <c r="G337" s="2" t="s">
        <v>17</v>
      </c>
      <c r="H337" s="8">
        <v>1</v>
      </c>
      <c r="I337" s="3">
        <v>78</v>
      </c>
      <c r="J337" s="3">
        <v>26</v>
      </c>
      <c r="K337" s="2">
        <f t="shared" si="5"/>
        <v>138.04158119873551</v>
      </c>
      <c r="L337" s="3">
        <v>0</v>
      </c>
      <c r="M337" s="3">
        <v>0</v>
      </c>
      <c r="N337" s="3">
        <v>0</v>
      </c>
    </row>
    <row r="338" spans="1:15" x14ac:dyDescent="0.25">
      <c r="A338" s="2" t="s">
        <v>130</v>
      </c>
      <c r="B338" s="2">
        <v>3</v>
      </c>
      <c r="C338" s="8">
        <v>0</v>
      </c>
      <c r="D338" s="8">
        <v>0</v>
      </c>
      <c r="E338" s="1">
        <v>43784</v>
      </c>
      <c r="F338" s="3">
        <v>20</v>
      </c>
      <c r="G338" s="2" t="s">
        <v>17</v>
      </c>
      <c r="H338" s="8">
        <v>1</v>
      </c>
      <c r="I338" s="3">
        <v>42</v>
      </c>
      <c r="J338" s="3">
        <v>11</v>
      </c>
      <c r="K338" s="2">
        <f t="shared" si="5"/>
        <v>13.304644887952778</v>
      </c>
      <c r="L338" s="3">
        <v>0</v>
      </c>
      <c r="M338" s="3">
        <v>0</v>
      </c>
      <c r="N338" s="3">
        <v>1</v>
      </c>
    </row>
    <row r="339" spans="1:15" x14ac:dyDescent="0.25">
      <c r="A339" s="2" t="s">
        <v>130</v>
      </c>
      <c r="B339" s="2">
        <v>3</v>
      </c>
      <c r="C339" s="8">
        <v>0</v>
      </c>
      <c r="D339" s="8">
        <v>0</v>
      </c>
      <c r="E339" s="1">
        <v>43784</v>
      </c>
      <c r="F339" s="3">
        <v>21</v>
      </c>
      <c r="G339" s="2" t="s">
        <v>17</v>
      </c>
      <c r="H339" s="8">
        <v>1</v>
      </c>
      <c r="I339" s="3">
        <v>86</v>
      </c>
      <c r="J339" s="3">
        <v>18</v>
      </c>
      <c r="K339" s="2">
        <f t="shared" si="5"/>
        <v>72.947781416354999</v>
      </c>
      <c r="L339" s="3">
        <v>0</v>
      </c>
      <c r="M339" s="3">
        <v>0</v>
      </c>
      <c r="N339" s="3">
        <v>0</v>
      </c>
    </row>
    <row r="340" spans="1:15" x14ac:dyDescent="0.25">
      <c r="A340" s="2" t="s">
        <v>130</v>
      </c>
      <c r="B340" s="2">
        <v>3</v>
      </c>
      <c r="C340" s="8">
        <v>0</v>
      </c>
      <c r="D340" s="8">
        <v>0</v>
      </c>
      <c r="E340" s="1">
        <v>43784</v>
      </c>
      <c r="F340" s="3">
        <v>22</v>
      </c>
      <c r="G340" s="2" t="s">
        <v>17</v>
      </c>
      <c r="H340" s="8">
        <v>1</v>
      </c>
      <c r="I340" s="3">
        <v>65</v>
      </c>
      <c r="J340" s="3">
        <v>16</v>
      </c>
      <c r="K340" s="2">
        <f t="shared" si="5"/>
        <v>43.563418129778476</v>
      </c>
      <c r="L340" s="3">
        <v>0</v>
      </c>
      <c r="M340" s="3">
        <v>0</v>
      </c>
      <c r="N340" s="3">
        <v>1</v>
      </c>
    </row>
    <row r="341" spans="1:15" x14ac:dyDescent="0.25">
      <c r="A341" s="2" t="s">
        <v>130</v>
      </c>
      <c r="B341" s="2">
        <v>3</v>
      </c>
      <c r="C341" s="8">
        <v>0</v>
      </c>
      <c r="D341" s="8">
        <v>0</v>
      </c>
      <c r="E341" s="1">
        <v>43784</v>
      </c>
      <c r="F341" s="3">
        <v>23</v>
      </c>
      <c r="G341" s="2" t="s">
        <v>17</v>
      </c>
      <c r="H341" s="8">
        <v>1</v>
      </c>
      <c r="I341" s="3">
        <v>104</v>
      </c>
      <c r="J341" s="3">
        <v>28</v>
      </c>
      <c r="K341" s="2">
        <f t="shared" si="5"/>
        <v>213.46074883591447</v>
      </c>
      <c r="L341" s="3">
        <v>0</v>
      </c>
      <c r="M341" s="3">
        <v>0</v>
      </c>
      <c r="N341" s="3">
        <v>1</v>
      </c>
    </row>
    <row r="342" spans="1:15" x14ac:dyDescent="0.25">
      <c r="A342" s="2" t="s">
        <v>16</v>
      </c>
      <c r="B342" s="2">
        <v>1</v>
      </c>
      <c r="C342" s="2">
        <v>1</v>
      </c>
      <c r="D342" s="2">
        <v>1</v>
      </c>
      <c r="E342" s="1">
        <v>43763</v>
      </c>
      <c r="F342" s="6">
        <v>54</v>
      </c>
      <c r="G342" s="6" t="s">
        <v>18</v>
      </c>
      <c r="H342" s="8">
        <v>2</v>
      </c>
      <c r="I342" s="6">
        <v>163</v>
      </c>
      <c r="J342" s="6">
        <v>26</v>
      </c>
      <c r="K342" s="6">
        <f t="shared" si="5"/>
        <v>288.47150942812681</v>
      </c>
      <c r="L342" s="2">
        <v>0</v>
      </c>
      <c r="M342" s="2">
        <v>0</v>
      </c>
      <c r="N342" s="2">
        <v>0</v>
      </c>
    </row>
    <row r="343" spans="1:15" x14ac:dyDescent="0.25">
      <c r="A343" s="2" t="s">
        <v>16</v>
      </c>
      <c r="B343" s="2">
        <v>1</v>
      </c>
      <c r="C343" s="2">
        <v>1</v>
      </c>
      <c r="D343" s="2">
        <v>1</v>
      </c>
      <c r="E343" s="1">
        <v>43763</v>
      </c>
      <c r="F343" s="6">
        <v>53</v>
      </c>
      <c r="G343" s="6" t="s">
        <v>18</v>
      </c>
      <c r="H343" s="8">
        <v>2</v>
      </c>
      <c r="I343" s="6">
        <v>164</v>
      </c>
      <c r="J343" s="6">
        <v>25</v>
      </c>
      <c r="K343" s="6">
        <f t="shared" si="5"/>
        <v>268.34437249412815</v>
      </c>
      <c r="L343" s="2">
        <v>0</v>
      </c>
      <c r="M343" s="2">
        <v>0</v>
      </c>
      <c r="N343" s="2">
        <v>0</v>
      </c>
    </row>
    <row r="344" spans="1:15" x14ac:dyDescent="0.25">
      <c r="A344" s="2" t="s">
        <v>16</v>
      </c>
      <c r="B344" s="2">
        <v>1</v>
      </c>
      <c r="C344" s="2">
        <v>1</v>
      </c>
      <c r="D344" s="2">
        <v>1</v>
      </c>
      <c r="E344" s="1">
        <v>43763</v>
      </c>
      <c r="F344" s="6">
        <v>44</v>
      </c>
      <c r="G344" s="6" t="s">
        <v>18</v>
      </c>
      <c r="H344" s="8">
        <v>2</v>
      </c>
      <c r="I344" s="6">
        <v>125</v>
      </c>
      <c r="J344" s="6">
        <v>18</v>
      </c>
      <c r="K344" s="6">
        <f t="shared" si="5"/>
        <v>106.02875205865553</v>
      </c>
      <c r="L344" s="2">
        <v>0</v>
      </c>
      <c r="M344" s="2">
        <v>0</v>
      </c>
      <c r="N344" s="2">
        <v>0</v>
      </c>
    </row>
    <row r="345" spans="1:15" x14ac:dyDescent="0.25">
      <c r="A345" s="2" t="s">
        <v>16</v>
      </c>
      <c r="B345" s="2">
        <v>1</v>
      </c>
      <c r="C345" s="2">
        <v>1</v>
      </c>
      <c r="D345" s="2">
        <v>1</v>
      </c>
      <c r="E345" s="1">
        <v>43763</v>
      </c>
      <c r="F345" s="6">
        <v>43</v>
      </c>
      <c r="G345" s="6" t="s">
        <v>18</v>
      </c>
      <c r="H345" s="8">
        <v>2</v>
      </c>
      <c r="I345" s="6">
        <v>72</v>
      </c>
      <c r="J345" s="6">
        <v>13</v>
      </c>
      <c r="K345" s="6">
        <f t="shared" si="5"/>
        <v>31.855749507400503</v>
      </c>
      <c r="L345" s="2">
        <v>0</v>
      </c>
      <c r="M345" s="2">
        <v>0</v>
      </c>
      <c r="N345" s="7">
        <v>1</v>
      </c>
    </row>
    <row r="346" spans="1:15" x14ac:dyDescent="0.25">
      <c r="A346" s="2" t="s">
        <v>16</v>
      </c>
      <c r="B346" s="2">
        <v>4</v>
      </c>
      <c r="C346" s="8">
        <v>1</v>
      </c>
      <c r="D346" s="8">
        <v>0</v>
      </c>
      <c r="E346" s="1">
        <v>43763</v>
      </c>
      <c r="F346" s="3">
        <v>42</v>
      </c>
      <c r="G346" s="2" t="s">
        <v>18</v>
      </c>
      <c r="H346" s="8">
        <v>2</v>
      </c>
      <c r="I346" s="3">
        <v>70</v>
      </c>
      <c r="J346" s="3">
        <v>12</v>
      </c>
      <c r="K346" s="2">
        <f t="shared" si="5"/>
        <v>26.389378290154255</v>
      </c>
      <c r="L346" s="2">
        <v>0</v>
      </c>
      <c r="M346" s="2">
        <v>0</v>
      </c>
      <c r="N346" s="2">
        <v>1</v>
      </c>
      <c r="O346" s="7"/>
    </row>
    <row r="347" spans="1:15" x14ac:dyDescent="0.25">
      <c r="A347" s="2" t="s">
        <v>16</v>
      </c>
      <c r="B347" s="2">
        <v>4</v>
      </c>
      <c r="C347" s="8">
        <v>1</v>
      </c>
      <c r="D347" s="8">
        <v>0</v>
      </c>
      <c r="E347" s="1">
        <v>43763</v>
      </c>
      <c r="F347" s="3">
        <v>39</v>
      </c>
      <c r="G347" s="2" t="s">
        <v>18</v>
      </c>
      <c r="H347" s="8">
        <v>2</v>
      </c>
      <c r="I347" s="3">
        <v>85</v>
      </c>
      <c r="J347" s="3">
        <v>8</v>
      </c>
      <c r="K347" s="2">
        <f t="shared" si="5"/>
        <v>14.241886696273731</v>
      </c>
      <c r="L347" s="2">
        <v>0</v>
      </c>
      <c r="M347" s="2">
        <v>0</v>
      </c>
      <c r="N347" s="2">
        <v>0</v>
      </c>
      <c r="O347" s="7"/>
    </row>
    <row r="348" spans="1:15" x14ac:dyDescent="0.25">
      <c r="A348" s="2" t="s">
        <v>16</v>
      </c>
      <c r="B348" s="2">
        <v>4</v>
      </c>
      <c r="C348" s="8">
        <v>1</v>
      </c>
      <c r="D348" s="8">
        <v>0</v>
      </c>
      <c r="E348" s="1">
        <v>43763</v>
      </c>
      <c r="F348" s="3">
        <v>41</v>
      </c>
      <c r="G348" s="2" t="s">
        <v>18</v>
      </c>
      <c r="H348" s="8">
        <v>2</v>
      </c>
      <c r="I348" s="3">
        <v>58</v>
      </c>
      <c r="J348" s="3">
        <v>3</v>
      </c>
      <c r="K348" s="2">
        <f t="shared" si="5"/>
        <v>1.36659280431156</v>
      </c>
      <c r="L348" s="2">
        <v>0</v>
      </c>
      <c r="M348" s="2">
        <v>0</v>
      </c>
      <c r="N348" s="2">
        <v>0</v>
      </c>
      <c r="O348" s="7"/>
    </row>
    <row r="349" spans="1:15" x14ac:dyDescent="0.25">
      <c r="A349" s="2" t="s">
        <v>16</v>
      </c>
      <c r="B349" s="2">
        <v>3</v>
      </c>
      <c r="C349" s="8">
        <v>0</v>
      </c>
      <c r="D349" s="8">
        <v>0</v>
      </c>
      <c r="E349" s="1">
        <v>43763</v>
      </c>
      <c r="F349" s="3">
        <v>43</v>
      </c>
      <c r="G349" s="3" t="s">
        <v>27</v>
      </c>
      <c r="H349" s="3">
        <v>3</v>
      </c>
      <c r="I349" s="3">
        <v>47</v>
      </c>
      <c r="J349" s="3">
        <v>10</v>
      </c>
      <c r="K349" s="2">
        <f t="shared" si="5"/>
        <v>12.304571226560023</v>
      </c>
      <c r="L349" s="3">
        <v>0</v>
      </c>
      <c r="M349" s="2">
        <v>0</v>
      </c>
      <c r="N349" s="2">
        <v>0</v>
      </c>
      <c r="O349" s="3"/>
    </row>
    <row r="350" spans="1:15" x14ac:dyDescent="0.25">
      <c r="A350" s="2" t="s">
        <v>16</v>
      </c>
      <c r="B350" s="2">
        <v>3</v>
      </c>
      <c r="C350" s="8">
        <v>0</v>
      </c>
      <c r="D350" s="8">
        <v>0</v>
      </c>
      <c r="E350" s="1">
        <v>43763</v>
      </c>
      <c r="F350" s="3">
        <v>40</v>
      </c>
      <c r="G350" s="3" t="s">
        <v>27</v>
      </c>
      <c r="H350" s="3">
        <v>3</v>
      </c>
      <c r="I350" s="3">
        <v>51</v>
      </c>
      <c r="J350" s="3">
        <v>8</v>
      </c>
      <c r="K350" s="2">
        <f t="shared" si="5"/>
        <v>8.5451320177642387</v>
      </c>
      <c r="L350" s="3">
        <v>0</v>
      </c>
      <c r="M350" s="2">
        <v>0</v>
      </c>
      <c r="N350" s="2">
        <v>0</v>
      </c>
      <c r="O350" s="3"/>
    </row>
    <row r="351" spans="1:15" x14ac:dyDescent="0.25">
      <c r="A351" s="2" t="s">
        <v>16</v>
      </c>
      <c r="B351" s="2">
        <v>3</v>
      </c>
      <c r="C351" s="8">
        <v>0</v>
      </c>
      <c r="D351" s="8">
        <v>0</v>
      </c>
      <c r="E351" s="1">
        <v>43763</v>
      </c>
      <c r="F351" s="3">
        <v>46</v>
      </c>
      <c r="G351" s="3" t="s">
        <v>27</v>
      </c>
      <c r="H351" s="3">
        <v>3</v>
      </c>
      <c r="I351" s="3">
        <v>56</v>
      </c>
      <c r="J351" s="3">
        <v>8</v>
      </c>
      <c r="K351" s="2">
        <f t="shared" si="5"/>
        <v>9.3828900587215163</v>
      </c>
      <c r="L351" s="3">
        <v>0</v>
      </c>
      <c r="M351" s="2">
        <v>0</v>
      </c>
      <c r="N351" s="2">
        <v>1</v>
      </c>
      <c r="O351" s="3"/>
    </row>
    <row r="352" spans="1:15" x14ac:dyDescent="0.25">
      <c r="A352" s="2" t="s">
        <v>16</v>
      </c>
      <c r="B352" s="2">
        <v>3</v>
      </c>
      <c r="C352" s="8">
        <v>0</v>
      </c>
      <c r="D352" s="8">
        <v>0</v>
      </c>
      <c r="E352" s="1">
        <v>43763</v>
      </c>
      <c r="F352" s="3">
        <v>42</v>
      </c>
      <c r="G352" s="3" t="s">
        <v>27</v>
      </c>
      <c r="H352" s="3">
        <v>3</v>
      </c>
      <c r="I352" s="3">
        <v>37</v>
      </c>
      <c r="J352" s="3">
        <v>7</v>
      </c>
      <c r="K352" s="2">
        <f t="shared" si="5"/>
        <v>4.7464229007985788</v>
      </c>
      <c r="L352" s="3">
        <v>0</v>
      </c>
      <c r="M352" s="2">
        <v>0</v>
      </c>
      <c r="N352" s="2">
        <v>0</v>
      </c>
      <c r="O352" s="3"/>
    </row>
    <row r="353" spans="1:15" x14ac:dyDescent="0.25">
      <c r="A353" s="2" t="s">
        <v>16</v>
      </c>
      <c r="B353" s="2">
        <v>4</v>
      </c>
      <c r="C353" s="8">
        <v>1</v>
      </c>
      <c r="D353" s="8">
        <v>0</v>
      </c>
      <c r="E353" s="1">
        <v>43763</v>
      </c>
      <c r="F353" s="3">
        <v>50</v>
      </c>
      <c r="G353" s="3" t="s">
        <v>27</v>
      </c>
      <c r="H353" s="3">
        <v>3</v>
      </c>
      <c r="I353" s="3">
        <v>58</v>
      </c>
      <c r="J353" s="3">
        <v>9</v>
      </c>
      <c r="K353" s="2">
        <f t="shared" si="5"/>
        <v>12.299335238804041</v>
      </c>
      <c r="L353" s="2">
        <v>0</v>
      </c>
      <c r="M353" s="2">
        <v>0</v>
      </c>
      <c r="N353" s="2">
        <v>0</v>
      </c>
      <c r="O353" s="7"/>
    </row>
    <row r="354" spans="1:15" x14ac:dyDescent="0.25">
      <c r="A354" s="2" t="s">
        <v>16</v>
      </c>
      <c r="B354" s="2">
        <v>1</v>
      </c>
      <c r="C354" s="2">
        <v>1</v>
      </c>
      <c r="D354" s="2">
        <v>1</v>
      </c>
      <c r="E354" s="1">
        <v>43763</v>
      </c>
      <c r="F354" s="6">
        <v>55</v>
      </c>
      <c r="G354" s="6" t="s">
        <v>19</v>
      </c>
      <c r="H354" s="5">
        <v>4</v>
      </c>
      <c r="I354" s="6">
        <v>125.5</v>
      </c>
      <c r="J354" s="6">
        <v>18</v>
      </c>
      <c r="K354" s="6">
        <f t="shared" si="5"/>
        <v>106.45286706689016</v>
      </c>
      <c r="L354" s="2">
        <v>0</v>
      </c>
      <c r="M354" s="2">
        <v>0</v>
      </c>
      <c r="N354" s="2">
        <v>0</v>
      </c>
    </row>
    <row r="355" spans="1:15" x14ac:dyDescent="0.25">
      <c r="A355" s="2" t="s">
        <v>16</v>
      </c>
      <c r="B355" s="2">
        <v>1</v>
      </c>
      <c r="C355" s="2">
        <v>1</v>
      </c>
      <c r="D355" s="2">
        <v>1</v>
      </c>
      <c r="E355" s="1">
        <v>43763</v>
      </c>
      <c r="F355" s="6">
        <v>49</v>
      </c>
      <c r="G355" s="6" t="s">
        <v>19</v>
      </c>
      <c r="H355" s="23">
        <v>4</v>
      </c>
      <c r="I355" s="6">
        <v>115</v>
      </c>
      <c r="J355" s="6">
        <v>18</v>
      </c>
      <c r="K355" s="6">
        <f t="shared" si="5"/>
        <v>97.546451893963081</v>
      </c>
      <c r="L355" s="2">
        <v>1</v>
      </c>
      <c r="M355" s="2">
        <v>0</v>
      </c>
      <c r="N355" s="2">
        <v>0</v>
      </c>
    </row>
    <row r="356" spans="1:15" x14ac:dyDescent="0.25">
      <c r="A356" s="2" t="s">
        <v>16</v>
      </c>
      <c r="B356" s="2">
        <v>1</v>
      </c>
      <c r="C356" s="2">
        <v>1</v>
      </c>
      <c r="D356" s="2">
        <v>1</v>
      </c>
      <c r="E356" s="1">
        <v>43763</v>
      </c>
      <c r="F356" s="6">
        <v>41</v>
      </c>
      <c r="G356" s="6" t="s">
        <v>19</v>
      </c>
      <c r="H356" s="5">
        <v>4</v>
      </c>
      <c r="I356" s="6">
        <v>93</v>
      </c>
      <c r="J356" s="6">
        <v>14</v>
      </c>
      <c r="K356" s="6">
        <f t="shared" si="5"/>
        <v>47.720792408028949</v>
      </c>
      <c r="L356" s="2">
        <v>0</v>
      </c>
      <c r="M356" s="2">
        <v>0</v>
      </c>
      <c r="N356" s="2">
        <v>1</v>
      </c>
    </row>
    <row r="357" spans="1:15" x14ac:dyDescent="0.25">
      <c r="A357" s="2" t="s">
        <v>16</v>
      </c>
      <c r="B357" s="2">
        <v>1</v>
      </c>
      <c r="C357" s="2">
        <v>1</v>
      </c>
      <c r="D357" s="2">
        <v>1</v>
      </c>
      <c r="E357" s="1">
        <v>43763</v>
      </c>
      <c r="F357" s="6">
        <v>57</v>
      </c>
      <c r="G357" s="6" t="s">
        <v>19</v>
      </c>
      <c r="H357" s="23">
        <v>4</v>
      </c>
      <c r="I357" s="6">
        <v>9</v>
      </c>
      <c r="J357" s="6">
        <v>4</v>
      </c>
      <c r="K357" s="6">
        <f t="shared" si="5"/>
        <v>0.37699111843077521</v>
      </c>
      <c r="L357" s="2">
        <v>0</v>
      </c>
      <c r="M357" s="2">
        <v>1</v>
      </c>
      <c r="N357" s="2">
        <v>0</v>
      </c>
    </row>
    <row r="358" spans="1:15" x14ac:dyDescent="0.25">
      <c r="A358" s="2" t="s">
        <v>16</v>
      </c>
      <c r="B358" s="2">
        <v>1</v>
      </c>
      <c r="C358" s="2">
        <v>1</v>
      </c>
      <c r="D358" s="2">
        <v>1</v>
      </c>
      <c r="E358" s="1">
        <v>43763</v>
      </c>
      <c r="F358" s="6">
        <v>52</v>
      </c>
      <c r="G358" s="6" t="s">
        <v>19</v>
      </c>
      <c r="H358" s="5">
        <v>4</v>
      </c>
      <c r="I358" s="6">
        <v>22</v>
      </c>
      <c r="J358" s="6">
        <v>3</v>
      </c>
      <c r="K358" s="6">
        <f t="shared" si="5"/>
        <v>0.51836278784231571</v>
      </c>
      <c r="L358" s="2">
        <v>0</v>
      </c>
      <c r="M358" s="2">
        <v>1</v>
      </c>
      <c r="N358" s="2">
        <v>0</v>
      </c>
    </row>
    <row r="359" spans="1:15" x14ac:dyDescent="0.25">
      <c r="A359" s="2" t="s">
        <v>16</v>
      </c>
      <c r="B359" s="2">
        <v>1</v>
      </c>
      <c r="C359" s="2">
        <v>1</v>
      </c>
      <c r="D359" s="2">
        <v>1</v>
      </c>
      <c r="E359" s="1">
        <v>43763</v>
      </c>
      <c r="F359" s="6">
        <v>59</v>
      </c>
      <c r="G359" s="6" t="s">
        <v>19</v>
      </c>
      <c r="H359" s="23">
        <v>4</v>
      </c>
      <c r="I359" s="6">
        <v>16</v>
      </c>
      <c r="J359" s="6">
        <v>2</v>
      </c>
      <c r="K359" s="6">
        <f t="shared" si="5"/>
        <v>0.16755160819145565</v>
      </c>
      <c r="L359" s="6">
        <v>0</v>
      </c>
      <c r="M359" s="6">
        <v>1</v>
      </c>
      <c r="N359" s="6">
        <v>0</v>
      </c>
    </row>
    <row r="360" spans="1:15" x14ac:dyDescent="0.25">
      <c r="A360" s="2" t="s">
        <v>16</v>
      </c>
      <c r="B360" s="2">
        <v>1</v>
      </c>
      <c r="C360" s="2">
        <v>1</v>
      </c>
      <c r="D360" s="2">
        <v>1</v>
      </c>
      <c r="E360" s="1">
        <v>43763</v>
      </c>
      <c r="F360" s="6">
        <v>38</v>
      </c>
      <c r="G360" s="6" t="s">
        <v>19</v>
      </c>
      <c r="H360" s="5">
        <v>4</v>
      </c>
      <c r="I360" s="6">
        <v>16</v>
      </c>
      <c r="J360" s="6">
        <v>1</v>
      </c>
      <c r="K360" s="6">
        <f t="shared" si="5"/>
        <v>4.1887902047863912E-2</v>
      </c>
      <c r="L360" s="6">
        <v>0</v>
      </c>
      <c r="M360" s="6">
        <v>1</v>
      </c>
      <c r="N360" s="6">
        <v>0</v>
      </c>
    </row>
    <row r="361" spans="1:15" x14ac:dyDescent="0.25">
      <c r="A361" s="2" t="s">
        <v>16</v>
      </c>
      <c r="B361" s="2">
        <v>2</v>
      </c>
      <c r="C361" s="2">
        <v>0</v>
      </c>
      <c r="D361" s="2">
        <v>1</v>
      </c>
      <c r="E361" s="1">
        <v>43763</v>
      </c>
      <c r="F361" s="3">
        <v>52</v>
      </c>
      <c r="G361" s="2" t="s">
        <v>19</v>
      </c>
      <c r="H361" s="23">
        <v>4</v>
      </c>
      <c r="I361" s="3">
        <v>42</v>
      </c>
      <c r="J361" s="3">
        <v>7</v>
      </c>
      <c r="K361" s="2">
        <f t="shared" si="5"/>
        <v>5.3878314009064949</v>
      </c>
      <c r="L361" s="2">
        <v>0</v>
      </c>
      <c r="M361" s="2">
        <v>1</v>
      </c>
      <c r="N361" s="2">
        <v>0</v>
      </c>
      <c r="O361" s="7"/>
    </row>
    <row r="362" spans="1:15" x14ac:dyDescent="0.25">
      <c r="A362" s="2" t="s">
        <v>16</v>
      </c>
      <c r="B362" s="2">
        <v>2</v>
      </c>
      <c r="C362" s="2">
        <v>0</v>
      </c>
      <c r="D362" s="2">
        <v>1</v>
      </c>
      <c r="E362" s="1">
        <v>43763</v>
      </c>
      <c r="F362" s="3">
        <v>43</v>
      </c>
      <c r="G362" s="2" t="s">
        <v>19</v>
      </c>
      <c r="H362" s="5">
        <v>4</v>
      </c>
      <c r="I362" s="3">
        <v>24</v>
      </c>
      <c r="J362" s="3">
        <v>4</v>
      </c>
      <c r="K362" s="2">
        <f t="shared" si="5"/>
        <v>1.0053096491487339</v>
      </c>
      <c r="L362" s="2">
        <v>0</v>
      </c>
      <c r="M362" s="2">
        <v>1</v>
      </c>
      <c r="N362" s="2">
        <v>0</v>
      </c>
      <c r="O362" s="7" t="s">
        <v>25</v>
      </c>
    </row>
    <row r="363" spans="1:15" x14ac:dyDescent="0.25">
      <c r="A363" s="2" t="s">
        <v>16</v>
      </c>
      <c r="B363" s="2">
        <v>2</v>
      </c>
      <c r="C363" s="2">
        <v>0</v>
      </c>
      <c r="D363" s="2">
        <v>1</v>
      </c>
      <c r="E363" s="1">
        <v>43763</v>
      </c>
      <c r="F363" s="3">
        <v>49</v>
      </c>
      <c r="G363" s="2" t="s">
        <v>19</v>
      </c>
      <c r="H363" s="23">
        <v>4</v>
      </c>
      <c r="I363" s="3">
        <v>24</v>
      </c>
      <c r="J363" s="3">
        <v>4</v>
      </c>
      <c r="K363" s="2">
        <f t="shared" si="5"/>
        <v>1.0053096491487339</v>
      </c>
      <c r="L363" s="2">
        <v>0</v>
      </c>
      <c r="M363" s="2">
        <v>1</v>
      </c>
      <c r="N363" s="2">
        <v>0</v>
      </c>
      <c r="O363" s="7"/>
    </row>
    <row r="364" spans="1:15" x14ac:dyDescent="0.25">
      <c r="A364" s="2" t="s">
        <v>16</v>
      </c>
      <c r="B364" s="2">
        <v>2</v>
      </c>
      <c r="C364" s="2">
        <v>0</v>
      </c>
      <c r="D364" s="2">
        <v>1</v>
      </c>
      <c r="E364" s="1">
        <v>43763</v>
      </c>
      <c r="F364" s="3">
        <v>39</v>
      </c>
      <c r="G364" s="2" t="s">
        <v>19</v>
      </c>
      <c r="H364" s="5">
        <v>4</v>
      </c>
      <c r="I364" s="3">
        <v>32</v>
      </c>
      <c r="J364" s="3">
        <v>3</v>
      </c>
      <c r="K364" s="2">
        <f t="shared" si="5"/>
        <v>0.75398223686155041</v>
      </c>
      <c r="L364" s="2">
        <v>0</v>
      </c>
      <c r="M364" s="2">
        <v>1</v>
      </c>
      <c r="N364" s="2">
        <v>0</v>
      </c>
      <c r="O364" s="7"/>
    </row>
    <row r="365" spans="1:15" x14ac:dyDescent="0.25">
      <c r="A365" s="2" t="s">
        <v>16</v>
      </c>
      <c r="B365" s="2">
        <v>2</v>
      </c>
      <c r="C365" s="2">
        <v>0</v>
      </c>
      <c r="D365" s="2">
        <v>1</v>
      </c>
      <c r="E365" s="1">
        <v>43763</v>
      </c>
      <c r="F365" s="3">
        <v>40</v>
      </c>
      <c r="G365" s="2" t="s">
        <v>19</v>
      </c>
      <c r="H365" s="23">
        <v>4</v>
      </c>
      <c r="I365" s="3">
        <v>24</v>
      </c>
      <c r="J365" s="3">
        <v>3</v>
      </c>
      <c r="K365" s="2">
        <f t="shared" si="5"/>
        <v>0.56548667764616278</v>
      </c>
      <c r="L365" s="2">
        <v>0</v>
      </c>
      <c r="M365" s="2">
        <v>1</v>
      </c>
      <c r="N365" s="2">
        <v>0</v>
      </c>
      <c r="O365" s="7"/>
    </row>
    <row r="366" spans="1:15" x14ac:dyDescent="0.25">
      <c r="A366" s="2" t="s">
        <v>16</v>
      </c>
      <c r="B366" s="2">
        <v>2</v>
      </c>
      <c r="C366" s="2">
        <v>0</v>
      </c>
      <c r="D366" s="2">
        <v>1</v>
      </c>
      <c r="E366" s="1">
        <v>43763</v>
      </c>
      <c r="F366" s="3">
        <v>41</v>
      </c>
      <c r="G366" s="2" t="s">
        <v>19</v>
      </c>
      <c r="H366" s="5">
        <v>4</v>
      </c>
      <c r="I366" s="3">
        <v>34.5</v>
      </c>
      <c r="J366" s="3">
        <v>3</v>
      </c>
      <c r="K366" s="2">
        <f t="shared" si="5"/>
        <v>0.81288709911635892</v>
      </c>
      <c r="L366" s="2">
        <v>0</v>
      </c>
      <c r="M366" s="2">
        <v>1</v>
      </c>
      <c r="N366" s="2">
        <v>0</v>
      </c>
      <c r="O366" s="7" t="s">
        <v>26</v>
      </c>
    </row>
    <row r="367" spans="1:15" x14ac:dyDescent="0.25">
      <c r="A367" s="2" t="s">
        <v>16</v>
      </c>
      <c r="B367" s="2">
        <v>2</v>
      </c>
      <c r="C367" s="2">
        <v>0</v>
      </c>
      <c r="D367" s="2">
        <v>1</v>
      </c>
      <c r="E367" s="1">
        <v>43763</v>
      </c>
      <c r="F367" s="3">
        <v>44</v>
      </c>
      <c r="G367" s="2" t="s">
        <v>19</v>
      </c>
      <c r="H367" s="23">
        <v>4</v>
      </c>
      <c r="I367" s="3">
        <v>19</v>
      </c>
      <c r="J367" s="3">
        <v>3</v>
      </c>
      <c r="K367" s="2">
        <f t="shared" si="5"/>
        <v>0.44767695313654543</v>
      </c>
      <c r="L367" s="2">
        <v>0</v>
      </c>
      <c r="M367" s="2">
        <v>1</v>
      </c>
      <c r="N367" s="2">
        <v>0</v>
      </c>
      <c r="O367" s="7"/>
    </row>
    <row r="368" spans="1:15" x14ac:dyDescent="0.25">
      <c r="A368" s="2" t="s">
        <v>16</v>
      </c>
      <c r="B368" s="2">
        <v>2</v>
      </c>
      <c r="C368" s="2">
        <v>0</v>
      </c>
      <c r="D368" s="2">
        <v>1</v>
      </c>
      <c r="E368" s="1">
        <v>43763</v>
      </c>
      <c r="F368" s="3">
        <v>53</v>
      </c>
      <c r="G368" s="2" t="s">
        <v>19</v>
      </c>
      <c r="H368" s="5">
        <v>4</v>
      </c>
      <c r="I368" s="3">
        <v>25</v>
      </c>
      <c r="J368" s="3">
        <v>3</v>
      </c>
      <c r="K368" s="2">
        <f t="shared" si="5"/>
        <v>0.58904862254808621</v>
      </c>
      <c r="L368" s="2">
        <v>0</v>
      </c>
      <c r="M368" s="2">
        <v>1</v>
      </c>
      <c r="N368" s="2">
        <v>0</v>
      </c>
      <c r="O368" s="7"/>
    </row>
    <row r="369" spans="1:15" x14ac:dyDescent="0.25">
      <c r="A369" s="2" t="s">
        <v>16</v>
      </c>
      <c r="B369" s="2">
        <v>2</v>
      </c>
      <c r="C369" s="2">
        <v>0</v>
      </c>
      <c r="D369" s="2">
        <v>1</v>
      </c>
      <c r="E369" s="1">
        <v>43763</v>
      </c>
      <c r="F369" s="3">
        <v>58</v>
      </c>
      <c r="G369" s="2" t="s">
        <v>19</v>
      </c>
      <c r="H369" s="23">
        <v>4</v>
      </c>
      <c r="I369" s="3">
        <v>21</v>
      </c>
      <c r="J369" s="3">
        <v>2</v>
      </c>
      <c r="K369" s="2">
        <f t="shared" si="5"/>
        <v>0.21991148575128558</v>
      </c>
      <c r="L369" s="2">
        <v>0</v>
      </c>
      <c r="M369" s="2">
        <v>1</v>
      </c>
      <c r="N369" s="2">
        <v>0</v>
      </c>
      <c r="O369" s="7"/>
    </row>
    <row r="370" spans="1:15" x14ac:dyDescent="0.25">
      <c r="A370" s="2" t="s">
        <v>16</v>
      </c>
      <c r="B370" s="2">
        <v>2</v>
      </c>
      <c r="C370" s="2">
        <v>0</v>
      </c>
      <c r="D370" s="2">
        <v>1</v>
      </c>
      <c r="E370" s="1">
        <v>43763</v>
      </c>
      <c r="F370" s="3">
        <v>42</v>
      </c>
      <c r="G370" s="2" t="s">
        <v>19</v>
      </c>
      <c r="H370" s="5">
        <v>4</v>
      </c>
      <c r="I370" s="3">
        <v>30</v>
      </c>
      <c r="J370" s="3">
        <v>2</v>
      </c>
      <c r="K370" s="2">
        <f t="shared" si="5"/>
        <v>0.31415926535897931</v>
      </c>
      <c r="L370" s="2">
        <v>0</v>
      </c>
      <c r="M370" s="2">
        <v>0</v>
      </c>
      <c r="N370" s="2">
        <v>0</v>
      </c>
      <c r="O370" s="7"/>
    </row>
    <row r="371" spans="1:15" x14ac:dyDescent="0.25">
      <c r="A371" s="2" t="s">
        <v>16</v>
      </c>
      <c r="B371" s="2">
        <v>2</v>
      </c>
      <c r="C371" s="2">
        <v>0</v>
      </c>
      <c r="D371" s="2">
        <v>1</v>
      </c>
      <c r="E371" s="1">
        <v>43763</v>
      </c>
      <c r="F371" s="3">
        <v>38</v>
      </c>
      <c r="G371" s="2" t="s">
        <v>19</v>
      </c>
      <c r="H371" s="23">
        <v>4</v>
      </c>
      <c r="I371" s="3">
        <v>12</v>
      </c>
      <c r="J371" s="3">
        <v>1</v>
      </c>
      <c r="K371" s="2">
        <f t="shared" si="5"/>
        <v>3.1415926535897934E-2</v>
      </c>
      <c r="L371" s="2">
        <v>0</v>
      </c>
      <c r="M371" s="2">
        <v>1</v>
      </c>
      <c r="N371" s="2">
        <v>0</v>
      </c>
      <c r="O371" s="7"/>
    </row>
    <row r="372" spans="1:15" x14ac:dyDescent="0.25">
      <c r="A372" s="2" t="s">
        <v>16</v>
      </c>
      <c r="B372" s="2">
        <v>2</v>
      </c>
      <c r="C372" s="2">
        <v>0</v>
      </c>
      <c r="D372" s="2">
        <v>1</v>
      </c>
      <c r="E372" s="1">
        <v>43763</v>
      </c>
      <c r="F372" s="3">
        <v>54</v>
      </c>
      <c r="G372" s="2" t="s">
        <v>19</v>
      </c>
      <c r="H372" s="5">
        <v>4</v>
      </c>
      <c r="I372" s="3">
        <v>17</v>
      </c>
      <c r="J372" s="3">
        <v>1</v>
      </c>
      <c r="K372" s="2">
        <f t="shared" si="5"/>
        <v>4.450589592585541E-2</v>
      </c>
      <c r="L372" s="2">
        <v>0</v>
      </c>
      <c r="M372" s="2">
        <v>1</v>
      </c>
      <c r="N372" s="2">
        <v>0</v>
      </c>
      <c r="O372" s="7"/>
    </row>
    <row r="373" spans="1:15" x14ac:dyDescent="0.25">
      <c r="A373" s="2" t="s">
        <v>16</v>
      </c>
      <c r="B373" s="2">
        <v>2</v>
      </c>
      <c r="C373" s="2">
        <v>0</v>
      </c>
      <c r="D373" s="2">
        <v>1</v>
      </c>
      <c r="E373" s="1">
        <v>43763</v>
      </c>
      <c r="F373" s="3">
        <v>55</v>
      </c>
      <c r="G373" s="2" t="s">
        <v>19</v>
      </c>
      <c r="H373" s="23">
        <v>4</v>
      </c>
      <c r="I373" s="3">
        <v>20</v>
      </c>
      <c r="J373" s="3">
        <v>1</v>
      </c>
      <c r="K373" s="2">
        <f t="shared" si="5"/>
        <v>5.2359877559829883E-2</v>
      </c>
      <c r="L373" s="2">
        <v>0</v>
      </c>
      <c r="M373" s="2">
        <v>1</v>
      </c>
      <c r="N373" s="2">
        <v>0</v>
      </c>
      <c r="O373" s="3"/>
    </row>
    <row r="374" spans="1:15" x14ac:dyDescent="0.25">
      <c r="A374" s="6" t="s">
        <v>16</v>
      </c>
      <c r="B374" s="2">
        <v>2</v>
      </c>
      <c r="C374" s="6">
        <v>0</v>
      </c>
      <c r="D374" s="6">
        <v>1</v>
      </c>
      <c r="E374" s="4">
        <v>43763</v>
      </c>
      <c r="F374" s="5">
        <v>59</v>
      </c>
      <c r="G374" s="6" t="s">
        <v>19</v>
      </c>
      <c r="H374" s="5">
        <v>4</v>
      </c>
      <c r="I374" s="5">
        <v>14</v>
      </c>
      <c r="J374" s="5">
        <v>1</v>
      </c>
      <c r="K374" s="6">
        <f t="shared" si="5"/>
        <v>3.6651914291880923E-2</v>
      </c>
      <c r="L374" s="6">
        <v>0</v>
      </c>
      <c r="M374" s="6">
        <v>1</v>
      </c>
      <c r="N374" s="6">
        <v>0</v>
      </c>
      <c r="O374" s="5"/>
    </row>
    <row r="375" spans="1:15" x14ac:dyDescent="0.25">
      <c r="A375" s="2" t="s">
        <v>16</v>
      </c>
      <c r="B375" s="2">
        <v>3</v>
      </c>
      <c r="C375" s="8">
        <v>0</v>
      </c>
      <c r="D375" s="8">
        <v>0</v>
      </c>
      <c r="E375" s="1">
        <v>43763</v>
      </c>
      <c r="F375" s="3">
        <v>41</v>
      </c>
      <c r="G375" s="2" t="s">
        <v>19</v>
      </c>
      <c r="H375" s="23">
        <v>4</v>
      </c>
      <c r="I375" s="3">
        <v>111</v>
      </c>
      <c r="J375" s="3">
        <v>20</v>
      </c>
      <c r="K375" s="2">
        <f t="shared" si="5"/>
        <v>116.23892818282235</v>
      </c>
      <c r="L375" s="3">
        <v>0</v>
      </c>
      <c r="M375" s="2">
        <v>0</v>
      </c>
      <c r="N375" s="3">
        <v>1</v>
      </c>
      <c r="O375" s="3"/>
    </row>
    <row r="376" spans="1:15" x14ac:dyDescent="0.25">
      <c r="A376" s="2" t="s">
        <v>16</v>
      </c>
      <c r="B376" s="2">
        <v>3</v>
      </c>
      <c r="C376" s="8">
        <v>0</v>
      </c>
      <c r="D376" s="8">
        <v>0</v>
      </c>
      <c r="E376" s="1">
        <v>43763</v>
      </c>
      <c r="F376" s="3">
        <v>48</v>
      </c>
      <c r="G376" s="2" t="s">
        <v>19</v>
      </c>
      <c r="H376" s="5">
        <v>4</v>
      </c>
      <c r="I376" s="3">
        <v>90</v>
      </c>
      <c r="J376" s="3">
        <v>15</v>
      </c>
      <c r="K376" s="2">
        <f t="shared" si="5"/>
        <v>53.014376029327764</v>
      </c>
      <c r="L376" s="3">
        <v>0</v>
      </c>
      <c r="M376" s="2">
        <v>0</v>
      </c>
      <c r="N376" s="2">
        <v>0</v>
      </c>
      <c r="O376" s="3"/>
    </row>
    <row r="377" spans="1:15" x14ac:dyDescent="0.25">
      <c r="A377" s="2" t="s">
        <v>16</v>
      </c>
      <c r="B377" s="2">
        <v>3</v>
      </c>
      <c r="C377" s="8">
        <v>0</v>
      </c>
      <c r="D377" s="8">
        <v>0</v>
      </c>
      <c r="E377" s="1">
        <v>43763</v>
      </c>
      <c r="F377" s="3">
        <v>47</v>
      </c>
      <c r="G377" s="2" t="s">
        <v>19</v>
      </c>
      <c r="H377" s="23">
        <v>4</v>
      </c>
      <c r="I377" s="3">
        <v>91</v>
      </c>
      <c r="J377" s="3">
        <v>8</v>
      </c>
      <c r="K377" s="2">
        <f t="shared" si="5"/>
        <v>15.247196345422465</v>
      </c>
      <c r="L377" s="3">
        <v>0</v>
      </c>
      <c r="M377" s="2">
        <v>0</v>
      </c>
      <c r="N377" s="2">
        <v>1</v>
      </c>
      <c r="O377" s="3"/>
    </row>
    <row r="378" spans="1:15" x14ac:dyDescent="0.25">
      <c r="A378" s="2" t="s">
        <v>16</v>
      </c>
      <c r="B378" s="2">
        <v>4</v>
      </c>
      <c r="C378" s="8">
        <v>1</v>
      </c>
      <c r="D378" s="8">
        <v>0</v>
      </c>
      <c r="E378" s="1">
        <v>43763</v>
      </c>
      <c r="F378" s="3">
        <v>46</v>
      </c>
      <c r="G378" s="2" t="s">
        <v>19</v>
      </c>
      <c r="H378" s="5">
        <v>4</v>
      </c>
      <c r="I378" s="3">
        <v>64</v>
      </c>
      <c r="J378" s="3">
        <v>14</v>
      </c>
      <c r="K378" s="2">
        <f t="shared" si="5"/>
        <v>32.840115205525301</v>
      </c>
      <c r="L378" s="2">
        <v>0</v>
      </c>
      <c r="M378" s="2">
        <v>0</v>
      </c>
      <c r="N378" s="7">
        <v>1</v>
      </c>
      <c r="O378" s="7"/>
    </row>
    <row r="379" spans="1:15" x14ac:dyDescent="0.25">
      <c r="A379" s="2" t="s">
        <v>16</v>
      </c>
      <c r="B379" s="2">
        <v>4</v>
      </c>
      <c r="C379" s="8">
        <v>1</v>
      </c>
      <c r="D379" s="8">
        <v>0</v>
      </c>
      <c r="E379" s="1">
        <v>43763</v>
      </c>
      <c r="F379" s="3">
        <v>43</v>
      </c>
      <c r="G379" s="2" t="s">
        <v>19</v>
      </c>
      <c r="H379" s="23">
        <v>4</v>
      </c>
      <c r="I379" s="3">
        <v>60</v>
      </c>
      <c r="J379" s="3">
        <v>10</v>
      </c>
      <c r="K379" s="2">
        <f t="shared" si="5"/>
        <v>15.707963267948964</v>
      </c>
      <c r="L379" s="2">
        <v>0</v>
      </c>
      <c r="M379" s="2">
        <v>0</v>
      </c>
      <c r="N379" s="2">
        <v>0</v>
      </c>
      <c r="O379" s="7"/>
    </row>
    <row r="380" spans="1:15" x14ac:dyDescent="0.25">
      <c r="A380" s="2" t="s">
        <v>16</v>
      </c>
      <c r="B380" s="2">
        <v>4</v>
      </c>
      <c r="C380" s="8">
        <v>1</v>
      </c>
      <c r="D380" s="8">
        <v>0</v>
      </c>
      <c r="E380" s="1">
        <v>43763</v>
      </c>
      <c r="F380" s="3">
        <v>45</v>
      </c>
      <c r="G380" s="2" t="s">
        <v>19</v>
      </c>
      <c r="H380" s="5">
        <v>4</v>
      </c>
      <c r="I380" s="3">
        <v>67</v>
      </c>
      <c r="J380" s="3">
        <v>10</v>
      </c>
      <c r="K380" s="2">
        <f t="shared" si="5"/>
        <v>17.540558982543011</v>
      </c>
      <c r="L380" s="2">
        <v>0</v>
      </c>
      <c r="M380" s="2">
        <v>0</v>
      </c>
      <c r="N380" s="2">
        <v>0</v>
      </c>
      <c r="O380" s="7"/>
    </row>
    <row r="381" spans="1:15" x14ac:dyDescent="0.25">
      <c r="A381" s="2" t="s">
        <v>16</v>
      </c>
      <c r="B381" s="2">
        <v>4</v>
      </c>
      <c r="C381" s="8">
        <v>1</v>
      </c>
      <c r="D381" s="8">
        <v>0</v>
      </c>
      <c r="E381" s="1">
        <v>43763</v>
      </c>
      <c r="F381" s="3">
        <v>51</v>
      </c>
      <c r="G381" s="2" t="s">
        <v>19</v>
      </c>
      <c r="H381" s="23">
        <v>4</v>
      </c>
      <c r="I381" s="3">
        <v>64</v>
      </c>
      <c r="J381" s="3">
        <v>9</v>
      </c>
      <c r="K381" s="2">
        <f t="shared" si="5"/>
        <v>13.571680263507908</v>
      </c>
      <c r="L381" s="2">
        <v>0</v>
      </c>
      <c r="M381" s="2">
        <v>0</v>
      </c>
      <c r="N381" s="2">
        <v>0</v>
      </c>
      <c r="O381" s="7"/>
    </row>
    <row r="382" spans="1:15" x14ac:dyDescent="0.25">
      <c r="A382" s="2" t="s">
        <v>16</v>
      </c>
      <c r="B382" s="2">
        <v>4</v>
      </c>
      <c r="C382" s="8">
        <v>1</v>
      </c>
      <c r="D382" s="8">
        <v>0</v>
      </c>
      <c r="E382" s="1">
        <v>43763</v>
      </c>
      <c r="F382" s="3">
        <v>40</v>
      </c>
      <c r="G382" s="2" t="s">
        <v>19</v>
      </c>
      <c r="H382" s="5">
        <v>4</v>
      </c>
      <c r="I382" s="3">
        <v>49</v>
      </c>
      <c r="J382" s="3">
        <v>8</v>
      </c>
      <c r="K382" s="2">
        <f t="shared" si="5"/>
        <v>8.210028801381327</v>
      </c>
      <c r="L382" s="2">
        <v>0</v>
      </c>
      <c r="M382" s="2">
        <v>0</v>
      </c>
      <c r="N382" s="2">
        <v>0</v>
      </c>
      <c r="O382" s="7"/>
    </row>
    <row r="383" spans="1:15" x14ac:dyDescent="0.25">
      <c r="A383" s="2" t="s">
        <v>16</v>
      </c>
      <c r="B383" s="2">
        <v>4</v>
      </c>
      <c r="C383" s="8">
        <v>1</v>
      </c>
      <c r="D383" s="8">
        <v>0</v>
      </c>
      <c r="E383" s="1">
        <v>43763</v>
      </c>
      <c r="F383" s="3">
        <v>38</v>
      </c>
      <c r="G383" s="2" t="s">
        <v>19</v>
      </c>
      <c r="H383" s="23">
        <v>4</v>
      </c>
      <c r="I383" s="3">
        <v>48</v>
      </c>
      <c r="J383" s="3">
        <v>6</v>
      </c>
      <c r="K383" s="2">
        <f t="shared" si="5"/>
        <v>4.5238934211693023</v>
      </c>
      <c r="L383" s="2">
        <v>0</v>
      </c>
      <c r="M383" s="2">
        <v>0</v>
      </c>
      <c r="N383" s="2">
        <v>0</v>
      </c>
      <c r="O383" s="7"/>
    </row>
    <row r="384" spans="1:15" x14ac:dyDescent="0.25">
      <c r="A384" s="2" t="s">
        <v>16</v>
      </c>
      <c r="B384" s="2">
        <v>4</v>
      </c>
      <c r="C384" s="8">
        <v>1</v>
      </c>
      <c r="D384" s="8">
        <v>0</v>
      </c>
      <c r="E384" s="1">
        <v>43763</v>
      </c>
      <c r="F384" s="3">
        <v>47</v>
      </c>
      <c r="G384" s="2" t="s">
        <v>19</v>
      </c>
      <c r="H384" s="5">
        <v>4</v>
      </c>
      <c r="I384" s="3">
        <v>27</v>
      </c>
      <c r="J384" s="3">
        <v>5</v>
      </c>
      <c r="K384" s="2">
        <f t="shared" si="5"/>
        <v>1.7671458676442586</v>
      </c>
      <c r="L384" s="2">
        <v>0</v>
      </c>
      <c r="M384" s="2">
        <v>1</v>
      </c>
      <c r="N384" s="2">
        <v>0</v>
      </c>
      <c r="O384" s="7"/>
    </row>
    <row r="385" spans="1:15" x14ac:dyDescent="0.25">
      <c r="A385" s="2" t="s">
        <v>16</v>
      </c>
      <c r="B385" s="2">
        <v>4</v>
      </c>
      <c r="C385" s="8">
        <v>1</v>
      </c>
      <c r="D385" s="8">
        <v>0</v>
      </c>
      <c r="E385" s="1">
        <v>43763</v>
      </c>
      <c r="F385" s="3">
        <v>48</v>
      </c>
      <c r="G385" s="2" t="s">
        <v>19</v>
      </c>
      <c r="H385" s="23">
        <v>4</v>
      </c>
      <c r="I385" s="3">
        <v>19</v>
      </c>
      <c r="J385" s="3">
        <v>2</v>
      </c>
      <c r="K385" s="2">
        <f t="shared" si="5"/>
        <v>0.1989675347273536</v>
      </c>
      <c r="L385" s="2">
        <v>0</v>
      </c>
      <c r="M385" s="2">
        <v>1</v>
      </c>
      <c r="N385" s="2">
        <v>0</v>
      </c>
      <c r="O385" s="7"/>
    </row>
    <row r="386" spans="1:15" x14ac:dyDescent="0.25">
      <c r="A386" s="2" t="s">
        <v>16</v>
      </c>
      <c r="B386" s="2">
        <v>4</v>
      </c>
      <c r="C386" s="8">
        <v>1</v>
      </c>
      <c r="D386" s="8">
        <v>0</v>
      </c>
      <c r="E386" s="1">
        <v>43763</v>
      </c>
      <c r="F386" s="3">
        <v>49</v>
      </c>
      <c r="G386" s="2" t="s">
        <v>19</v>
      </c>
      <c r="H386" s="5">
        <v>4</v>
      </c>
      <c r="I386" s="3">
        <v>22</v>
      </c>
      <c r="J386" s="3">
        <v>2</v>
      </c>
      <c r="K386" s="2">
        <f t="shared" ref="K386:K439" si="6">(I386*PI()*(J386/20)*(J386/20))/3</f>
        <v>0.23038346126325152</v>
      </c>
      <c r="L386" s="2">
        <v>0</v>
      </c>
      <c r="M386" s="2">
        <v>0</v>
      </c>
      <c r="N386" s="2">
        <v>0</v>
      </c>
      <c r="O386" s="7"/>
    </row>
    <row r="387" spans="1:15" x14ac:dyDescent="0.25">
      <c r="A387" s="2" t="s">
        <v>50</v>
      </c>
      <c r="B387" s="2">
        <v>1</v>
      </c>
      <c r="C387" s="8">
        <v>1</v>
      </c>
      <c r="D387" s="8">
        <v>1</v>
      </c>
      <c r="E387" s="1">
        <v>43784</v>
      </c>
      <c r="F387" s="3">
        <v>38</v>
      </c>
      <c r="G387" s="2" t="s">
        <v>19</v>
      </c>
      <c r="H387" s="23">
        <v>4</v>
      </c>
      <c r="I387" s="3">
        <v>37</v>
      </c>
      <c r="J387" s="3">
        <v>6</v>
      </c>
      <c r="K387" s="2">
        <f t="shared" si="6"/>
        <v>3.4871678454846702</v>
      </c>
      <c r="L387" s="3">
        <v>0</v>
      </c>
      <c r="M387" s="3">
        <v>1</v>
      </c>
      <c r="N387" s="3">
        <v>0</v>
      </c>
    </row>
    <row r="388" spans="1:15" x14ac:dyDescent="0.25">
      <c r="A388" s="2" t="s">
        <v>50</v>
      </c>
      <c r="B388" s="2">
        <v>1</v>
      </c>
      <c r="C388" s="8">
        <v>1</v>
      </c>
      <c r="D388" s="8">
        <v>1</v>
      </c>
      <c r="E388" s="1">
        <v>43784</v>
      </c>
      <c r="F388" s="3">
        <v>39</v>
      </c>
      <c r="G388" s="2" t="s">
        <v>19</v>
      </c>
      <c r="H388" s="5">
        <v>4</v>
      </c>
      <c r="I388" s="3">
        <v>93</v>
      </c>
      <c r="J388" s="3">
        <v>13</v>
      </c>
      <c r="K388" s="2">
        <f t="shared" si="6"/>
        <v>41.147009780392317</v>
      </c>
      <c r="L388" s="3">
        <v>0</v>
      </c>
      <c r="M388" s="3">
        <v>1</v>
      </c>
      <c r="N388" s="3">
        <v>0</v>
      </c>
    </row>
    <row r="389" spans="1:15" x14ac:dyDescent="0.25">
      <c r="A389" s="2" t="s">
        <v>50</v>
      </c>
      <c r="B389" s="2">
        <v>1</v>
      </c>
      <c r="C389" s="8">
        <v>1</v>
      </c>
      <c r="D389" s="8">
        <v>1</v>
      </c>
      <c r="E389" s="1">
        <v>43784</v>
      </c>
      <c r="F389" s="3">
        <v>40</v>
      </c>
      <c r="G389" s="2" t="s">
        <v>19</v>
      </c>
      <c r="H389" s="23">
        <v>4</v>
      </c>
      <c r="I389" s="3">
        <v>133</v>
      </c>
      <c r="J389" s="3">
        <v>17</v>
      </c>
      <c r="K389" s="2">
        <f t="shared" si="6"/>
        <v>100.62783068835905</v>
      </c>
      <c r="L389" s="3">
        <v>1</v>
      </c>
      <c r="M389" s="3">
        <v>0</v>
      </c>
      <c r="N389" s="3">
        <v>0</v>
      </c>
      <c r="O389" s="2" t="s">
        <v>107</v>
      </c>
    </row>
    <row r="390" spans="1:15" x14ac:dyDescent="0.25">
      <c r="A390" s="2" t="s">
        <v>50</v>
      </c>
      <c r="B390" s="2">
        <v>1</v>
      </c>
      <c r="C390" s="8">
        <v>1</v>
      </c>
      <c r="D390" s="8">
        <v>1</v>
      </c>
      <c r="E390" s="1">
        <v>43784</v>
      </c>
      <c r="F390" s="3">
        <v>41</v>
      </c>
      <c r="G390" s="2" t="s">
        <v>19</v>
      </c>
      <c r="H390" s="5">
        <v>4</v>
      </c>
      <c r="I390" s="3">
        <v>37</v>
      </c>
      <c r="J390" s="3">
        <v>5</v>
      </c>
      <c r="K390" s="2">
        <f t="shared" si="6"/>
        <v>2.4216443371421321</v>
      </c>
      <c r="L390" s="3">
        <v>0</v>
      </c>
      <c r="M390" s="3">
        <v>1</v>
      </c>
      <c r="N390" s="3">
        <v>0</v>
      </c>
    </row>
    <row r="391" spans="1:15" x14ac:dyDescent="0.25">
      <c r="A391" s="2" t="s">
        <v>50</v>
      </c>
      <c r="B391" s="2">
        <v>1</v>
      </c>
      <c r="C391" s="8">
        <v>1</v>
      </c>
      <c r="D391" s="8">
        <v>1</v>
      </c>
      <c r="E391" s="1">
        <v>43784</v>
      </c>
      <c r="F391" s="3">
        <v>42</v>
      </c>
      <c r="G391" s="2" t="s">
        <v>19</v>
      </c>
      <c r="H391" s="23">
        <v>4</v>
      </c>
      <c r="I391" s="3">
        <v>42</v>
      </c>
      <c r="J391" s="3">
        <v>5</v>
      </c>
      <c r="K391" s="2">
        <f t="shared" si="6"/>
        <v>2.748893571891069</v>
      </c>
      <c r="L391" s="3">
        <v>0</v>
      </c>
      <c r="M391" s="3">
        <v>1</v>
      </c>
      <c r="N391" s="3">
        <v>0</v>
      </c>
    </row>
    <row r="392" spans="1:15" x14ac:dyDescent="0.25">
      <c r="A392" s="2" t="s">
        <v>50</v>
      </c>
      <c r="B392" s="2">
        <v>1</v>
      </c>
      <c r="C392" s="8">
        <v>1</v>
      </c>
      <c r="D392" s="8">
        <v>1</v>
      </c>
      <c r="E392" s="1">
        <v>43784</v>
      </c>
      <c r="F392" s="3">
        <v>43</v>
      </c>
      <c r="G392" s="2" t="s">
        <v>19</v>
      </c>
      <c r="H392" s="5">
        <v>4</v>
      </c>
      <c r="I392" s="3">
        <v>24</v>
      </c>
      <c r="J392" s="3">
        <v>1</v>
      </c>
      <c r="K392" s="2">
        <f t="shared" si="6"/>
        <v>6.2831853071795868E-2</v>
      </c>
      <c r="L392" s="3">
        <v>0</v>
      </c>
      <c r="M392" s="3">
        <v>1</v>
      </c>
      <c r="N392" s="3">
        <v>0</v>
      </c>
    </row>
    <row r="393" spans="1:15" x14ac:dyDescent="0.25">
      <c r="A393" s="2" t="s">
        <v>50</v>
      </c>
      <c r="B393" s="2">
        <v>1</v>
      </c>
      <c r="C393" s="8">
        <v>1</v>
      </c>
      <c r="D393" s="8">
        <v>1</v>
      </c>
      <c r="E393" s="1">
        <v>43784</v>
      </c>
      <c r="F393" s="3">
        <v>44</v>
      </c>
      <c r="G393" s="2" t="s">
        <v>19</v>
      </c>
      <c r="H393" s="23">
        <v>4</v>
      </c>
      <c r="I393" s="3">
        <v>30</v>
      </c>
      <c r="J393" s="3">
        <v>3</v>
      </c>
      <c r="K393" s="2">
        <f t="shared" si="6"/>
        <v>0.70685834705770334</v>
      </c>
      <c r="L393" s="3">
        <v>0</v>
      </c>
      <c r="M393" s="3">
        <v>1</v>
      </c>
      <c r="N393" s="3">
        <v>0</v>
      </c>
    </row>
    <row r="394" spans="1:15" x14ac:dyDescent="0.25">
      <c r="A394" s="2" t="s">
        <v>50</v>
      </c>
      <c r="B394" s="2">
        <v>1</v>
      </c>
      <c r="C394" s="8">
        <v>1</v>
      </c>
      <c r="D394" s="8">
        <v>1</v>
      </c>
      <c r="E394" s="1">
        <v>43784</v>
      </c>
      <c r="F394" s="3">
        <v>45</v>
      </c>
      <c r="G394" s="2" t="s">
        <v>19</v>
      </c>
      <c r="H394" s="5">
        <v>4</v>
      </c>
      <c r="I394" s="3">
        <v>127</v>
      </c>
      <c r="J394" s="3">
        <v>16</v>
      </c>
      <c r="K394" s="2">
        <f t="shared" si="6"/>
        <v>85.116216961259468</v>
      </c>
      <c r="L394" s="3">
        <v>0</v>
      </c>
      <c r="M394" s="3">
        <v>0</v>
      </c>
      <c r="N394" s="3">
        <v>0</v>
      </c>
    </row>
    <row r="395" spans="1:15" x14ac:dyDescent="0.25">
      <c r="A395" s="2" t="s">
        <v>50</v>
      </c>
      <c r="B395" s="2">
        <v>1</v>
      </c>
      <c r="C395" s="8">
        <v>1</v>
      </c>
      <c r="D395" s="8">
        <v>1</v>
      </c>
      <c r="E395" s="1">
        <v>43784</v>
      </c>
      <c r="F395" s="3">
        <v>46</v>
      </c>
      <c r="G395" s="2" t="s">
        <v>19</v>
      </c>
      <c r="H395" s="23">
        <v>4</v>
      </c>
      <c r="I395" s="3">
        <v>82</v>
      </c>
      <c r="J395" s="3">
        <v>12</v>
      </c>
      <c r="K395" s="2">
        <f t="shared" si="6"/>
        <v>30.91327171132356</v>
      </c>
      <c r="L395" s="3">
        <v>0</v>
      </c>
      <c r="M395" s="3">
        <v>0</v>
      </c>
      <c r="N395" s="3">
        <v>1</v>
      </c>
      <c r="O395" s="2" t="s">
        <v>108</v>
      </c>
    </row>
    <row r="396" spans="1:15" x14ac:dyDescent="0.25">
      <c r="A396" s="2" t="s">
        <v>50</v>
      </c>
      <c r="B396" s="2">
        <v>1</v>
      </c>
      <c r="C396" s="8">
        <v>1</v>
      </c>
      <c r="D396" s="8">
        <v>1</v>
      </c>
      <c r="E396" s="1">
        <v>43784</v>
      </c>
      <c r="F396" s="3">
        <v>47</v>
      </c>
      <c r="G396" s="2" t="s">
        <v>19</v>
      </c>
      <c r="H396" s="5">
        <v>4</v>
      </c>
      <c r="I396" s="3">
        <v>35</v>
      </c>
      <c r="J396" s="3">
        <v>9</v>
      </c>
      <c r="K396" s="2">
        <f t="shared" si="6"/>
        <v>7.4220126441058873</v>
      </c>
      <c r="L396" s="3">
        <v>0</v>
      </c>
      <c r="M396" s="3">
        <v>1</v>
      </c>
      <c r="N396" s="3">
        <v>0</v>
      </c>
      <c r="O396" s="2" t="s">
        <v>109</v>
      </c>
    </row>
    <row r="397" spans="1:15" x14ac:dyDescent="0.25">
      <c r="A397" s="2" t="s">
        <v>50</v>
      </c>
      <c r="B397" s="2">
        <v>4</v>
      </c>
      <c r="C397" s="8">
        <v>1</v>
      </c>
      <c r="D397" s="8">
        <v>0</v>
      </c>
      <c r="E397" s="1">
        <v>43784</v>
      </c>
      <c r="F397" s="3">
        <v>38</v>
      </c>
      <c r="G397" s="2" t="s">
        <v>19</v>
      </c>
      <c r="H397" s="23">
        <v>4</v>
      </c>
      <c r="I397" s="3">
        <v>12</v>
      </c>
      <c r="J397" s="3">
        <v>3</v>
      </c>
      <c r="K397" s="2">
        <f t="shared" si="6"/>
        <v>0.28274333882308139</v>
      </c>
      <c r="L397" s="3">
        <v>0</v>
      </c>
      <c r="M397" s="3">
        <v>1</v>
      </c>
      <c r="N397" s="3">
        <v>0</v>
      </c>
    </row>
    <row r="398" spans="1:15" x14ac:dyDescent="0.25">
      <c r="A398" s="2" t="s">
        <v>50</v>
      </c>
      <c r="B398" s="2">
        <v>4</v>
      </c>
      <c r="C398" s="8">
        <v>1</v>
      </c>
      <c r="D398" s="8">
        <v>0</v>
      </c>
      <c r="E398" s="1">
        <v>43784</v>
      </c>
      <c r="F398" s="3">
        <v>39</v>
      </c>
      <c r="G398" s="2" t="s">
        <v>19</v>
      </c>
      <c r="H398" s="5">
        <v>4</v>
      </c>
      <c r="I398" s="3">
        <v>46</v>
      </c>
      <c r="J398" s="3">
        <v>7</v>
      </c>
      <c r="K398" s="2">
        <f t="shared" si="6"/>
        <v>5.9009582009928279</v>
      </c>
      <c r="L398" s="3">
        <v>0</v>
      </c>
      <c r="M398" s="3">
        <v>1</v>
      </c>
      <c r="N398" s="3">
        <v>0</v>
      </c>
    </row>
    <row r="399" spans="1:15" x14ac:dyDescent="0.25">
      <c r="A399" s="2" t="s">
        <v>50</v>
      </c>
      <c r="B399" s="2">
        <v>4</v>
      </c>
      <c r="C399" s="8">
        <v>1</v>
      </c>
      <c r="D399" s="8">
        <v>0</v>
      </c>
      <c r="E399" s="1">
        <v>43784</v>
      </c>
      <c r="F399" s="3">
        <v>40</v>
      </c>
      <c r="G399" s="2" t="s">
        <v>19</v>
      </c>
      <c r="H399" s="23">
        <v>4</v>
      </c>
      <c r="I399" s="3">
        <v>37</v>
      </c>
      <c r="J399" s="3">
        <v>8</v>
      </c>
      <c r="K399" s="2">
        <f t="shared" si="6"/>
        <v>6.1994095030838601</v>
      </c>
      <c r="L399" s="3">
        <v>0</v>
      </c>
      <c r="M399" s="3">
        <v>1</v>
      </c>
      <c r="N399" s="3">
        <v>0</v>
      </c>
    </row>
    <row r="400" spans="1:15" x14ac:dyDescent="0.25">
      <c r="A400" s="2" t="s">
        <v>50</v>
      </c>
      <c r="B400" s="2">
        <v>4</v>
      </c>
      <c r="C400" s="8">
        <v>1</v>
      </c>
      <c r="D400" s="8">
        <v>0</v>
      </c>
      <c r="E400" s="1">
        <v>43784</v>
      </c>
      <c r="F400" s="3">
        <v>41</v>
      </c>
      <c r="G400" s="2" t="s">
        <v>19</v>
      </c>
      <c r="H400" s="5">
        <v>4</v>
      </c>
      <c r="I400" s="3">
        <v>32</v>
      </c>
      <c r="J400" s="3">
        <v>2</v>
      </c>
      <c r="K400" s="2">
        <f t="shared" si="6"/>
        <v>0.3351032163829113</v>
      </c>
      <c r="L400" s="3">
        <v>0</v>
      </c>
      <c r="M400" s="3">
        <v>1</v>
      </c>
      <c r="N400" s="3">
        <v>0</v>
      </c>
    </row>
    <row r="401" spans="1:15" x14ac:dyDescent="0.25">
      <c r="A401" s="2" t="s">
        <v>50</v>
      </c>
      <c r="B401" s="2">
        <v>4</v>
      </c>
      <c r="C401" s="8">
        <v>1</v>
      </c>
      <c r="D401" s="8">
        <v>0</v>
      </c>
      <c r="E401" s="1">
        <v>43784</v>
      </c>
      <c r="F401" s="3">
        <v>42</v>
      </c>
      <c r="G401" s="2" t="s">
        <v>19</v>
      </c>
      <c r="H401" s="23">
        <v>4</v>
      </c>
      <c r="I401" s="3">
        <v>40</v>
      </c>
      <c r="J401" s="3">
        <v>8</v>
      </c>
      <c r="K401" s="2">
        <f t="shared" si="6"/>
        <v>6.702064327658225</v>
      </c>
      <c r="L401" s="3">
        <v>0</v>
      </c>
      <c r="M401" s="3">
        <v>1</v>
      </c>
      <c r="N401" s="3">
        <v>0</v>
      </c>
    </row>
    <row r="402" spans="1:15" x14ac:dyDescent="0.25">
      <c r="A402" s="2" t="s">
        <v>50</v>
      </c>
      <c r="B402" s="2">
        <v>4</v>
      </c>
      <c r="C402" s="8">
        <v>1</v>
      </c>
      <c r="D402" s="8">
        <v>0</v>
      </c>
      <c r="E402" s="1">
        <v>43784</v>
      </c>
      <c r="F402" s="3">
        <v>43</v>
      </c>
      <c r="G402" s="2" t="s">
        <v>19</v>
      </c>
      <c r="H402" s="5">
        <v>4</v>
      </c>
      <c r="I402" s="3">
        <v>27</v>
      </c>
      <c r="J402" s="3">
        <v>6</v>
      </c>
      <c r="K402" s="2">
        <f t="shared" si="6"/>
        <v>2.5446900494077322</v>
      </c>
      <c r="L402" s="3">
        <v>0</v>
      </c>
      <c r="M402" s="3">
        <v>1</v>
      </c>
      <c r="N402" s="3">
        <v>0</v>
      </c>
    </row>
    <row r="403" spans="1:15" x14ac:dyDescent="0.25">
      <c r="A403" s="2" t="s">
        <v>50</v>
      </c>
      <c r="B403" s="2">
        <v>4</v>
      </c>
      <c r="C403" s="8">
        <v>1</v>
      </c>
      <c r="D403" s="8">
        <v>0</v>
      </c>
      <c r="E403" s="1">
        <v>43784</v>
      </c>
      <c r="F403" s="3">
        <v>44</v>
      </c>
      <c r="G403" s="2" t="s">
        <v>19</v>
      </c>
      <c r="H403" s="23">
        <v>4</v>
      </c>
      <c r="I403" s="3">
        <v>31</v>
      </c>
      <c r="J403" s="3">
        <v>12</v>
      </c>
      <c r="K403" s="2">
        <f t="shared" si="6"/>
        <v>11.686724671354028</v>
      </c>
      <c r="L403" s="3">
        <v>0</v>
      </c>
      <c r="M403" s="3">
        <v>1</v>
      </c>
      <c r="N403" s="3">
        <v>0</v>
      </c>
    </row>
    <row r="404" spans="1:15" x14ac:dyDescent="0.25">
      <c r="A404" s="2" t="s">
        <v>50</v>
      </c>
      <c r="B404" s="2">
        <v>4</v>
      </c>
      <c r="C404" s="8">
        <v>1</v>
      </c>
      <c r="D404" s="8">
        <v>0</v>
      </c>
      <c r="E404" s="1">
        <v>43784</v>
      </c>
      <c r="F404" s="3">
        <v>45</v>
      </c>
      <c r="G404" s="2" t="s">
        <v>19</v>
      </c>
      <c r="H404" s="5">
        <v>4</v>
      </c>
      <c r="I404" s="3">
        <v>23</v>
      </c>
      <c r="J404" s="3">
        <v>11</v>
      </c>
      <c r="K404" s="2">
        <f t="shared" si="6"/>
        <v>7.2858769624503301</v>
      </c>
      <c r="L404" s="3">
        <v>0</v>
      </c>
      <c r="M404" s="3">
        <v>1</v>
      </c>
      <c r="N404" s="3">
        <v>0</v>
      </c>
    </row>
    <row r="405" spans="1:15" x14ac:dyDescent="0.25">
      <c r="A405" s="2" t="s">
        <v>50</v>
      </c>
      <c r="B405" s="2">
        <v>4</v>
      </c>
      <c r="C405" s="8">
        <v>1</v>
      </c>
      <c r="D405" s="8">
        <v>0</v>
      </c>
      <c r="E405" s="1">
        <v>43784</v>
      </c>
      <c r="F405" s="3">
        <v>46</v>
      </c>
      <c r="G405" s="2" t="s">
        <v>19</v>
      </c>
      <c r="H405" s="23">
        <v>4</v>
      </c>
      <c r="I405" s="3">
        <v>41</v>
      </c>
      <c r="J405" s="3">
        <v>9</v>
      </c>
      <c r="K405" s="2">
        <f t="shared" si="6"/>
        <v>8.6943576688097526</v>
      </c>
      <c r="L405" s="3">
        <v>0</v>
      </c>
      <c r="M405" s="3">
        <v>1</v>
      </c>
      <c r="N405" s="3">
        <v>0</v>
      </c>
    </row>
    <row r="406" spans="1:15" x14ac:dyDescent="0.25">
      <c r="A406" s="2" t="s">
        <v>50</v>
      </c>
      <c r="B406" s="2">
        <v>4</v>
      </c>
      <c r="C406" s="8">
        <v>1</v>
      </c>
      <c r="D406" s="8">
        <v>0</v>
      </c>
      <c r="E406" s="1">
        <v>43784</v>
      </c>
      <c r="F406" s="3">
        <v>47</v>
      </c>
      <c r="G406" s="2" t="s">
        <v>19</v>
      </c>
      <c r="H406" s="5">
        <v>4</v>
      </c>
      <c r="I406" s="3">
        <v>24</v>
      </c>
      <c r="J406" s="3">
        <v>10</v>
      </c>
      <c r="K406" s="2">
        <f t="shared" si="6"/>
        <v>6.2831853071795862</v>
      </c>
      <c r="L406" s="3">
        <v>0</v>
      </c>
      <c r="M406" s="3">
        <v>1</v>
      </c>
      <c r="N406" s="3">
        <v>0</v>
      </c>
    </row>
    <row r="407" spans="1:15" x14ac:dyDescent="0.25">
      <c r="A407" s="2" t="s">
        <v>50</v>
      </c>
      <c r="B407" s="2">
        <v>2</v>
      </c>
      <c r="C407" s="8">
        <v>0</v>
      </c>
      <c r="D407" s="8">
        <v>1</v>
      </c>
      <c r="E407" s="1">
        <v>43784</v>
      </c>
      <c r="F407" s="3">
        <v>38</v>
      </c>
      <c r="G407" s="2" t="s">
        <v>19</v>
      </c>
      <c r="H407" s="23">
        <v>4</v>
      </c>
      <c r="I407" s="3">
        <v>159</v>
      </c>
      <c r="J407" s="3">
        <v>12</v>
      </c>
      <c r="K407" s="2">
        <f t="shared" si="6"/>
        <v>59.941587830493255</v>
      </c>
      <c r="L407" s="3">
        <v>0</v>
      </c>
      <c r="M407" s="3">
        <v>0</v>
      </c>
      <c r="N407" s="3">
        <v>0</v>
      </c>
      <c r="O407" s="2" t="s">
        <v>125</v>
      </c>
    </row>
    <row r="408" spans="1:15" x14ac:dyDescent="0.25">
      <c r="A408" s="2" t="s">
        <v>50</v>
      </c>
      <c r="B408" s="2">
        <v>3</v>
      </c>
      <c r="C408" s="8">
        <v>0</v>
      </c>
      <c r="D408" s="8">
        <v>0</v>
      </c>
      <c r="E408" s="1">
        <v>43784</v>
      </c>
      <c r="F408" s="3">
        <v>38</v>
      </c>
      <c r="G408" s="2" t="s">
        <v>19</v>
      </c>
      <c r="H408" s="5">
        <v>4</v>
      </c>
      <c r="I408" s="3">
        <v>72</v>
      </c>
      <c r="J408" s="3">
        <v>8</v>
      </c>
      <c r="K408" s="2">
        <f t="shared" si="6"/>
        <v>12.063715789784807</v>
      </c>
      <c r="L408" s="3">
        <v>0</v>
      </c>
      <c r="M408" s="3">
        <v>0</v>
      </c>
      <c r="N408" s="3">
        <v>0</v>
      </c>
    </row>
    <row r="409" spans="1:15" x14ac:dyDescent="0.25">
      <c r="A409" s="2" t="s">
        <v>50</v>
      </c>
      <c r="B409" s="2">
        <v>3</v>
      </c>
      <c r="C409" s="8">
        <v>0</v>
      </c>
      <c r="D409" s="8">
        <v>0</v>
      </c>
      <c r="E409" s="1">
        <v>43784</v>
      </c>
      <c r="F409" s="3">
        <v>39</v>
      </c>
      <c r="G409" s="2" t="s">
        <v>19</v>
      </c>
      <c r="H409" s="23">
        <v>4</v>
      </c>
      <c r="I409" s="3">
        <v>137</v>
      </c>
      <c r="J409" s="3">
        <v>11</v>
      </c>
      <c r="K409" s="2">
        <f t="shared" si="6"/>
        <v>43.398484515465015</v>
      </c>
      <c r="L409" s="3">
        <v>0</v>
      </c>
      <c r="M409" s="3">
        <v>0</v>
      </c>
      <c r="N409" s="3">
        <v>0</v>
      </c>
    </row>
    <row r="410" spans="1:15" x14ac:dyDescent="0.25">
      <c r="A410" s="2" t="s">
        <v>50</v>
      </c>
      <c r="B410" s="2">
        <v>3</v>
      </c>
      <c r="C410" s="8">
        <v>0</v>
      </c>
      <c r="D410" s="8">
        <v>0</v>
      </c>
      <c r="E410" s="1">
        <v>43784</v>
      </c>
      <c r="F410" s="3">
        <v>40</v>
      </c>
      <c r="G410" s="2" t="s">
        <v>19</v>
      </c>
      <c r="H410" s="5">
        <v>4</v>
      </c>
      <c r="I410" s="3">
        <v>72</v>
      </c>
      <c r="J410" s="3">
        <v>9</v>
      </c>
      <c r="K410" s="2">
        <f t="shared" si="6"/>
        <v>15.268140296446397</v>
      </c>
      <c r="L410" s="3">
        <v>0</v>
      </c>
      <c r="M410" s="3">
        <v>0</v>
      </c>
      <c r="N410" s="3">
        <v>0</v>
      </c>
    </row>
    <row r="411" spans="1:15" x14ac:dyDescent="0.25">
      <c r="A411" s="2" t="s">
        <v>50</v>
      </c>
      <c r="B411" s="2">
        <v>3</v>
      </c>
      <c r="C411" s="8">
        <v>0</v>
      </c>
      <c r="D411" s="8">
        <v>0</v>
      </c>
      <c r="E411" s="1">
        <v>43784</v>
      </c>
      <c r="F411" s="3">
        <v>41</v>
      </c>
      <c r="G411" s="2" t="s">
        <v>19</v>
      </c>
      <c r="H411" s="23">
        <v>4</v>
      </c>
      <c r="I411" s="3">
        <v>72</v>
      </c>
      <c r="J411" s="3">
        <v>10</v>
      </c>
      <c r="K411" s="2">
        <f t="shared" si="6"/>
        <v>18.849555921538759</v>
      </c>
      <c r="L411" s="3">
        <v>0</v>
      </c>
      <c r="M411" s="3">
        <v>0</v>
      </c>
      <c r="N411" s="3">
        <v>0</v>
      </c>
    </row>
    <row r="412" spans="1:15" x14ac:dyDescent="0.25">
      <c r="A412" s="2" t="s">
        <v>50</v>
      </c>
      <c r="B412" s="2">
        <v>3</v>
      </c>
      <c r="C412" s="8">
        <v>0</v>
      </c>
      <c r="D412" s="8">
        <v>0</v>
      </c>
      <c r="E412" s="1">
        <v>43784</v>
      </c>
      <c r="F412" s="3">
        <v>42</v>
      </c>
      <c r="G412" s="2" t="s">
        <v>19</v>
      </c>
      <c r="H412" s="5">
        <v>4</v>
      </c>
      <c r="I412" s="3">
        <v>102</v>
      </c>
      <c r="J412" s="3">
        <v>14</v>
      </c>
      <c r="K412" s="2">
        <f t="shared" si="6"/>
        <v>52.338933608805945</v>
      </c>
      <c r="L412" s="3">
        <v>0</v>
      </c>
      <c r="M412" s="3">
        <v>0</v>
      </c>
      <c r="N412" s="3">
        <v>0</v>
      </c>
    </row>
    <row r="413" spans="1:15" x14ac:dyDescent="0.25">
      <c r="A413" s="2" t="s">
        <v>126</v>
      </c>
      <c r="B413" s="2">
        <v>1</v>
      </c>
      <c r="C413" s="8">
        <v>1</v>
      </c>
      <c r="D413" s="8">
        <v>1</v>
      </c>
      <c r="E413" s="1">
        <v>43784</v>
      </c>
      <c r="F413" s="3">
        <v>38</v>
      </c>
      <c r="G413" s="2" t="s">
        <v>19</v>
      </c>
      <c r="H413" s="23">
        <v>4</v>
      </c>
      <c r="I413" s="3">
        <v>74</v>
      </c>
      <c r="J413" s="3">
        <v>12</v>
      </c>
      <c r="K413" s="2">
        <f t="shared" si="6"/>
        <v>27.897342763877361</v>
      </c>
      <c r="L413" s="3">
        <v>0</v>
      </c>
      <c r="M413" s="3">
        <v>0</v>
      </c>
      <c r="N413" s="3">
        <v>0</v>
      </c>
      <c r="O413" s="2" t="s">
        <v>109</v>
      </c>
    </row>
    <row r="414" spans="1:15" x14ac:dyDescent="0.25">
      <c r="A414" s="2" t="s">
        <v>126</v>
      </c>
      <c r="B414" s="2">
        <v>1</v>
      </c>
      <c r="C414" s="8">
        <v>1</v>
      </c>
      <c r="D414" s="8">
        <v>1</v>
      </c>
      <c r="E414" s="1">
        <v>43784</v>
      </c>
      <c r="F414" s="3">
        <v>39</v>
      </c>
      <c r="G414" s="2" t="s">
        <v>19</v>
      </c>
      <c r="H414" s="5">
        <v>4</v>
      </c>
      <c r="I414" s="3">
        <v>116</v>
      </c>
      <c r="J414" s="3">
        <v>13</v>
      </c>
      <c r="K414" s="2">
        <f t="shared" si="6"/>
        <v>51.323151984145255</v>
      </c>
      <c r="L414" s="3">
        <v>0</v>
      </c>
      <c r="M414" s="3">
        <v>0</v>
      </c>
      <c r="N414" s="3">
        <v>0</v>
      </c>
    </row>
    <row r="415" spans="1:15" x14ac:dyDescent="0.25">
      <c r="A415" s="2" t="s">
        <v>126</v>
      </c>
      <c r="B415" s="2">
        <v>1</v>
      </c>
      <c r="C415" s="8">
        <v>1</v>
      </c>
      <c r="D415" s="8">
        <v>1</v>
      </c>
      <c r="E415" s="1">
        <v>43784</v>
      </c>
      <c r="F415" s="3">
        <v>40</v>
      </c>
      <c r="G415" s="2" t="s">
        <v>19</v>
      </c>
      <c r="H415" s="23">
        <v>4</v>
      </c>
      <c r="I415" s="3">
        <v>128</v>
      </c>
      <c r="J415" s="3">
        <v>15</v>
      </c>
      <c r="K415" s="2">
        <f t="shared" si="6"/>
        <v>75.398223686155035</v>
      </c>
      <c r="L415" s="3">
        <v>0</v>
      </c>
      <c r="M415" s="3">
        <v>0</v>
      </c>
      <c r="N415" s="3">
        <v>0</v>
      </c>
    </row>
    <row r="416" spans="1:15" x14ac:dyDescent="0.25">
      <c r="A416" s="2" t="s">
        <v>126</v>
      </c>
      <c r="B416" s="2">
        <v>1</v>
      </c>
      <c r="C416" s="8">
        <v>1</v>
      </c>
      <c r="D416" s="8">
        <v>1</v>
      </c>
      <c r="E416" s="1">
        <v>43784</v>
      </c>
      <c r="F416" s="3">
        <v>41</v>
      </c>
      <c r="G416" s="2" t="s">
        <v>19</v>
      </c>
      <c r="H416" s="5">
        <v>4</v>
      </c>
      <c r="I416" s="3">
        <v>107</v>
      </c>
      <c r="J416" s="3">
        <v>12</v>
      </c>
      <c r="K416" s="2">
        <f t="shared" si="6"/>
        <v>40.338049672092943</v>
      </c>
      <c r="L416" s="3">
        <v>0</v>
      </c>
      <c r="M416" s="3">
        <v>0</v>
      </c>
      <c r="N416" s="3">
        <v>0</v>
      </c>
    </row>
    <row r="417" spans="1:15" x14ac:dyDescent="0.25">
      <c r="A417" s="2" t="s">
        <v>126</v>
      </c>
      <c r="B417" s="2">
        <v>1</v>
      </c>
      <c r="C417" s="8">
        <v>1</v>
      </c>
      <c r="D417" s="8">
        <v>1</v>
      </c>
      <c r="E417" s="1">
        <v>43784</v>
      </c>
      <c r="F417" s="3">
        <v>42</v>
      </c>
      <c r="G417" s="2" t="s">
        <v>19</v>
      </c>
      <c r="H417" s="23">
        <v>4</v>
      </c>
      <c r="I417" s="3">
        <v>29</v>
      </c>
      <c r="J417" s="3">
        <v>4</v>
      </c>
      <c r="K417" s="2">
        <f t="shared" si="6"/>
        <v>1.2147491593880535</v>
      </c>
      <c r="L417" s="3">
        <v>0</v>
      </c>
      <c r="M417" s="3">
        <v>1</v>
      </c>
      <c r="N417" s="3">
        <v>0</v>
      </c>
    </row>
    <row r="418" spans="1:15" x14ac:dyDescent="0.25">
      <c r="A418" s="2" t="s">
        <v>126</v>
      </c>
      <c r="B418" s="2">
        <v>1</v>
      </c>
      <c r="C418" s="8">
        <v>1</v>
      </c>
      <c r="D418" s="8">
        <v>1</v>
      </c>
      <c r="E418" s="1">
        <v>43784</v>
      </c>
      <c r="F418" s="3">
        <v>43</v>
      </c>
      <c r="G418" s="2" t="s">
        <v>19</v>
      </c>
      <c r="H418" s="5">
        <v>4</v>
      </c>
      <c r="I418" s="3">
        <v>27</v>
      </c>
      <c r="J418" s="3">
        <v>2</v>
      </c>
      <c r="K418" s="2">
        <f t="shared" si="6"/>
        <v>0.28274333882308139</v>
      </c>
      <c r="L418" s="3">
        <v>0</v>
      </c>
      <c r="M418" s="3">
        <v>1</v>
      </c>
      <c r="N418" s="3">
        <v>0</v>
      </c>
    </row>
    <row r="419" spans="1:15" x14ac:dyDescent="0.25">
      <c r="A419" s="2" t="s">
        <v>126</v>
      </c>
      <c r="B419" s="2">
        <v>1</v>
      </c>
      <c r="C419" s="8">
        <v>1</v>
      </c>
      <c r="D419" s="8">
        <v>1</v>
      </c>
      <c r="E419" s="1">
        <v>43784</v>
      </c>
      <c r="F419" s="3">
        <v>44</v>
      </c>
      <c r="G419" s="2" t="s">
        <v>19</v>
      </c>
      <c r="H419" s="23">
        <v>4</v>
      </c>
      <c r="I419" s="3">
        <v>19</v>
      </c>
      <c r="J419" s="3">
        <v>3</v>
      </c>
      <c r="K419" s="2">
        <f t="shared" si="6"/>
        <v>0.44767695313654543</v>
      </c>
      <c r="L419" s="3">
        <v>0</v>
      </c>
      <c r="M419" s="3">
        <v>1</v>
      </c>
      <c r="N419" s="3">
        <v>0</v>
      </c>
    </row>
    <row r="420" spans="1:15" x14ac:dyDescent="0.25">
      <c r="A420" s="2" t="s">
        <v>126</v>
      </c>
      <c r="B420" s="2">
        <v>1</v>
      </c>
      <c r="C420" s="8">
        <v>1</v>
      </c>
      <c r="D420" s="8">
        <v>1</v>
      </c>
      <c r="E420" s="1">
        <v>43784</v>
      </c>
      <c r="F420" s="3">
        <v>45</v>
      </c>
      <c r="G420" s="2" t="s">
        <v>19</v>
      </c>
      <c r="H420" s="5">
        <v>4</v>
      </c>
      <c r="I420" s="3">
        <v>27</v>
      </c>
      <c r="J420" s="3">
        <v>3</v>
      </c>
      <c r="K420" s="2">
        <f t="shared" si="6"/>
        <v>0.63617251235193306</v>
      </c>
      <c r="L420" s="3">
        <v>0</v>
      </c>
      <c r="M420" s="3">
        <v>1</v>
      </c>
      <c r="N420" s="3">
        <v>0</v>
      </c>
    </row>
    <row r="421" spans="1:15" x14ac:dyDescent="0.25">
      <c r="A421" s="2" t="s">
        <v>126</v>
      </c>
      <c r="B421" s="2">
        <v>1</v>
      </c>
      <c r="C421" s="8">
        <v>1</v>
      </c>
      <c r="D421" s="8">
        <v>1</v>
      </c>
      <c r="E421" s="1">
        <v>43784</v>
      </c>
      <c r="F421" s="3">
        <v>46</v>
      </c>
      <c r="G421" s="2" t="s">
        <v>19</v>
      </c>
      <c r="H421" s="23">
        <v>4</v>
      </c>
      <c r="I421" s="3">
        <v>28</v>
      </c>
      <c r="J421" s="3">
        <v>6</v>
      </c>
      <c r="K421" s="2">
        <f t="shared" si="6"/>
        <v>2.638937829015426</v>
      </c>
      <c r="L421" s="3">
        <v>0</v>
      </c>
      <c r="M421" s="3">
        <v>1</v>
      </c>
      <c r="N421" s="3">
        <v>1</v>
      </c>
    </row>
    <row r="422" spans="1:15" x14ac:dyDescent="0.25">
      <c r="A422" s="2" t="s">
        <v>126</v>
      </c>
      <c r="B422" s="2">
        <v>1</v>
      </c>
      <c r="C422" s="8">
        <v>1</v>
      </c>
      <c r="D422" s="8">
        <v>1</v>
      </c>
      <c r="E422" s="1">
        <v>43784</v>
      </c>
      <c r="F422" s="3">
        <v>47</v>
      </c>
      <c r="G422" s="2" t="s">
        <v>19</v>
      </c>
      <c r="H422" s="5">
        <v>4</v>
      </c>
      <c r="I422" s="3">
        <v>30</v>
      </c>
      <c r="J422" s="3">
        <v>2</v>
      </c>
      <c r="K422" s="2">
        <f t="shared" si="6"/>
        <v>0.31415926535897931</v>
      </c>
      <c r="L422" s="3">
        <v>0</v>
      </c>
      <c r="M422" s="3">
        <v>1</v>
      </c>
      <c r="N422" s="3">
        <v>0</v>
      </c>
    </row>
    <row r="423" spans="1:15" x14ac:dyDescent="0.25">
      <c r="A423" s="2" t="s">
        <v>126</v>
      </c>
      <c r="B423" s="2">
        <v>1</v>
      </c>
      <c r="C423" s="8">
        <v>1</v>
      </c>
      <c r="D423" s="8">
        <v>1</v>
      </c>
      <c r="E423" s="1">
        <v>43784</v>
      </c>
      <c r="F423" s="3">
        <v>48</v>
      </c>
      <c r="G423" s="2" t="s">
        <v>19</v>
      </c>
      <c r="H423" s="23">
        <v>4</v>
      </c>
      <c r="I423" s="3">
        <v>42</v>
      </c>
      <c r="J423" s="3">
        <v>6.5</v>
      </c>
      <c r="K423" s="2">
        <f t="shared" si="6"/>
        <v>4.6456301364959067</v>
      </c>
      <c r="L423" s="3">
        <v>0</v>
      </c>
      <c r="M423" s="3">
        <v>0</v>
      </c>
      <c r="N423" s="3">
        <v>0</v>
      </c>
    </row>
    <row r="424" spans="1:15" x14ac:dyDescent="0.25">
      <c r="A424" s="2" t="s">
        <v>126</v>
      </c>
      <c r="B424" s="2">
        <v>1</v>
      </c>
      <c r="C424" s="8">
        <v>1</v>
      </c>
      <c r="D424" s="8">
        <v>1</v>
      </c>
      <c r="E424" s="1">
        <v>43784</v>
      </c>
      <c r="F424" s="3">
        <v>49</v>
      </c>
      <c r="G424" s="2" t="s">
        <v>19</v>
      </c>
      <c r="H424" s="5">
        <v>4</v>
      </c>
      <c r="I424" s="3">
        <v>24</v>
      </c>
      <c r="J424" s="3">
        <v>4</v>
      </c>
      <c r="K424" s="2">
        <f t="shared" si="6"/>
        <v>1.0053096491487339</v>
      </c>
      <c r="L424" s="3">
        <v>0</v>
      </c>
      <c r="M424" s="3">
        <v>1</v>
      </c>
      <c r="N424" s="3">
        <v>1</v>
      </c>
      <c r="O424" s="2" t="s">
        <v>108</v>
      </c>
    </row>
    <row r="425" spans="1:15" x14ac:dyDescent="0.25">
      <c r="A425" s="2" t="s">
        <v>126</v>
      </c>
      <c r="B425" s="2">
        <v>1</v>
      </c>
      <c r="C425" s="8">
        <v>1</v>
      </c>
      <c r="D425" s="8">
        <v>1</v>
      </c>
      <c r="E425" s="1">
        <v>43784</v>
      </c>
      <c r="F425" s="3">
        <v>50</v>
      </c>
      <c r="G425" s="2" t="s">
        <v>19</v>
      </c>
      <c r="H425" s="23">
        <v>4</v>
      </c>
      <c r="I425" s="3">
        <v>9</v>
      </c>
      <c r="J425" s="3">
        <v>7</v>
      </c>
      <c r="K425" s="2">
        <f t="shared" si="6"/>
        <v>1.1545353001942489</v>
      </c>
      <c r="L425" s="3">
        <v>1</v>
      </c>
      <c r="M425" s="3">
        <v>1</v>
      </c>
      <c r="N425" s="3">
        <v>1</v>
      </c>
      <c r="O425" s="2" t="s">
        <v>128</v>
      </c>
    </row>
    <row r="426" spans="1:15" x14ac:dyDescent="0.25">
      <c r="A426" s="2" t="s">
        <v>126</v>
      </c>
      <c r="B426" s="2">
        <v>1</v>
      </c>
      <c r="C426" s="8">
        <v>1</v>
      </c>
      <c r="D426" s="8">
        <v>1</v>
      </c>
      <c r="E426" s="1">
        <v>43784</v>
      </c>
      <c r="F426" s="3">
        <v>51</v>
      </c>
      <c r="G426" s="2" t="s">
        <v>19</v>
      </c>
      <c r="H426" s="5">
        <v>4</v>
      </c>
      <c r="I426" s="3">
        <v>82</v>
      </c>
      <c r="J426" s="3">
        <v>15</v>
      </c>
      <c r="K426" s="2">
        <f t="shared" si="6"/>
        <v>48.301987048943062</v>
      </c>
      <c r="L426" s="3">
        <v>0</v>
      </c>
      <c r="M426" s="3">
        <v>0</v>
      </c>
      <c r="N426" s="3">
        <v>0</v>
      </c>
    </row>
    <row r="427" spans="1:15" x14ac:dyDescent="0.25">
      <c r="A427" s="2" t="s">
        <v>126</v>
      </c>
      <c r="B427" s="2">
        <v>1</v>
      </c>
      <c r="C427" s="8">
        <v>1</v>
      </c>
      <c r="D427" s="8">
        <v>1</v>
      </c>
      <c r="E427" s="1">
        <v>43784</v>
      </c>
      <c r="F427" s="3">
        <v>52</v>
      </c>
      <c r="G427" s="2" t="s">
        <v>19</v>
      </c>
      <c r="H427" s="23">
        <v>4</v>
      </c>
      <c r="I427" s="3">
        <v>89</v>
      </c>
      <c r="J427" s="3">
        <v>11</v>
      </c>
      <c r="K427" s="2">
        <f t="shared" si="6"/>
        <v>28.193176072090409</v>
      </c>
      <c r="L427" s="3">
        <v>0</v>
      </c>
      <c r="M427" s="3">
        <v>0</v>
      </c>
      <c r="N427" s="3">
        <v>0</v>
      </c>
    </row>
    <row r="428" spans="1:15" x14ac:dyDescent="0.25">
      <c r="A428" s="2" t="s">
        <v>126</v>
      </c>
      <c r="B428" s="2">
        <v>1</v>
      </c>
      <c r="C428" s="8">
        <v>1</v>
      </c>
      <c r="D428" s="8">
        <v>1</v>
      </c>
      <c r="E428" s="1">
        <v>43784</v>
      </c>
      <c r="F428" s="3">
        <v>53</v>
      </c>
      <c r="G428" s="2" t="s">
        <v>19</v>
      </c>
      <c r="H428" s="5">
        <v>4</v>
      </c>
      <c r="I428" s="3">
        <v>19</v>
      </c>
      <c r="J428" s="3">
        <v>4</v>
      </c>
      <c r="K428" s="2">
        <f t="shared" si="6"/>
        <v>0.79587013890941438</v>
      </c>
      <c r="L428" s="3">
        <v>0</v>
      </c>
      <c r="M428" s="3">
        <v>1</v>
      </c>
      <c r="N428" s="3">
        <v>0</v>
      </c>
    </row>
    <row r="429" spans="1:15" x14ac:dyDescent="0.25">
      <c r="A429" s="2" t="s">
        <v>126</v>
      </c>
      <c r="B429" s="2">
        <v>1</v>
      </c>
      <c r="C429" s="8">
        <v>1</v>
      </c>
      <c r="D429" s="8">
        <v>1</v>
      </c>
      <c r="E429" s="1">
        <v>43784</v>
      </c>
      <c r="F429" s="3">
        <v>54</v>
      </c>
      <c r="G429" s="2" t="s">
        <v>19</v>
      </c>
      <c r="H429" s="23">
        <v>4</v>
      </c>
      <c r="I429" s="3">
        <v>30</v>
      </c>
      <c r="J429" s="3">
        <v>5</v>
      </c>
      <c r="K429" s="2">
        <f t="shared" si="6"/>
        <v>1.9634954084936205</v>
      </c>
      <c r="L429" s="3">
        <v>0</v>
      </c>
      <c r="M429" s="3">
        <v>1</v>
      </c>
      <c r="N429" s="3">
        <v>0</v>
      </c>
    </row>
    <row r="430" spans="1:15" x14ac:dyDescent="0.25">
      <c r="A430" s="2" t="s">
        <v>126</v>
      </c>
      <c r="B430" s="2">
        <v>1</v>
      </c>
      <c r="C430" s="8">
        <v>1</v>
      </c>
      <c r="D430" s="8">
        <v>1</v>
      </c>
      <c r="E430" s="1">
        <v>43784</v>
      </c>
      <c r="F430" s="3">
        <v>55</v>
      </c>
      <c r="G430" s="2" t="s">
        <v>19</v>
      </c>
      <c r="H430" s="5">
        <v>4</v>
      </c>
      <c r="I430" s="3">
        <v>26</v>
      </c>
      <c r="J430" s="3">
        <v>4</v>
      </c>
      <c r="K430" s="2">
        <f t="shared" si="6"/>
        <v>1.089085453244462</v>
      </c>
      <c r="L430" s="3">
        <v>0</v>
      </c>
      <c r="M430" s="3">
        <v>1</v>
      </c>
      <c r="N430" s="3">
        <v>0</v>
      </c>
    </row>
    <row r="431" spans="1:15" x14ac:dyDescent="0.25">
      <c r="A431" s="2" t="s">
        <v>126</v>
      </c>
      <c r="B431" s="2">
        <v>1</v>
      </c>
      <c r="C431" s="8">
        <v>1</v>
      </c>
      <c r="D431" s="8">
        <v>1</v>
      </c>
      <c r="E431" s="1">
        <v>43784</v>
      </c>
      <c r="F431" s="3">
        <v>56</v>
      </c>
      <c r="G431" s="2" t="s">
        <v>19</v>
      </c>
      <c r="H431" s="23">
        <v>4</v>
      </c>
      <c r="I431" s="3">
        <v>31</v>
      </c>
      <c r="J431" s="3">
        <v>3</v>
      </c>
      <c r="K431" s="2">
        <f t="shared" si="6"/>
        <v>0.73042029195962677</v>
      </c>
      <c r="L431" s="3">
        <v>0</v>
      </c>
      <c r="M431" s="3">
        <v>1</v>
      </c>
      <c r="N431" s="3">
        <v>0</v>
      </c>
    </row>
    <row r="432" spans="1:15" x14ac:dyDescent="0.25">
      <c r="A432" s="2" t="s">
        <v>126</v>
      </c>
      <c r="B432" s="2">
        <v>2</v>
      </c>
      <c r="C432" s="8">
        <v>0</v>
      </c>
      <c r="D432" s="8">
        <v>1</v>
      </c>
      <c r="E432" s="1">
        <v>43784</v>
      </c>
      <c r="F432" s="3">
        <v>38</v>
      </c>
      <c r="G432" s="2" t="s">
        <v>19</v>
      </c>
      <c r="H432" s="5">
        <v>4</v>
      </c>
      <c r="I432" s="3">
        <v>66</v>
      </c>
      <c r="J432" s="3">
        <v>9</v>
      </c>
      <c r="K432" s="2">
        <f t="shared" si="6"/>
        <v>13.99579527174253</v>
      </c>
      <c r="L432" s="3">
        <v>0</v>
      </c>
      <c r="M432" s="3">
        <v>0</v>
      </c>
      <c r="N432" s="3">
        <v>0</v>
      </c>
    </row>
    <row r="433" spans="1:15" x14ac:dyDescent="0.25">
      <c r="A433" s="2" t="s">
        <v>126</v>
      </c>
      <c r="B433" s="2">
        <v>2</v>
      </c>
      <c r="C433" s="8">
        <v>0</v>
      </c>
      <c r="D433" s="8">
        <v>1</v>
      </c>
      <c r="E433" s="1">
        <v>43784</v>
      </c>
      <c r="F433" s="3">
        <v>39</v>
      </c>
      <c r="G433" s="2" t="s">
        <v>19</v>
      </c>
      <c r="H433" s="23">
        <v>4</v>
      </c>
      <c r="I433" s="3">
        <v>115</v>
      </c>
      <c r="J433" s="3">
        <v>18.5</v>
      </c>
      <c r="K433" s="2">
        <f t="shared" si="6"/>
        <v>103.04096654539774</v>
      </c>
      <c r="L433" s="3">
        <v>0</v>
      </c>
      <c r="M433" s="3">
        <v>0</v>
      </c>
      <c r="N433" s="3">
        <v>0</v>
      </c>
    </row>
    <row r="434" spans="1:15" x14ac:dyDescent="0.25">
      <c r="A434" s="2" t="s">
        <v>126</v>
      </c>
      <c r="B434" s="2">
        <v>2</v>
      </c>
      <c r="C434" s="8">
        <v>0</v>
      </c>
      <c r="D434" s="8">
        <v>1</v>
      </c>
      <c r="E434" s="1">
        <v>43784</v>
      </c>
      <c r="F434" s="3">
        <v>40</v>
      </c>
      <c r="G434" s="2" t="s">
        <v>19</v>
      </c>
      <c r="H434" s="5">
        <v>4</v>
      </c>
      <c r="I434" s="3">
        <v>80</v>
      </c>
      <c r="J434" s="3">
        <v>10</v>
      </c>
      <c r="K434" s="2">
        <f t="shared" si="6"/>
        <v>20.943951023931955</v>
      </c>
      <c r="L434" s="3">
        <v>0</v>
      </c>
      <c r="M434" s="3">
        <v>0</v>
      </c>
      <c r="N434" s="3">
        <v>0</v>
      </c>
    </row>
    <row r="435" spans="1:15" x14ac:dyDescent="0.25">
      <c r="A435" s="2" t="s">
        <v>126</v>
      </c>
      <c r="B435" s="2">
        <v>2</v>
      </c>
      <c r="C435" s="8">
        <v>0</v>
      </c>
      <c r="D435" s="8">
        <v>1</v>
      </c>
      <c r="E435" s="1">
        <v>43784</v>
      </c>
      <c r="F435" s="3">
        <v>41</v>
      </c>
      <c r="G435" s="2" t="s">
        <v>19</v>
      </c>
      <c r="H435" s="23">
        <v>4</v>
      </c>
      <c r="I435" s="3">
        <v>71</v>
      </c>
      <c r="J435" s="3">
        <v>8</v>
      </c>
      <c r="K435" s="2">
        <f t="shared" si="6"/>
        <v>11.896164181593351</v>
      </c>
      <c r="L435" s="3">
        <v>0</v>
      </c>
      <c r="M435" s="3">
        <v>0</v>
      </c>
      <c r="N435" s="3">
        <v>0</v>
      </c>
    </row>
    <row r="436" spans="1:15" x14ac:dyDescent="0.25">
      <c r="A436" s="2" t="s">
        <v>126</v>
      </c>
      <c r="B436" s="2">
        <v>2</v>
      </c>
      <c r="C436" s="8">
        <v>0</v>
      </c>
      <c r="D436" s="8">
        <v>1</v>
      </c>
      <c r="E436" s="1">
        <v>43784</v>
      </c>
      <c r="F436" s="3">
        <v>42</v>
      </c>
      <c r="G436" s="2" t="s">
        <v>19</v>
      </c>
      <c r="H436" s="5">
        <v>4</v>
      </c>
      <c r="I436" s="3">
        <v>61</v>
      </c>
      <c r="J436" s="3">
        <v>9</v>
      </c>
      <c r="K436" s="2">
        <f t="shared" si="6"/>
        <v>12.935507751155974</v>
      </c>
      <c r="L436" s="3">
        <v>0</v>
      </c>
      <c r="M436" s="3">
        <v>0</v>
      </c>
      <c r="N436" s="3">
        <v>0</v>
      </c>
      <c r="O436" s="2" t="s">
        <v>129</v>
      </c>
    </row>
    <row r="437" spans="1:15" x14ac:dyDescent="0.25">
      <c r="A437" s="2" t="s">
        <v>126</v>
      </c>
      <c r="B437" s="2">
        <v>2</v>
      </c>
      <c r="C437" s="8">
        <v>0</v>
      </c>
      <c r="D437" s="8">
        <v>1</v>
      </c>
      <c r="E437" s="1">
        <v>43784</v>
      </c>
      <c r="F437" s="3">
        <v>43</v>
      </c>
      <c r="G437" s="2" t="s">
        <v>19</v>
      </c>
      <c r="H437" s="23">
        <v>4</v>
      </c>
      <c r="I437" s="3">
        <v>61</v>
      </c>
      <c r="J437" s="3">
        <v>9.5</v>
      </c>
      <c r="K437" s="2">
        <f t="shared" si="6"/>
        <v>14.412710796812673</v>
      </c>
      <c r="L437" s="3">
        <v>1</v>
      </c>
      <c r="M437" s="3">
        <v>0</v>
      </c>
      <c r="N437" s="3">
        <v>0</v>
      </c>
    </row>
    <row r="438" spans="1:15" x14ac:dyDescent="0.25">
      <c r="A438" s="2" t="s">
        <v>126</v>
      </c>
      <c r="B438" s="2">
        <v>2</v>
      </c>
      <c r="C438" s="8">
        <v>0</v>
      </c>
      <c r="D438" s="8">
        <v>1</v>
      </c>
      <c r="E438" s="1">
        <v>43784</v>
      </c>
      <c r="F438" s="3">
        <v>44</v>
      </c>
      <c r="G438" s="2" t="s">
        <v>19</v>
      </c>
      <c r="H438" s="5">
        <v>4</v>
      </c>
      <c r="I438" s="3">
        <v>106</v>
      </c>
      <c r="J438" s="3">
        <v>14</v>
      </c>
      <c r="K438" s="2">
        <f t="shared" si="6"/>
        <v>54.391440809151277</v>
      </c>
      <c r="L438" s="3">
        <v>0</v>
      </c>
      <c r="M438" s="3">
        <v>0</v>
      </c>
      <c r="N438" s="3">
        <v>0</v>
      </c>
    </row>
    <row r="439" spans="1:15" x14ac:dyDescent="0.25">
      <c r="A439" s="2" t="s">
        <v>126</v>
      </c>
      <c r="B439" s="2">
        <v>4</v>
      </c>
      <c r="C439" s="8">
        <v>1</v>
      </c>
      <c r="D439" s="8">
        <v>0</v>
      </c>
      <c r="E439" s="1">
        <v>43784</v>
      </c>
      <c r="F439" s="3">
        <v>38</v>
      </c>
      <c r="G439" s="2" t="s">
        <v>19</v>
      </c>
      <c r="H439" s="23">
        <v>4</v>
      </c>
      <c r="I439" s="3">
        <v>83</v>
      </c>
      <c r="J439" s="3">
        <v>12</v>
      </c>
      <c r="K439" s="2">
        <f t="shared" si="6"/>
        <v>31.29026282975434</v>
      </c>
      <c r="L439" s="3">
        <v>0</v>
      </c>
      <c r="M439" s="3">
        <v>0</v>
      </c>
      <c r="N439" s="3">
        <v>0</v>
      </c>
    </row>
  </sheetData>
  <sortState ref="A2:O439">
    <sortCondition descending="1" ref="G2:G43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opLeftCell="C1" workbookViewId="0">
      <selection activeCell="K1" sqref="K1:L1"/>
    </sheetView>
  </sheetViews>
  <sheetFormatPr defaultColWidth="11" defaultRowHeight="15.75" x14ac:dyDescent="0.25"/>
  <cols>
    <col min="1" max="1" width="20.375" bestFit="1" customWidth="1"/>
    <col min="2" max="2" width="13" bestFit="1" customWidth="1"/>
    <col min="3" max="3" width="22.875" bestFit="1" customWidth="1"/>
    <col min="4" max="4" width="22" bestFit="1" customWidth="1"/>
    <col min="5" max="5" width="23.875" bestFit="1" customWidth="1"/>
    <col min="6" max="6" width="23" bestFit="1" customWidth="1"/>
    <col min="7" max="7" width="29" bestFit="1" customWidth="1"/>
    <col min="8" max="8" width="28.125" bestFit="1" customWidth="1"/>
    <col min="9" max="9" width="17.625" bestFit="1" customWidth="1"/>
    <col min="10" max="10" width="12.125" bestFit="1" customWidth="1"/>
    <col min="11" max="11" width="28.625" bestFit="1" customWidth="1"/>
  </cols>
  <sheetData>
    <row r="1" spans="1:12" x14ac:dyDescent="0.25">
      <c r="B1" s="15" t="s">
        <v>8</v>
      </c>
      <c r="C1" t="s">
        <v>17</v>
      </c>
      <c r="K1" s="10" t="s">
        <v>154</v>
      </c>
      <c r="L1" s="10">
        <f>17.4^2</f>
        <v>302.75999999999993</v>
      </c>
    </row>
    <row r="3" spans="1:12" x14ac:dyDescent="0.25">
      <c r="B3" s="15" t="s">
        <v>141</v>
      </c>
      <c r="C3" t="s">
        <v>147</v>
      </c>
      <c r="D3" t="s">
        <v>148</v>
      </c>
      <c r="E3" t="s">
        <v>149</v>
      </c>
      <c r="F3" t="s">
        <v>150</v>
      </c>
      <c r="G3" t="s">
        <v>151</v>
      </c>
      <c r="H3" t="s">
        <v>152</v>
      </c>
      <c r="I3" t="s">
        <v>153</v>
      </c>
      <c r="J3" t="s">
        <v>160</v>
      </c>
      <c r="K3" t="s">
        <v>155</v>
      </c>
      <c r="L3" t="s">
        <v>159</v>
      </c>
    </row>
    <row r="4" spans="1:12" x14ac:dyDescent="0.25">
      <c r="A4" t="s">
        <v>143</v>
      </c>
      <c r="B4" s="16">
        <v>1</v>
      </c>
      <c r="C4" s="18">
        <v>96.258196721311478</v>
      </c>
      <c r="D4" s="18">
        <v>38.263021529356799</v>
      </c>
      <c r="E4" s="18">
        <v>12.323770491803279</v>
      </c>
      <c r="F4" s="18">
        <v>5.2785712642265965</v>
      </c>
      <c r="G4" s="18">
        <v>58.344214574043498</v>
      </c>
      <c r="H4" s="18">
        <v>76.811976156851358</v>
      </c>
      <c r="I4" s="18">
        <v>122</v>
      </c>
    </row>
    <row r="5" spans="1:12" x14ac:dyDescent="0.25">
      <c r="B5" s="17" t="s">
        <v>50</v>
      </c>
      <c r="C5" s="18">
        <v>79.984375</v>
      </c>
      <c r="D5" s="18">
        <v>24.289412393787625</v>
      </c>
      <c r="E5" s="18">
        <v>10.078125</v>
      </c>
      <c r="F5" s="18">
        <v>3.3938021664736575</v>
      </c>
      <c r="G5" s="18">
        <v>26.809361776800181</v>
      </c>
      <c r="H5" s="18">
        <v>22.999132164408699</v>
      </c>
      <c r="I5" s="18">
        <v>32</v>
      </c>
      <c r="J5">
        <f>32/L1</f>
        <v>0.10569427929713307</v>
      </c>
    </row>
    <row r="6" spans="1:12" x14ac:dyDescent="0.25">
      <c r="B6" s="17" t="s">
        <v>16</v>
      </c>
      <c r="C6" s="18">
        <v>82.390243902439025</v>
      </c>
      <c r="D6" s="18">
        <v>35.213547143663682</v>
      </c>
      <c r="E6" s="18">
        <v>10.536585365853659</v>
      </c>
      <c r="F6" s="18">
        <v>4.1236971334932546</v>
      </c>
      <c r="G6" s="18">
        <v>34.996575918879657</v>
      </c>
      <c r="H6" s="18">
        <v>40.102173253170278</v>
      </c>
      <c r="I6" s="18">
        <v>41</v>
      </c>
      <c r="J6">
        <f>41/L1</f>
        <v>0.13542079534945173</v>
      </c>
    </row>
    <row r="7" spans="1:12" x14ac:dyDescent="0.25">
      <c r="B7" s="17" t="s">
        <v>126</v>
      </c>
      <c r="C7" s="18">
        <v>89.631578947368425</v>
      </c>
      <c r="D7" s="18">
        <v>28.044033879905893</v>
      </c>
      <c r="E7" s="18">
        <v>12.421052631578947</v>
      </c>
      <c r="F7" s="18">
        <v>4.4884517186229544</v>
      </c>
      <c r="G7" s="18">
        <v>47.443560635264802</v>
      </c>
      <c r="H7" s="18">
        <v>42.955471475244416</v>
      </c>
      <c r="I7" s="18">
        <v>19</v>
      </c>
      <c r="J7">
        <f>19/L1</f>
        <v>6.2755978332672754E-2</v>
      </c>
    </row>
    <row r="8" spans="1:12" x14ac:dyDescent="0.25">
      <c r="B8" s="17" t="s">
        <v>130</v>
      </c>
      <c r="C8" s="18">
        <v>136.76666666666668</v>
      </c>
      <c r="D8" s="18">
        <v>31.449667870987181</v>
      </c>
      <c r="E8" s="18">
        <v>17.100000000000001</v>
      </c>
      <c r="F8" s="18">
        <v>5.8566201857385307</v>
      </c>
      <c r="G8" s="18">
        <v>130.79357788105347</v>
      </c>
      <c r="H8" s="18">
        <v>115.38160518809639</v>
      </c>
      <c r="I8" s="18">
        <v>30</v>
      </c>
      <c r="J8">
        <f>30/L1</f>
        <v>9.9088386841062248E-2</v>
      </c>
    </row>
    <row r="9" spans="1:12" x14ac:dyDescent="0.25">
      <c r="A9" t="s">
        <v>144</v>
      </c>
      <c r="B9" s="16">
        <v>2</v>
      </c>
      <c r="C9" s="18">
        <v>97.5</v>
      </c>
      <c r="D9" s="18">
        <v>27.585682509556879</v>
      </c>
      <c r="E9" s="18">
        <v>11.511904761904763</v>
      </c>
      <c r="F9" s="18">
        <v>4.4532215159745308</v>
      </c>
      <c r="G9" s="18">
        <v>44.755750716586213</v>
      </c>
      <c r="H9" s="18">
        <v>41.216537453583811</v>
      </c>
      <c r="I9" s="18">
        <v>84</v>
      </c>
      <c r="K9">
        <f>AVERAGE(J5:J8)</f>
        <v>0.10073985995507995</v>
      </c>
      <c r="L9">
        <f>_xlfn.STDEV.S(J5:J8)</f>
        <v>2.9848596714066044E-2</v>
      </c>
    </row>
    <row r="10" spans="1:12" x14ac:dyDescent="0.25">
      <c r="B10" s="17" t="s">
        <v>50</v>
      </c>
      <c r="C10" s="18">
        <v>75.099999999999994</v>
      </c>
      <c r="D10" s="18">
        <v>19.750949344272041</v>
      </c>
      <c r="E10" s="18">
        <v>8.3000000000000007</v>
      </c>
      <c r="F10" s="18">
        <v>2.7100635498903798</v>
      </c>
      <c r="G10" s="18">
        <v>16.673479410152229</v>
      </c>
      <c r="H10" s="18">
        <v>13.424916542321014</v>
      </c>
      <c r="I10" s="18">
        <v>10</v>
      </c>
      <c r="J10">
        <f>10/L1</f>
        <v>3.3029462280354083E-2</v>
      </c>
    </row>
    <row r="11" spans="1:12" x14ac:dyDescent="0.25">
      <c r="B11" s="17" t="s">
        <v>16</v>
      </c>
      <c r="C11" s="18">
        <v>103.07317073170732</v>
      </c>
      <c r="D11" s="18">
        <v>27.530111009495087</v>
      </c>
      <c r="E11" s="18">
        <v>13</v>
      </c>
      <c r="F11" s="18">
        <v>4.3874821936960613</v>
      </c>
      <c r="G11" s="18">
        <v>56.227835807543883</v>
      </c>
      <c r="H11" s="18">
        <v>43.798618108802941</v>
      </c>
      <c r="I11" s="18">
        <v>41</v>
      </c>
      <c r="J11">
        <f>41/L1</f>
        <v>0.13542079534945173</v>
      </c>
    </row>
    <row r="12" spans="1:12" x14ac:dyDescent="0.25">
      <c r="B12" s="17" t="s">
        <v>126</v>
      </c>
      <c r="C12" s="18">
        <v>85.833333333333329</v>
      </c>
      <c r="D12" s="18">
        <v>24.108969788077314</v>
      </c>
      <c r="E12" s="18">
        <v>8.7083333333333339</v>
      </c>
      <c r="F12" s="18">
        <v>4.18035629915427</v>
      </c>
      <c r="G12" s="18">
        <v>24.117341394831524</v>
      </c>
      <c r="H12" s="18">
        <v>26.527450380914679</v>
      </c>
      <c r="I12" s="18">
        <v>12</v>
      </c>
      <c r="J12">
        <f>12/L1</f>
        <v>3.9635354736424898E-2</v>
      </c>
    </row>
    <row r="13" spans="1:12" x14ac:dyDescent="0.25">
      <c r="B13" s="17" t="s">
        <v>130</v>
      </c>
      <c r="C13" s="18">
        <v>103.95238095238095</v>
      </c>
      <c r="D13" s="18">
        <v>26.590367034842117</v>
      </c>
      <c r="E13" s="18">
        <v>11.738095238095237</v>
      </c>
      <c r="F13" s="18">
        <v>4.0516016821099514</v>
      </c>
      <c r="G13" s="18">
        <v>47.5237572021163</v>
      </c>
      <c r="H13" s="18">
        <v>42.632585112255057</v>
      </c>
      <c r="I13" s="18">
        <v>21</v>
      </c>
      <c r="J13">
        <f>21/L1</f>
        <v>6.9361870788743576E-2</v>
      </c>
    </row>
    <row r="14" spans="1:12" x14ac:dyDescent="0.25">
      <c r="A14" t="s">
        <v>145</v>
      </c>
      <c r="B14" s="16">
        <v>3</v>
      </c>
      <c r="C14" s="18">
        <v>59.964285714285715</v>
      </c>
      <c r="D14" s="18">
        <v>16.034864611741607</v>
      </c>
      <c r="E14" s="18">
        <v>9.7232142857142865</v>
      </c>
      <c r="F14" s="18">
        <v>5.7531964576676398</v>
      </c>
      <c r="G14" s="18">
        <v>23.738928300559273</v>
      </c>
      <c r="H14" s="18">
        <v>39.389066572528968</v>
      </c>
      <c r="I14" s="18">
        <v>56</v>
      </c>
      <c r="K14">
        <f>AVERAGE(J10:J13)</f>
        <v>6.9361870788743576E-2</v>
      </c>
      <c r="L14">
        <f>_xlfn.STDEV.S(J10:J13)</f>
        <v>4.6788499935869504E-2</v>
      </c>
    </row>
    <row r="15" spans="1:12" x14ac:dyDescent="0.25">
      <c r="B15" s="17" t="s">
        <v>50</v>
      </c>
      <c r="C15" s="18">
        <v>57.1875</v>
      </c>
      <c r="D15" s="18">
        <v>15.883363938410527</v>
      </c>
      <c r="E15" s="18">
        <v>6.5</v>
      </c>
      <c r="F15" s="18">
        <v>3.1167748898959182</v>
      </c>
      <c r="G15" s="18">
        <v>8.4811547923708215</v>
      </c>
      <c r="H15" s="18">
        <v>9.4015594784105048</v>
      </c>
      <c r="I15" s="18">
        <v>8</v>
      </c>
      <c r="J15">
        <f>8/L1</f>
        <v>2.6423569824283268E-2</v>
      </c>
    </row>
    <row r="16" spans="1:12" x14ac:dyDescent="0.25">
      <c r="B16" s="17" t="s">
        <v>16</v>
      </c>
      <c r="C16" s="18">
        <v>55.277777777777779</v>
      </c>
      <c r="D16" s="18">
        <v>12.851209856322544</v>
      </c>
      <c r="E16" s="18">
        <v>7.333333333333333</v>
      </c>
      <c r="F16" s="18">
        <v>2.8901455285972348</v>
      </c>
      <c r="G16" s="18">
        <v>9.5468055643046501</v>
      </c>
      <c r="H16" s="18">
        <v>7.3704481954321635</v>
      </c>
      <c r="I16" s="18">
        <v>18</v>
      </c>
      <c r="J16">
        <f>18/L1</f>
        <v>5.945303210463735E-2</v>
      </c>
    </row>
    <row r="17" spans="1:12" x14ac:dyDescent="0.25">
      <c r="B17" s="17" t="s">
        <v>126</v>
      </c>
      <c r="C17" s="18">
        <v>56.642857142857146</v>
      </c>
      <c r="D17" s="18">
        <v>14.008075901999897</v>
      </c>
      <c r="E17" s="18">
        <v>6.9285714285714288</v>
      </c>
      <c r="F17" s="18">
        <v>1.6938263249364205</v>
      </c>
      <c r="G17" s="18">
        <v>8.075482616008836</v>
      </c>
      <c r="H17" s="18">
        <v>5.9277487357495877</v>
      </c>
      <c r="I17" s="18">
        <v>7</v>
      </c>
      <c r="J17">
        <f>7/L1</f>
        <v>2.3120623596247857E-2</v>
      </c>
    </row>
    <row r="18" spans="1:12" x14ac:dyDescent="0.25">
      <c r="B18" s="17" t="s">
        <v>130</v>
      </c>
      <c r="C18" s="18">
        <v>65.608695652173907</v>
      </c>
      <c r="D18" s="18">
        <v>17.994289827697067</v>
      </c>
      <c r="E18" s="18">
        <v>13.565217391304348</v>
      </c>
      <c r="F18" s="18">
        <v>6.7861897660986434</v>
      </c>
      <c r="G18" s="18">
        <v>44.919994261861191</v>
      </c>
      <c r="H18" s="18">
        <v>54.79524160162169</v>
      </c>
      <c r="I18" s="18">
        <v>23</v>
      </c>
      <c r="J18">
        <f>23/L1</f>
        <v>7.5967763244814385E-2</v>
      </c>
    </row>
    <row r="19" spans="1:12" x14ac:dyDescent="0.25">
      <c r="A19" t="s">
        <v>146</v>
      </c>
      <c r="B19" s="16">
        <v>4</v>
      </c>
      <c r="C19" s="18">
        <v>52.141891891891895</v>
      </c>
      <c r="D19" s="18">
        <v>17.941785671555746</v>
      </c>
      <c r="E19" s="18">
        <v>7.75</v>
      </c>
      <c r="F19" s="18">
        <v>2.8031904523825646</v>
      </c>
      <c r="G19" s="18">
        <v>10.450359373324721</v>
      </c>
      <c r="H19" s="18">
        <v>9.7442496830517182</v>
      </c>
      <c r="I19" s="18">
        <v>74</v>
      </c>
      <c r="K19">
        <f>AVERAGE(J15:J18)</f>
        <v>4.6241247192495713E-2</v>
      </c>
      <c r="L19">
        <f>_xlfn.STDEV.S(J15:J18)</f>
        <v>2.5726254999665139E-2</v>
      </c>
    </row>
    <row r="20" spans="1:12" x14ac:dyDescent="0.25">
      <c r="B20" s="17" t="s">
        <v>50</v>
      </c>
      <c r="C20" s="18">
        <v>48.462962962962962</v>
      </c>
      <c r="D20" s="18">
        <v>17.381425721555761</v>
      </c>
      <c r="E20" s="18">
        <v>7.4814814814814818</v>
      </c>
      <c r="F20" s="18">
        <v>2.9005353666358578</v>
      </c>
      <c r="G20" s="18">
        <v>9.6023167307916921</v>
      </c>
      <c r="H20" s="18">
        <v>9.9311290068665485</v>
      </c>
      <c r="I20" s="18">
        <v>27</v>
      </c>
      <c r="J20">
        <f>27/L1</f>
        <v>8.9179548156956029E-2</v>
      </c>
    </row>
    <row r="21" spans="1:12" x14ac:dyDescent="0.25">
      <c r="B21" s="17" t="s">
        <v>16</v>
      </c>
      <c r="C21" s="18">
        <v>48.125</v>
      </c>
      <c r="D21" s="18">
        <v>13.860615666941591</v>
      </c>
      <c r="E21" s="18">
        <v>5.875</v>
      </c>
      <c r="F21" s="18">
        <v>2.8254793103707789</v>
      </c>
      <c r="G21" s="18">
        <v>5.5954710403546963</v>
      </c>
      <c r="H21" s="18">
        <v>6.0895923283760167</v>
      </c>
      <c r="I21" s="18">
        <v>16</v>
      </c>
      <c r="J21">
        <f>16/L1</f>
        <v>5.2847139648566535E-2</v>
      </c>
    </row>
    <row r="22" spans="1:12" x14ac:dyDescent="0.25">
      <c r="B22" s="17" t="s">
        <v>126</v>
      </c>
      <c r="C22" s="18">
        <v>54.444444444444443</v>
      </c>
      <c r="D22" s="18">
        <v>14.765763704521952</v>
      </c>
      <c r="E22" s="18">
        <v>8.1666666666666661</v>
      </c>
      <c r="F22" s="18">
        <v>1.5</v>
      </c>
      <c r="G22" s="18">
        <v>10.570586614703659</v>
      </c>
      <c r="H22" s="18">
        <v>6.3421605495810534</v>
      </c>
      <c r="I22" s="18">
        <v>9</v>
      </c>
      <c r="J22">
        <f>9/L1</f>
        <v>2.9726516052318675E-2</v>
      </c>
    </row>
    <row r="23" spans="1:12" x14ac:dyDescent="0.25">
      <c r="B23" s="17" t="s">
        <v>130</v>
      </c>
      <c r="C23" s="18">
        <v>58.636363636363633</v>
      </c>
      <c r="D23" s="18">
        <v>21.178482913753257</v>
      </c>
      <c r="E23" s="18">
        <v>9.2727272727272734</v>
      </c>
      <c r="F23" s="18">
        <v>2.2505410604863578</v>
      </c>
      <c r="G23" s="18">
        <v>14.972782987120262</v>
      </c>
      <c r="H23" s="18">
        <v>11.217376114879627</v>
      </c>
      <c r="I23" s="18">
        <v>22</v>
      </c>
      <c r="J23">
        <f>22/L1</f>
        <v>7.2664817016778988E-2</v>
      </c>
    </row>
    <row r="24" spans="1:12" x14ac:dyDescent="0.25">
      <c r="B24" s="16" t="s">
        <v>142</v>
      </c>
      <c r="C24" s="18">
        <v>80.803571428571431</v>
      </c>
      <c r="D24" s="18">
        <v>35.222874000831695</v>
      </c>
      <c r="E24" s="18">
        <v>10.680059523809524</v>
      </c>
      <c r="F24" s="18">
        <v>5.032982676635398</v>
      </c>
      <c r="G24" s="18">
        <v>38.631499454416392</v>
      </c>
      <c r="H24" s="18">
        <v>56.487272024515669</v>
      </c>
      <c r="I24" s="18">
        <v>336</v>
      </c>
      <c r="K24">
        <f>AVERAGE(J20:J23)</f>
        <v>6.1104505218655063E-2</v>
      </c>
      <c r="L24">
        <f>_xlfn.STDEV.S(J20:J23)</f>
        <v>2.5655481124171049E-2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5"/>
  <sheetViews>
    <sheetView topLeftCell="A4" workbookViewId="0">
      <selection activeCell="L9" sqref="L9"/>
    </sheetView>
  </sheetViews>
  <sheetFormatPr defaultColWidth="11" defaultRowHeight="15.75" x14ac:dyDescent="0.25"/>
  <cols>
    <col min="1" max="1" width="24.375" bestFit="1" customWidth="1"/>
    <col min="2" max="2" width="17.625" bestFit="1" customWidth="1"/>
    <col min="3" max="3" width="20.625" bestFit="1" customWidth="1"/>
    <col min="4" max="4" width="13" bestFit="1" customWidth="1"/>
    <col min="6" max="6" width="17.875" bestFit="1" customWidth="1"/>
  </cols>
  <sheetData>
    <row r="2" spans="1:7" x14ac:dyDescent="0.25">
      <c r="D2" s="10" t="s">
        <v>154</v>
      </c>
      <c r="E2" s="10">
        <f>17.4^2</f>
        <v>302.75999999999993</v>
      </c>
    </row>
    <row r="3" spans="1:7" x14ac:dyDescent="0.25">
      <c r="A3" s="15" t="s">
        <v>141</v>
      </c>
      <c r="B3" t="s">
        <v>153</v>
      </c>
      <c r="C3" t="s">
        <v>161</v>
      </c>
    </row>
    <row r="4" spans="1:7" x14ac:dyDescent="0.25">
      <c r="A4" s="16" t="s">
        <v>50</v>
      </c>
      <c r="B4" s="18">
        <v>26</v>
      </c>
      <c r="C4">
        <f>GETPIVOTDATA("SeedlingSP",$A$3,"Plot Name","A")/E2</f>
        <v>8.5876601928920618E-2</v>
      </c>
    </row>
    <row r="5" spans="1:7" x14ac:dyDescent="0.25">
      <c r="A5" s="17">
        <v>1</v>
      </c>
      <c r="B5" s="18">
        <v>10</v>
      </c>
      <c r="E5" t="s">
        <v>5</v>
      </c>
      <c r="F5" t="s">
        <v>162</v>
      </c>
      <c r="G5" t="s">
        <v>163</v>
      </c>
    </row>
    <row r="6" spans="1:7" x14ac:dyDescent="0.25">
      <c r="A6" s="22" t="s">
        <v>19</v>
      </c>
      <c r="B6" s="18">
        <v>10</v>
      </c>
      <c r="C6">
        <f>GETPIVOTDATA("SeedlingSP",$A$3,"Plot Name","A","Plot No",1,"SeedlingSP","Douglas-Fir")/E2</f>
        <v>3.3029462280354083E-2</v>
      </c>
      <c r="E6" t="s">
        <v>47</v>
      </c>
      <c r="F6" t="s">
        <v>19</v>
      </c>
      <c r="G6">
        <v>2.3120623596247857E-2</v>
      </c>
    </row>
    <row r="7" spans="1:7" x14ac:dyDescent="0.25">
      <c r="A7" s="17">
        <v>2</v>
      </c>
      <c r="B7" s="18">
        <v>1</v>
      </c>
      <c r="F7" t="s">
        <v>18</v>
      </c>
      <c r="G7">
        <v>1.3211784912141634E-2</v>
      </c>
    </row>
    <row r="8" spans="1:7" x14ac:dyDescent="0.25">
      <c r="A8" s="22" t="s">
        <v>19</v>
      </c>
      <c r="B8" s="18">
        <v>1</v>
      </c>
      <c r="C8">
        <f>GETPIVOTDATA("SeedlingSP",$A$3,"Plot Name","A","Plot No",2,"SeedlingSP","Douglas-Fir")/E2</f>
        <v>3.3029462280354084E-3</v>
      </c>
      <c r="E8" t="s">
        <v>41</v>
      </c>
      <c r="F8" t="s">
        <v>19</v>
      </c>
      <c r="G8">
        <v>4.6241247192495713E-2</v>
      </c>
    </row>
    <row r="9" spans="1:7" x14ac:dyDescent="0.25">
      <c r="A9" s="17">
        <v>3</v>
      </c>
      <c r="B9" s="18">
        <v>5</v>
      </c>
      <c r="E9" t="s">
        <v>46</v>
      </c>
      <c r="F9" t="s">
        <v>19</v>
      </c>
      <c r="G9">
        <v>9.9088386841062245E-3</v>
      </c>
    </row>
    <row r="10" spans="1:7" x14ac:dyDescent="0.25">
      <c r="A10" s="22" t="s">
        <v>19</v>
      </c>
      <c r="B10" s="18">
        <v>5</v>
      </c>
      <c r="C10">
        <f>GETPIVOTDATA("SeedlingSP",$A$3,"Plot Name","A","Plot No",3,"SeedlingSP","Douglas-Fir")/E2</f>
        <v>1.6514731140177041E-2</v>
      </c>
      <c r="F10" t="s">
        <v>27</v>
      </c>
      <c r="G10">
        <v>1.3211784912141634E-2</v>
      </c>
    </row>
    <row r="11" spans="1:7" x14ac:dyDescent="0.25">
      <c r="A11" s="17">
        <v>4</v>
      </c>
      <c r="B11" s="18">
        <v>10</v>
      </c>
      <c r="F11" t="s">
        <v>28</v>
      </c>
      <c r="G11">
        <v>9.9088386841062245E-3</v>
      </c>
    </row>
    <row r="12" spans="1:7" x14ac:dyDescent="0.25">
      <c r="A12" s="22" t="s">
        <v>19</v>
      </c>
      <c r="B12" s="18">
        <v>10</v>
      </c>
      <c r="C12">
        <f>GETPIVOTDATA("SeedlingSP",$A$3,"Plot Name","A","Plot No",4,"SeedlingSP","Douglas-Fir")/E2</f>
        <v>3.3029462280354083E-2</v>
      </c>
      <c r="E12" t="s">
        <v>48</v>
      </c>
      <c r="F12" t="s">
        <v>19</v>
      </c>
      <c r="G12">
        <v>2.9726516052318675E-2</v>
      </c>
    </row>
    <row r="13" spans="1:7" x14ac:dyDescent="0.25">
      <c r="A13" s="16" t="s">
        <v>16</v>
      </c>
      <c r="B13" s="18">
        <v>49</v>
      </c>
      <c r="C13">
        <f>GETPIVOTDATA("SeedlingSP",$A$3,"Plot Name","B")/E2</f>
        <v>0.16184436517373502</v>
      </c>
      <c r="F13" t="s">
        <v>27</v>
      </c>
      <c r="G13">
        <v>3.3029462280354084E-3</v>
      </c>
    </row>
    <row r="14" spans="1:7" x14ac:dyDescent="0.25">
      <c r="A14" s="17">
        <v>1</v>
      </c>
      <c r="B14" s="18">
        <v>11</v>
      </c>
      <c r="C14">
        <f>GETPIVOTDATA("SeedlingSP",$A$3,"Plot Name","B","Plot No",1)/E2</f>
        <v>3.6332408508389494E-2</v>
      </c>
      <c r="F14" t="s">
        <v>18</v>
      </c>
      <c r="G14">
        <v>9.9088386841062245E-3</v>
      </c>
    </row>
    <row r="15" spans="1:7" x14ac:dyDescent="0.25">
      <c r="A15" s="22" t="s">
        <v>19</v>
      </c>
      <c r="B15" s="18">
        <v>7</v>
      </c>
      <c r="C15">
        <f>GETPIVOTDATA("SeedlingSP",$A$3,"Plot Name","B","Plot No",1,"SeedlingSP","Douglas-Fir")/E2</f>
        <v>2.3120623596247857E-2</v>
      </c>
      <c r="F15" t="s">
        <v>28</v>
      </c>
      <c r="G15">
        <v>3.3029462280354084E-3</v>
      </c>
    </row>
    <row r="16" spans="1:7" x14ac:dyDescent="0.25">
      <c r="A16" s="22" t="s">
        <v>18</v>
      </c>
      <c r="B16" s="18">
        <v>4</v>
      </c>
      <c r="C16">
        <f>GETPIVOTDATA("SeedlingSP",$A$3,"Plot Name","B","Plot No",1,"SeedlingSP","Sitka Spruce")/E2</f>
        <v>1.3211784912141634E-2</v>
      </c>
    </row>
    <row r="17" spans="1:3" x14ac:dyDescent="0.25">
      <c r="A17" s="17">
        <v>2</v>
      </c>
      <c r="B17" s="18">
        <v>14</v>
      </c>
    </row>
    <row r="18" spans="1:3" x14ac:dyDescent="0.25">
      <c r="A18" s="22" t="s">
        <v>19</v>
      </c>
      <c r="B18" s="18">
        <v>14</v>
      </c>
      <c r="C18">
        <f>GETPIVOTDATA("SeedlingSP",$A$3,"Plot Name","B","Plot No",2,"SeedlingSP","Douglas-Fir")/E2</f>
        <v>4.6241247192495713E-2</v>
      </c>
    </row>
    <row r="19" spans="1:3" x14ac:dyDescent="0.25">
      <c r="A19" s="17">
        <v>3</v>
      </c>
      <c r="B19" s="18">
        <v>10</v>
      </c>
      <c r="C19">
        <f>GETPIVOTDATA("SeedlingSP",$A$3,"Plot Name","B","Plot No",3)/E2</f>
        <v>3.3029462280354083E-2</v>
      </c>
    </row>
    <row r="20" spans="1:3" x14ac:dyDescent="0.25">
      <c r="A20" s="22" t="s">
        <v>19</v>
      </c>
      <c r="B20" s="18">
        <v>3</v>
      </c>
      <c r="C20">
        <f>GETPIVOTDATA("SeedlingSP",$A$3,"Plot Name","B","Plot No",3,"SeedlingSP","Douglas-Fir")/E2</f>
        <v>9.9088386841062245E-3</v>
      </c>
    </row>
    <row r="21" spans="1:3" x14ac:dyDescent="0.25">
      <c r="A21" s="22" t="s">
        <v>27</v>
      </c>
      <c r="B21" s="18">
        <v>4</v>
      </c>
      <c r="C21">
        <f>GETPIVOTDATA("SeedlingSP",$A$3,"Plot Name","B","Plot No",3,"SeedlingSP","Grand Fir")/E2</f>
        <v>1.3211784912141634E-2</v>
      </c>
    </row>
    <row r="22" spans="1:3" x14ac:dyDescent="0.25">
      <c r="A22" s="22" t="s">
        <v>28</v>
      </c>
      <c r="B22" s="18">
        <v>3</v>
      </c>
      <c r="C22">
        <f>GETPIVOTDATA("SeedlingSP",$A$3,"Plot Name","B","Plot No",3,"SeedlingSP","Western White Pine")/E2</f>
        <v>9.9088386841062245E-3</v>
      </c>
    </row>
    <row r="23" spans="1:3" x14ac:dyDescent="0.25">
      <c r="A23" s="17">
        <v>4</v>
      </c>
      <c r="B23" s="18">
        <v>14</v>
      </c>
      <c r="C23">
        <f>GETPIVOTDATA("SeedlingSP",$A$3,"Plot Name","B","Plot No",4)/E2</f>
        <v>4.6241247192495713E-2</v>
      </c>
    </row>
    <row r="24" spans="1:3" x14ac:dyDescent="0.25">
      <c r="A24" s="22" t="s">
        <v>19</v>
      </c>
      <c r="B24" s="18">
        <v>9</v>
      </c>
      <c r="C24">
        <f>GETPIVOTDATA("SeedlingSP",$A$3,"Plot Name","B","Plot No",4,"SeedlingSP","Douglas-Fir")/E2</f>
        <v>2.9726516052318675E-2</v>
      </c>
    </row>
    <row r="25" spans="1:3" x14ac:dyDescent="0.25">
      <c r="A25" s="22" t="s">
        <v>27</v>
      </c>
      <c r="B25" s="18">
        <v>1</v>
      </c>
      <c r="C25">
        <f>GETPIVOTDATA("SeedlingSP",$A$3,"Plot Name","B","Plot No",4,"SeedlingSP","Grand Fir")/E2</f>
        <v>3.3029462280354084E-3</v>
      </c>
    </row>
    <row r="26" spans="1:3" x14ac:dyDescent="0.25">
      <c r="A26" s="22" t="s">
        <v>18</v>
      </c>
      <c r="B26" s="18">
        <v>3</v>
      </c>
      <c r="C26">
        <f>GETPIVOTDATA("SeedlingSP",$A$3,"Plot Name","B","Plot No",4,"SeedlingSP","Sitka Spruce")/E2</f>
        <v>9.9088386841062245E-3</v>
      </c>
    </row>
    <row r="27" spans="1:3" x14ac:dyDescent="0.25">
      <c r="A27" s="22" t="s">
        <v>28</v>
      </c>
      <c r="B27" s="18">
        <v>1</v>
      </c>
      <c r="C27">
        <f>GETPIVOTDATA("SeedlingSP",$A$3,"Plot Name","B","Plot No",4,"SeedlingSP","Western White Pine")/E2</f>
        <v>3.3029462280354084E-3</v>
      </c>
    </row>
    <row r="28" spans="1:3" x14ac:dyDescent="0.25">
      <c r="A28" s="16" t="s">
        <v>126</v>
      </c>
      <c r="B28" s="18">
        <v>27</v>
      </c>
      <c r="C28">
        <f>GETPIVOTDATA("SeedlingSP",$A$3,"Plot Name","C")/E2</f>
        <v>8.9179548156956029E-2</v>
      </c>
    </row>
    <row r="29" spans="1:3" x14ac:dyDescent="0.25">
      <c r="A29" s="17">
        <v>1</v>
      </c>
      <c r="B29" s="18">
        <v>19</v>
      </c>
    </row>
    <row r="30" spans="1:3" x14ac:dyDescent="0.25">
      <c r="A30" s="22" t="s">
        <v>19</v>
      </c>
      <c r="B30" s="18">
        <v>19</v>
      </c>
      <c r="C30">
        <f>GETPIVOTDATA("SeedlingSP",$A$3,"Plot Name","C","Plot No",1,"SeedlingSP","Douglas-Fir")/E2</f>
        <v>6.2755978332672754E-2</v>
      </c>
    </row>
    <row r="31" spans="1:3" x14ac:dyDescent="0.25">
      <c r="A31" s="17">
        <v>2</v>
      </c>
      <c r="B31" s="18">
        <v>7</v>
      </c>
    </row>
    <row r="32" spans="1:3" x14ac:dyDescent="0.25">
      <c r="A32" s="22" t="s">
        <v>19</v>
      </c>
      <c r="B32" s="18">
        <v>7</v>
      </c>
      <c r="C32">
        <f>GETPIVOTDATA("SeedlingSP",$A$3,"Plot Name","C","Plot No",2,"SeedlingSP","Douglas-Fir")/E2</f>
        <v>2.3120623596247857E-2</v>
      </c>
    </row>
    <row r="33" spans="1:3" x14ac:dyDescent="0.25">
      <c r="A33" s="17">
        <v>4</v>
      </c>
      <c r="B33" s="18">
        <v>1</v>
      </c>
    </row>
    <row r="34" spans="1:3" x14ac:dyDescent="0.25">
      <c r="A34" s="22" t="s">
        <v>19</v>
      </c>
      <c r="B34" s="18">
        <v>1</v>
      </c>
      <c r="C34">
        <f>GETPIVOTDATA("SeedlingSP",$A$3,"Plot Name","C","Plot No",4,"SeedlingSP","Douglas-Fir")/E2</f>
        <v>3.3029462280354084E-3</v>
      </c>
    </row>
    <row r="35" spans="1:3" x14ac:dyDescent="0.25">
      <c r="A35" s="16" t="s">
        <v>142</v>
      </c>
      <c r="B35" s="18">
        <v>102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A11" sqref="A11:D15"/>
    </sheetView>
  </sheetViews>
  <sheetFormatPr defaultColWidth="8.875" defaultRowHeight="15.75" x14ac:dyDescent="0.25"/>
  <cols>
    <col min="1" max="1" width="12.375" bestFit="1" customWidth="1"/>
    <col min="2" max="2" width="18.625" bestFit="1" customWidth="1"/>
    <col min="3" max="3" width="23" bestFit="1" customWidth="1"/>
    <col min="4" max="4" width="22.125" bestFit="1" customWidth="1"/>
    <col min="5" max="5" width="23.875" bestFit="1" customWidth="1"/>
    <col min="6" max="6" width="24" bestFit="1" customWidth="1"/>
    <col min="7" max="7" width="29.5" bestFit="1" customWidth="1"/>
    <col min="8" max="8" width="30.625" bestFit="1" customWidth="1"/>
  </cols>
  <sheetData>
    <row r="1" spans="1:8" x14ac:dyDescent="0.25">
      <c r="A1" s="15" t="s">
        <v>8</v>
      </c>
      <c r="B1" t="s">
        <v>17</v>
      </c>
    </row>
    <row r="3" spans="1:8" x14ac:dyDescent="0.25">
      <c r="A3" s="15" t="s">
        <v>141</v>
      </c>
      <c r="B3" t="s">
        <v>153</v>
      </c>
      <c r="C3" t="s">
        <v>147</v>
      </c>
      <c r="D3" t="s">
        <v>148</v>
      </c>
      <c r="E3" t="s">
        <v>149</v>
      </c>
      <c r="F3" t="s">
        <v>166</v>
      </c>
      <c r="G3" t="s">
        <v>151</v>
      </c>
      <c r="H3" t="s">
        <v>167</v>
      </c>
    </row>
    <row r="4" spans="1:8" x14ac:dyDescent="0.25">
      <c r="A4" s="16" t="s">
        <v>50</v>
      </c>
      <c r="B4" s="18">
        <v>77</v>
      </c>
      <c r="C4" s="18">
        <v>65.928571428571431</v>
      </c>
      <c r="D4" s="18">
        <v>24.982061233185838</v>
      </c>
      <c r="E4" s="18">
        <v>8.5649350649350655</v>
      </c>
      <c r="F4" s="18">
        <v>3.3436415003062256</v>
      </c>
      <c r="G4" s="18">
        <v>17.555144948434673</v>
      </c>
      <c r="H4" s="18">
        <v>18.608679398284231</v>
      </c>
    </row>
    <row r="5" spans="1:8" x14ac:dyDescent="0.25">
      <c r="A5" s="16" t="s">
        <v>16</v>
      </c>
      <c r="B5" s="18">
        <v>116</v>
      </c>
      <c r="C5" s="18">
        <v>80.767241379310349</v>
      </c>
      <c r="D5" s="18">
        <v>34.24416364328652</v>
      </c>
      <c r="E5" s="18">
        <v>10.267241379310345</v>
      </c>
      <c r="F5" s="18">
        <v>4.6482493359387966</v>
      </c>
      <c r="G5" s="18">
        <v>34.496301013676927</v>
      </c>
      <c r="H5" s="18">
        <v>40.268825032683907</v>
      </c>
    </row>
    <row r="6" spans="1:8" x14ac:dyDescent="0.25">
      <c r="A6" s="16" t="s">
        <v>126</v>
      </c>
      <c r="B6" s="18">
        <v>47</v>
      </c>
      <c r="C6" s="18">
        <v>77.010638297872347</v>
      </c>
      <c r="D6" s="18">
        <v>27.552023787756681</v>
      </c>
      <c r="E6" s="18">
        <v>9.8404255319148941</v>
      </c>
      <c r="F6" s="18">
        <v>4.2132121162748568</v>
      </c>
      <c r="G6" s="18">
        <v>28.563817162817124</v>
      </c>
      <c r="H6" s="18">
        <v>34.372762860128525</v>
      </c>
    </row>
    <row r="7" spans="1:8" x14ac:dyDescent="0.25">
      <c r="A7" s="16" t="s">
        <v>130</v>
      </c>
      <c r="B7" s="18">
        <v>96</v>
      </c>
      <c r="C7" s="18">
        <v>94.635416666666671</v>
      </c>
      <c r="D7" s="18">
        <v>41.336900755077032</v>
      </c>
      <c r="E7" s="18">
        <v>13.286458333333334</v>
      </c>
      <c r="F7" s="18">
        <v>5.8807199665144223</v>
      </c>
      <c r="G7" s="18">
        <v>65.462159702244776</v>
      </c>
      <c r="H7" s="18">
        <v>85.329941156666962</v>
      </c>
    </row>
    <row r="8" spans="1:8" x14ac:dyDescent="0.25">
      <c r="A8" s="16" t="s">
        <v>142</v>
      </c>
      <c r="B8" s="18">
        <v>336</v>
      </c>
      <c r="C8" s="18">
        <v>80.803571428571431</v>
      </c>
      <c r="D8" s="18">
        <v>35.222874000831695</v>
      </c>
      <c r="E8" s="18">
        <v>10.680059523809524</v>
      </c>
      <c r="F8" s="18">
        <v>5.032982676635398</v>
      </c>
      <c r="G8" s="18">
        <v>38.631499454416364</v>
      </c>
      <c r="H8" s="18">
        <v>56.48727202451574</v>
      </c>
    </row>
    <row r="11" spans="1:8" x14ac:dyDescent="0.25">
      <c r="A11" s="16" t="s">
        <v>165</v>
      </c>
      <c r="B11" t="s">
        <v>168</v>
      </c>
      <c r="C11" t="s">
        <v>169</v>
      </c>
      <c r="D11" t="s">
        <v>170</v>
      </c>
    </row>
    <row r="12" spans="1:8" x14ac:dyDescent="0.25">
      <c r="A12" s="16" t="s">
        <v>50</v>
      </c>
      <c r="B12" s="18">
        <v>65.928571428571431</v>
      </c>
      <c r="C12" s="18">
        <v>8.5649350649350655</v>
      </c>
      <c r="D12" s="18">
        <v>17.555144948434673</v>
      </c>
    </row>
    <row r="13" spans="1:8" x14ac:dyDescent="0.25">
      <c r="A13" s="16" t="s">
        <v>16</v>
      </c>
      <c r="B13" s="18">
        <v>80.767241379310349</v>
      </c>
      <c r="C13" s="18">
        <v>10.267241379310345</v>
      </c>
      <c r="D13" s="18">
        <v>34.496301013676927</v>
      </c>
    </row>
    <row r="14" spans="1:8" x14ac:dyDescent="0.25">
      <c r="A14" s="16" t="s">
        <v>126</v>
      </c>
      <c r="B14" s="18">
        <v>77.010638297872347</v>
      </c>
      <c r="C14" s="18">
        <v>9.8404255319148941</v>
      </c>
      <c r="D14" s="18">
        <v>28.563817162817124</v>
      </c>
    </row>
    <row r="15" spans="1:8" x14ac:dyDescent="0.25">
      <c r="A15" s="16" t="s">
        <v>130</v>
      </c>
      <c r="B15" s="18">
        <v>94.635416666666671</v>
      </c>
      <c r="C15" s="18">
        <v>13.286458333333334</v>
      </c>
      <c r="D15" s="18">
        <v>65.462159702244776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O19" sqref="O19"/>
    </sheetView>
  </sheetViews>
  <sheetFormatPr defaultColWidth="11" defaultRowHeight="15.75" x14ac:dyDescent="0.25"/>
  <cols>
    <col min="1" max="1" width="20.5" bestFit="1" customWidth="1"/>
    <col min="2" max="2" width="17" bestFit="1" customWidth="1"/>
    <col min="15" max="15" width="14.125" bestFit="1" customWidth="1"/>
  </cols>
  <sheetData>
    <row r="1" spans="1:16" x14ac:dyDescent="0.25">
      <c r="A1" s="9" t="s">
        <v>5</v>
      </c>
      <c r="B1" s="9" t="s">
        <v>34</v>
      </c>
      <c r="C1" s="9" t="s">
        <v>35</v>
      </c>
    </row>
    <row r="2" spans="1:16" x14ac:dyDescent="0.25">
      <c r="A2" s="10" t="s">
        <v>137</v>
      </c>
      <c r="B2" s="20">
        <v>96.258196721311478</v>
      </c>
      <c r="C2" s="20">
        <v>38.263021529356799</v>
      </c>
    </row>
    <row r="3" spans="1:16" x14ac:dyDescent="0.25">
      <c r="A3" s="10" t="s">
        <v>138</v>
      </c>
      <c r="B3" s="20">
        <v>97.5</v>
      </c>
      <c r="C3" s="20">
        <v>27.585682509556879</v>
      </c>
    </row>
    <row r="4" spans="1:16" x14ac:dyDescent="0.25">
      <c r="A4" s="10" t="s">
        <v>139</v>
      </c>
      <c r="B4" s="20">
        <v>52.141891891891895</v>
      </c>
      <c r="C4" s="20">
        <v>17.941785671555746</v>
      </c>
    </row>
    <row r="5" spans="1:16" x14ac:dyDescent="0.25">
      <c r="A5" s="10" t="s">
        <v>140</v>
      </c>
      <c r="B5" s="20">
        <v>59.964285714285715</v>
      </c>
      <c r="C5" s="20">
        <v>16.034864611741607</v>
      </c>
    </row>
    <row r="16" spans="1:16" x14ac:dyDescent="0.25">
      <c r="O16" t="s">
        <v>171</v>
      </c>
      <c r="P16">
        <v>56</v>
      </c>
    </row>
    <row r="17" spans="15:16" x14ac:dyDescent="0.25">
      <c r="O17" t="s">
        <v>172</v>
      </c>
      <c r="P17">
        <v>96.9</v>
      </c>
    </row>
    <row r="18" spans="15:16" x14ac:dyDescent="0.25">
      <c r="O18" t="s">
        <v>174</v>
      </c>
      <c r="P18">
        <f>SUM(P16:P17)/2</f>
        <v>76.45</v>
      </c>
    </row>
    <row r="19" spans="15:16" x14ac:dyDescent="0.25">
      <c r="O19" t="s">
        <v>175</v>
      </c>
      <c r="P19">
        <f>40.9/P18</f>
        <v>0.53499018966644862</v>
      </c>
    </row>
    <row r="20" spans="15:16" x14ac:dyDescent="0.25">
      <c r="P20" s="24">
        <v>0.53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activeCell="N13" sqref="N13:N17"/>
    </sheetView>
  </sheetViews>
  <sheetFormatPr defaultColWidth="11" defaultRowHeight="15.75" x14ac:dyDescent="0.25"/>
  <cols>
    <col min="1" max="1" width="20.375" bestFit="1" customWidth="1"/>
    <col min="2" max="2" width="30.875" bestFit="1" customWidth="1"/>
    <col min="14" max="14" width="13.625" bestFit="1" customWidth="1"/>
  </cols>
  <sheetData>
    <row r="1" spans="1:15" x14ac:dyDescent="0.25">
      <c r="A1" s="9" t="s">
        <v>5</v>
      </c>
      <c r="B1" s="9" t="s">
        <v>36</v>
      </c>
      <c r="C1" s="10" t="s">
        <v>35</v>
      </c>
    </row>
    <row r="2" spans="1:15" x14ac:dyDescent="0.25">
      <c r="A2" s="10" t="s">
        <v>137</v>
      </c>
      <c r="B2" s="20">
        <v>12.323770491803279</v>
      </c>
      <c r="C2" s="20">
        <v>5.2785712642265965</v>
      </c>
    </row>
    <row r="3" spans="1:15" x14ac:dyDescent="0.25">
      <c r="A3" s="10" t="s">
        <v>138</v>
      </c>
      <c r="B3" s="20">
        <v>11.511904761904763</v>
      </c>
      <c r="C3" s="20">
        <v>4.4532215159745308</v>
      </c>
    </row>
    <row r="4" spans="1:15" x14ac:dyDescent="0.25">
      <c r="A4" s="10" t="s">
        <v>139</v>
      </c>
      <c r="B4" s="20">
        <v>7.75</v>
      </c>
      <c r="C4" s="20">
        <v>2.8031904523825646</v>
      </c>
    </row>
    <row r="5" spans="1:15" x14ac:dyDescent="0.25">
      <c r="A5" s="10" t="s">
        <v>140</v>
      </c>
      <c r="B5" s="20">
        <v>9.7232142857142865</v>
      </c>
      <c r="C5" s="20">
        <v>5.7531964576676398</v>
      </c>
    </row>
    <row r="13" spans="1:15" x14ac:dyDescent="0.25">
      <c r="N13" t="s">
        <v>173</v>
      </c>
      <c r="O13">
        <f>AVERAGE(B4,B5)</f>
        <v>8.7366071428571423</v>
      </c>
    </row>
    <row r="14" spans="1:15" x14ac:dyDescent="0.25">
      <c r="N14" t="s">
        <v>172</v>
      </c>
      <c r="O14">
        <f>AVERAGE(B2,B3)</f>
        <v>11.91783762685402</v>
      </c>
    </row>
    <row r="15" spans="1:15" x14ac:dyDescent="0.25">
      <c r="N15" t="s">
        <v>174</v>
      </c>
      <c r="O15">
        <f>AVERAGE(O13,O14)</f>
        <v>10.327222384855581</v>
      </c>
    </row>
    <row r="16" spans="1:15" x14ac:dyDescent="0.25">
      <c r="N16" t="s">
        <v>176</v>
      </c>
      <c r="O16">
        <f>O14-O13</f>
        <v>3.1812304839968775</v>
      </c>
    </row>
    <row r="17" spans="14:15" x14ac:dyDescent="0.25">
      <c r="N17" t="s">
        <v>175</v>
      </c>
      <c r="O17">
        <f>O16/O15*100</f>
        <v>30.804318580976936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M17" sqref="M17"/>
    </sheetView>
  </sheetViews>
  <sheetFormatPr defaultColWidth="11" defaultRowHeight="15.75" x14ac:dyDescent="0.25"/>
  <cols>
    <col min="1" max="1" width="20.375" bestFit="1" customWidth="1"/>
    <col min="2" max="2" width="43.875" bestFit="1" customWidth="1"/>
    <col min="13" max="13" width="13.625" bestFit="1" customWidth="1"/>
  </cols>
  <sheetData>
    <row r="1" spans="1:14" x14ac:dyDescent="0.25">
      <c r="A1" s="9" t="s">
        <v>5</v>
      </c>
      <c r="B1" s="9" t="s">
        <v>37</v>
      </c>
      <c r="C1" s="10" t="s">
        <v>35</v>
      </c>
    </row>
    <row r="2" spans="1:14" x14ac:dyDescent="0.25">
      <c r="A2" s="10" t="s">
        <v>137</v>
      </c>
      <c r="B2" s="20">
        <v>58.344214574043498</v>
      </c>
      <c r="C2" s="20">
        <v>76.811976156851358</v>
      </c>
    </row>
    <row r="3" spans="1:14" x14ac:dyDescent="0.25">
      <c r="A3" s="10" t="s">
        <v>138</v>
      </c>
      <c r="B3" s="20">
        <v>44.755750716586213</v>
      </c>
      <c r="C3" s="20">
        <v>41.216537453583811</v>
      </c>
    </row>
    <row r="4" spans="1:14" x14ac:dyDescent="0.25">
      <c r="A4" s="10" t="s">
        <v>139</v>
      </c>
      <c r="B4" s="20">
        <v>10.450359373324721</v>
      </c>
      <c r="C4" s="20">
        <v>9.7442496830517182</v>
      </c>
    </row>
    <row r="5" spans="1:14" x14ac:dyDescent="0.25">
      <c r="A5" s="10" t="s">
        <v>140</v>
      </c>
      <c r="B5" s="20">
        <v>23.738928300559273</v>
      </c>
      <c r="C5" s="20">
        <v>39.389066572528968</v>
      </c>
    </row>
    <row r="11" spans="1:14" x14ac:dyDescent="0.25">
      <c r="M11" t="s">
        <v>173</v>
      </c>
      <c r="N11">
        <f>AVERAGE(B4,B5)</f>
        <v>17.094643836941998</v>
      </c>
    </row>
    <row r="12" spans="1:14" x14ac:dyDescent="0.25">
      <c r="M12" t="s">
        <v>172</v>
      </c>
      <c r="N12">
        <f>AVERAGE(B2,B3)</f>
        <v>51.549982645314856</v>
      </c>
    </row>
    <row r="13" spans="1:14" x14ac:dyDescent="0.25">
      <c r="M13" t="s">
        <v>174</v>
      </c>
      <c r="N13">
        <f>AVERAGE(N11,N12)</f>
        <v>34.322313241128427</v>
      </c>
    </row>
    <row r="14" spans="1:14" x14ac:dyDescent="0.25">
      <c r="M14" t="s">
        <v>176</v>
      </c>
      <c r="N14">
        <f>N12-N11</f>
        <v>34.455338808372858</v>
      </c>
    </row>
    <row r="15" spans="1:14" x14ac:dyDescent="0.25">
      <c r="M15" t="s">
        <v>175</v>
      </c>
      <c r="N15">
        <f>N14/N13*100</f>
        <v>100.38757751061205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B8" sqref="B8"/>
    </sheetView>
  </sheetViews>
  <sheetFormatPr defaultColWidth="11" defaultRowHeight="15.75" x14ac:dyDescent="0.25"/>
  <cols>
    <col min="1" max="1" width="20.375" bestFit="1" customWidth="1"/>
    <col min="4" max="4" width="17.375" bestFit="1" customWidth="1"/>
    <col min="7" max="7" width="17.375" bestFit="1" customWidth="1"/>
    <col min="10" max="10" width="20.5" bestFit="1" customWidth="1"/>
  </cols>
  <sheetData>
    <row r="1" spans="1:11" x14ac:dyDescent="0.25">
      <c r="A1" s="10" t="s">
        <v>5</v>
      </c>
      <c r="B1" s="9" t="s">
        <v>38</v>
      </c>
      <c r="C1" t="s">
        <v>35</v>
      </c>
    </row>
    <row r="2" spans="1:11" x14ac:dyDescent="0.25">
      <c r="A2" s="10" t="s">
        <v>137</v>
      </c>
      <c r="B2">
        <v>82.43</v>
      </c>
      <c r="C2">
        <v>24.424219300407124</v>
      </c>
    </row>
    <row r="3" spans="1:11" x14ac:dyDescent="0.25">
      <c r="A3" s="10" t="s">
        <v>138</v>
      </c>
      <c r="B3">
        <v>56.76</v>
      </c>
      <c r="C3">
        <v>38.285638488064457</v>
      </c>
    </row>
    <row r="4" spans="1:11" x14ac:dyDescent="0.25">
      <c r="A4" s="10" t="s">
        <v>139</v>
      </c>
      <c r="B4">
        <v>50</v>
      </c>
      <c r="C4">
        <v>20.993117473389262</v>
      </c>
    </row>
    <row r="5" spans="1:11" x14ac:dyDescent="0.25">
      <c r="A5" s="10" t="s">
        <v>140</v>
      </c>
      <c r="B5">
        <v>37.840000000000003</v>
      </c>
      <c r="C5">
        <v>21.05102963161788</v>
      </c>
    </row>
    <row r="7" spans="1:11" x14ac:dyDescent="0.25">
      <c r="A7" s="10" t="s">
        <v>137</v>
      </c>
      <c r="B7" t="s">
        <v>38</v>
      </c>
      <c r="D7" s="10" t="s">
        <v>138</v>
      </c>
      <c r="E7" t="s">
        <v>38</v>
      </c>
      <c r="G7" s="10" t="s">
        <v>139</v>
      </c>
      <c r="H7" t="s">
        <v>38</v>
      </c>
      <c r="J7" s="10" t="s">
        <v>140</v>
      </c>
      <c r="K7" t="s">
        <v>38</v>
      </c>
    </row>
    <row r="8" spans="1:11" x14ac:dyDescent="0.25">
      <c r="A8" s="10" t="s">
        <v>16</v>
      </c>
      <c r="B8">
        <f>41/37*100</f>
        <v>110.81081081081081</v>
      </c>
      <c r="E8">
        <f>41/37*100</f>
        <v>110.81081081081081</v>
      </c>
      <c r="H8">
        <f>16/37*100</f>
        <v>43.243243243243242</v>
      </c>
      <c r="K8">
        <f>18/37*100</f>
        <v>48.648648648648653</v>
      </c>
    </row>
    <row r="9" spans="1:11" x14ac:dyDescent="0.25">
      <c r="A9" s="10" t="s">
        <v>158</v>
      </c>
      <c r="B9">
        <f>32/37*100</f>
        <v>86.486486486486484</v>
      </c>
      <c r="E9">
        <f>10/37*100</f>
        <v>27.027027027027028</v>
      </c>
      <c r="H9">
        <f>27/37*100</f>
        <v>72.972972972972968</v>
      </c>
      <c r="K9">
        <f>8/37*100</f>
        <v>21.621621621621621</v>
      </c>
    </row>
    <row r="10" spans="1:11" x14ac:dyDescent="0.25">
      <c r="A10" s="10" t="s">
        <v>126</v>
      </c>
      <c r="B10">
        <f>19/37*100</f>
        <v>51.351351351351347</v>
      </c>
      <c r="E10">
        <f>12/37*100</f>
        <v>32.432432432432435</v>
      </c>
      <c r="H10">
        <f>9/37*100</f>
        <v>24.324324324324326</v>
      </c>
      <c r="K10">
        <f>7/37*100</f>
        <v>18.918918918918919</v>
      </c>
    </row>
    <row r="11" spans="1:11" x14ac:dyDescent="0.25">
      <c r="A11" s="10" t="s">
        <v>130</v>
      </c>
      <c r="B11">
        <f>30/37*100</f>
        <v>81.081081081081081</v>
      </c>
      <c r="E11">
        <f>21/37*100</f>
        <v>56.756756756756758</v>
      </c>
      <c r="H11">
        <f>22/37*100</f>
        <v>59.45945945945946</v>
      </c>
      <c r="K11">
        <f>23/37*100</f>
        <v>62.162162162162161</v>
      </c>
    </row>
    <row r="12" spans="1:11" x14ac:dyDescent="0.25">
      <c r="A12" s="10" t="s">
        <v>157</v>
      </c>
      <c r="B12">
        <f>AVERAGE(B8:B11)</f>
        <v>82.432432432432435</v>
      </c>
    </row>
    <row r="13" spans="1:11" x14ac:dyDescent="0.25">
      <c r="A13" s="10" t="s">
        <v>156</v>
      </c>
      <c r="B13">
        <f>_xlfn.STDEV.S(B8:B11)</f>
        <v>24.424219300407124</v>
      </c>
      <c r="E13">
        <f>_xlfn.STDEV.S(E8:E11)</f>
        <v>38.285638488064457</v>
      </c>
      <c r="H13">
        <f>_xlfn.STDEV.S(H8:H11)</f>
        <v>20.993117473389262</v>
      </c>
      <c r="K13">
        <f>_xlfn.STDEV.S(K8:K11)</f>
        <v>21.05102963161788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D18" sqref="D18"/>
    </sheetView>
  </sheetViews>
  <sheetFormatPr defaultColWidth="11" defaultRowHeight="15.75" x14ac:dyDescent="0.25"/>
  <cols>
    <col min="1" max="1" width="20.375" bestFit="1" customWidth="1"/>
    <col min="2" max="4" width="17.375" bestFit="1" customWidth="1"/>
    <col min="5" max="5" width="20.5" bestFit="1" customWidth="1"/>
  </cols>
  <sheetData>
    <row r="1" spans="1:5" x14ac:dyDescent="0.25">
      <c r="A1" s="10" t="s">
        <v>5</v>
      </c>
      <c r="B1" s="10" t="s">
        <v>39</v>
      </c>
    </row>
    <row r="2" spans="1:5" x14ac:dyDescent="0.25">
      <c r="A2" s="21" t="s">
        <v>137</v>
      </c>
      <c r="B2" s="19">
        <v>21.31</v>
      </c>
      <c r="C2">
        <v>15.780482671114129</v>
      </c>
    </row>
    <row r="3" spans="1:5" x14ac:dyDescent="0.25">
      <c r="A3" s="21" t="s">
        <v>138</v>
      </c>
      <c r="B3" s="19">
        <v>0</v>
      </c>
      <c r="C3">
        <v>0</v>
      </c>
    </row>
    <row r="4" spans="1:5" x14ac:dyDescent="0.25">
      <c r="A4" s="21" t="s">
        <v>139</v>
      </c>
      <c r="B4" s="19">
        <v>40.54</v>
      </c>
      <c r="C4">
        <v>17.571683660556452</v>
      </c>
    </row>
    <row r="5" spans="1:5" x14ac:dyDescent="0.25">
      <c r="A5" s="21" t="s">
        <v>140</v>
      </c>
      <c r="B5">
        <v>26.79</v>
      </c>
      <c r="C5">
        <v>22.357096375274971</v>
      </c>
    </row>
    <row r="8" spans="1:5" x14ac:dyDescent="0.25">
      <c r="B8" s="21" t="s">
        <v>137</v>
      </c>
      <c r="C8" s="21" t="s">
        <v>138</v>
      </c>
      <c r="D8" s="21" t="s">
        <v>139</v>
      </c>
      <c r="E8" s="21" t="s">
        <v>140</v>
      </c>
    </row>
    <row r="9" spans="1:5" x14ac:dyDescent="0.25">
      <c r="A9" t="s">
        <v>16</v>
      </c>
      <c r="B9">
        <v>29.27</v>
      </c>
      <c r="C9">
        <v>0</v>
      </c>
      <c r="D9">
        <v>50</v>
      </c>
      <c r="E9">
        <v>44.44</v>
      </c>
    </row>
    <row r="10" spans="1:5" x14ac:dyDescent="0.25">
      <c r="A10" t="s">
        <v>50</v>
      </c>
      <c r="B10">
        <v>31.25</v>
      </c>
      <c r="C10">
        <v>0</v>
      </c>
      <c r="D10">
        <v>40.74</v>
      </c>
      <c r="E10">
        <v>0</v>
      </c>
    </row>
    <row r="11" spans="1:5" x14ac:dyDescent="0.25">
      <c r="A11" t="s">
        <v>126</v>
      </c>
      <c r="B11">
        <v>5.26</v>
      </c>
      <c r="C11">
        <v>0</v>
      </c>
      <c r="D11">
        <v>11.11</v>
      </c>
      <c r="E11">
        <v>0</v>
      </c>
    </row>
    <row r="12" spans="1:5" x14ac:dyDescent="0.25">
      <c r="A12" t="s">
        <v>130</v>
      </c>
      <c r="B12">
        <v>1</v>
      </c>
      <c r="C12">
        <v>0</v>
      </c>
      <c r="D12">
        <v>45.55</v>
      </c>
      <c r="E12">
        <v>30.43</v>
      </c>
    </row>
    <row r="13" spans="1:5" x14ac:dyDescent="0.25">
      <c r="A13" t="s">
        <v>35</v>
      </c>
      <c r="B13">
        <f>_xlfn.STDEV.S(B9:B12)</f>
        <v>15.780482671114129</v>
      </c>
      <c r="C13">
        <f>_xlfn.STDEV.S(C9:C12)</f>
        <v>0</v>
      </c>
      <c r="D13">
        <f>_xlfn.STDEV.S(D9:D12)</f>
        <v>17.571683660556452</v>
      </c>
      <c r="E13">
        <f>_xlfn.STDEV.S(E9:E12)</f>
        <v>22.357096375274971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defaultColWidth="11" defaultRowHeight="15.75" x14ac:dyDescent="0.25"/>
  <cols>
    <col min="1" max="1" width="20.375" bestFit="1" customWidth="1"/>
    <col min="2" max="2" width="12.625" customWidth="1"/>
  </cols>
  <sheetData>
    <row r="1" spans="1:3" ht="26.25" x14ac:dyDescent="0.25">
      <c r="A1" s="10" t="s">
        <v>5</v>
      </c>
      <c r="B1" s="11" t="s">
        <v>40</v>
      </c>
      <c r="C1" t="s">
        <v>159</v>
      </c>
    </row>
    <row r="2" spans="1:3" x14ac:dyDescent="0.25">
      <c r="A2" t="s">
        <v>143</v>
      </c>
      <c r="B2">
        <v>0.10073985995507995</v>
      </c>
      <c r="C2">
        <v>2.9848596714066044E-2</v>
      </c>
    </row>
    <row r="3" spans="1:3" x14ac:dyDescent="0.25">
      <c r="A3" t="s">
        <v>144</v>
      </c>
      <c r="B3">
        <v>6.9361870788743576E-2</v>
      </c>
      <c r="C3">
        <v>4.6788499935869504E-2</v>
      </c>
    </row>
    <row r="4" spans="1:3" x14ac:dyDescent="0.25">
      <c r="A4" t="s">
        <v>145</v>
      </c>
      <c r="B4">
        <v>4.6241247192495713E-2</v>
      </c>
      <c r="C4">
        <v>2.5726254999665139E-2</v>
      </c>
    </row>
    <row r="5" spans="1:3" x14ac:dyDescent="0.25">
      <c r="A5" t="s">
        <v>146</v>
      </c>
      <c r="B5">
        <v>6.1104505218655063E-2</v>
      </c>
      <c r="C5">
        <v>2.5655481124171049E-2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1115"/>
  <sheetViews>
    <sheetView workbookViewId="0">
      <selection activeCell="A65" sqref="A65"/>
    </sheetView>
  </sheetViews>
  <sheetFormatPr defaultColWidth="8.875" defaultRowHeight="15.75" x14ac:dyDescent="0.25"/>
  <cols>
    <col min="4" max="4" width="16.125" bestFit="1" customWidth="1"/>
    <col min="5" max="5" width="13.625" bestFit="1" customWidth="1"/>
    <col min="6" max="6" width="14.5" bestFit="1" customWidth="1"/>
    <col min="7" max="7" width="13.625" bestFit="1" customWidth="1"/>
    <col min="8" max="8" width="13.125" bestFit="1" customWidth="1"/>
    <col min="9" max="9" width="13.625" bestFit="1" customWidth="1"/>
    <col min="10" max="10" width="10.875" bestFit="1" customWidth="1"/>
    <col min="11" max="11" width="11.625" bestFit="1" customWidth="1"/>
  </cols>
  <sheetData>
    <row r="3" spans="2:12" x14ac:dyDescent="0.25">
      <c r="B3" s="25"/>
      <c r="C3" s="25"/>
      <c r="D3" s="25"/>
      <c r="E3" s="25"/>
      <c r="F3" s="25"/>
      <c r="G3" s="25"/>
      <c r="H3" s="25"/>
      <c r="I3" s="25"/>
      <c r="J3" s="25"/>
      <c r="K3" s="25"/>
      <c r="L3" s="25"/>
    </row>
    <row r="4" spans="2:12" x14ac:dyDescent="0.25">
      <c r="B4" s="26" t="s">
        <v>177</v>
      </c>
      <c r="C4" s="25"/>
      <c r="D4" s="25"/>
      <c r="E4" s="25"/>
      <c r="F4" s="25"/>
      <c r="G4" s="25"/>
      <c r="H4" s="25"/>
      <c r="I4" s="25"/>
      <c r="J4" s="25"/>
      <c r="K4" s="25"/>
      <c r="L4" s="25"/>
    </row>
    <row r="5" spans="2:12" x14ac:dyDescent="0.25">
      <c r="B5" s="26" t="s">
        <v>178</v>
      </c>
      <c r="C5" s="25"/>
      <c r="D5" s="25"/>
      <c r="E5" s="25"/>
      <c r="F5" s="25"/>
      <c r="G5" s="25"/>
      <c r="H5" s="25"/>
      <c r="I5" s="25"/>
      <c r="J5" s="25"/>
      <c r="K5" s="25"/>
      <c r="L5" s="25"/>
    </row>
    <row r="6" spans="2:12" x14ac:dyDescent="0.25">
      <c r="B6" s="26" t="s">
        <v>179</v>
      </c>
      <c r="C6" s="25"/>
      <c r="D6" s="25"/>
      <c r="E6" s="25"/>
      <c r="F6" s="25"/>
      <c r="G6" s="25"/>
      <c r="H6" s="25"/>
      <c r="I6" s="25"/>
      <c r="J6" s="25"/>
      <c r="K6" s="25"/>
      <c r="L6" s="25"/>
    </row>
    <row r="7" spans="2:12" x14ac:dyDescent="0.25">
      <c r="B7" s="26" t="s">
        <v>180</v>
      </c>
      <c r="C7" s="25"/>
      <c r="D7" s="25"/>
      <c r="E7" s="25"/>
      <c r="F7" s="25"/>
      <c r="G7" s="25"/>
      <c r="H7" s="25"/>
      <c r="I7" s="25"/>
      <c r="J7" s="25"/>
      <c r="K7" s="25"/>
      <c r="L7" s="25"/>
    </row>
    <row r="8" spans="2:12" x14ac:dyDescent="0.25">
      <c r="B8" s="26" t="s">
        <v>181</v>
      </c>
      <c r="C8" s="25"/>
      <c r="D8" s="25"/>
      <c r="E8" s="25"/>
      <c r="F8" s="25"/>
      <c r="G8" s="25"/>
      <c r="H8" s="25"/>
      <c r="I8" s="25"/>
      <c r="J8" s="25"/>
      <c r="K8" s="25"/>
      <c r="L8" s="25"/>
    </row>
    <row r="9" spans="2:12" x14ac:dyDescent="0.25">
      <c r="B9" s="26" t="s">
        <v>182</v>
      </c>
      <c r="C9" s="25"/>
      <c r="D9" s="25"/>
      <c r="E9" s="25"/>
      <c r="F9" s="25"/>
      <c r="G9" s="25"/>
      <c r="H9" s="25"/>
      <c r="I9" s="25"/>
      <c r="J9" s="25"/>
      <c r="K9" s="25"/>
      <c r="L9" s="25"/>
    </row>
    <row r="10" spans="2:12" x14ac:dyDescent="0.25">
      <c r="B10" s="26" t="s">
        <v>183</v>
      </c>
      <c r="C10" s="25"/>
      <c r="D10" s="25"/>
      <c r="E10" s="25"/>
      <c r="F10" s="25"/>
      <c r="G10" s="25"/>
      <c r="H10" s="25"/>
      <c r="I10" s="25"/>
      <c r="J10" s="25"/>
      <c r="K10" s="25"/>
      <c r="L10" s="25"/>
    </row>
    <row r="11" spans="2:12" x14ac:dyDescent="0.25">
      <c r="B11" s="26" t="s">
        <v>184</v>
      </c>
      <c r="C11" s="25"/>
      <c r="D11" s="25"/>
      <c r="E11" s="25"/>
      <c r="F11" s="25"/>
      <c r="G11" s="25"/>
      <c r="H11" s="25"/>
      <c r="I11" s="25"/>
      <c r="J11" s="25"/>
      <c r="K11" s="25"/>
      <c r="L11" s="25"/>
    </row>
    <row r="12" spans="2:12" x14ac:dyDescent="0.25">
      <c r="B12" s="26" t="s">
        <v>185</v>
      </c>
      <c r="C12" s="25"/>
      <c r="D12" s="25"/>
      <c r="E12" s="25"/>
      <c r="F12" s="25"/>
      <c r="G12" s="25"/>
      <c r="H12" s="25"/>
      <c r="I12" s="25"/>
      <c r="J12" s="25"/>
      <c r="K12" s="25"/>
      <c r="L12" s="25"/>
    </row>
    <row r="13" spans="2:12" x14ac:dyDescent="0.25">
      <c r="B13" s="26" t="s">
        <v>186</v>
      </c>
      <c r="C13" s="25"/>
      <c r="D13" s="25"/>
      <c r="E13" s="25"/>
      <c r="F13" s="25"/>
      <c r="G13" s="25"/>
      <c r="H13" s="25"/>
      <c r="I13" s="25"/>
      <c r="J13" s="25"/>
      <c r="K13" s="25"/>
      <c r="L13" s="25"/>
    </row>
    <row r="14" spans="2:12" x14ac:dyDescent="0.25">
      <c r="B14" s="25"/>
      <c r="C14" s="25"/>
      <c r="D14" s="25"/>
      <c r="E14" s="25"/>
      <c r="F14" s="25"/>
      <c r="G14" s="25"/>
      <c r="H14" s="25"/>
      <c r="I14" s="25"/>
      <c r="J14" s="25"/>
      <c r="K14" s="25"/>
      <c r="L14" s="25"/>
    </row>
    <row r="15" spans="2:12" x14ac:dyDescent="0.25">
      <c r="B15" s="25"/>
      <c r="C15" s="25"/>
      <c r="D15" s="25"/>
      <c r="E15" s="25"/>
      <c r="F15" s="25"/>
      <c r="G15" s="25"/>
      <c r="H15" s="25"/>
      <c r="I15" s="25"/>
      <c r="J15" s="25"/>
      <c r="K15" s="25"/>
      <c r="L15" s="25"/>
    </row>
    <row r="16" spans="2:12" x14ac:dyDescent="0.25">
      <c r="B16" s="26" t="s">
        <v>187</v>
      </c>
      <c r="C16" s="25"/>
      <c r="D16" s="25"/>
      <c r="E16" s="25"/>
      <c r="F16" s="25"/>
      <c r="G16" s="25"/>
      <c r="H16" s="25"/>
      <c r="I16" s="25"/>
      <c r="J16" s="25"/>
      <c r="K16" s="25"/>
      <c r="L16" s="25"/>
    </row>
    <row r="17" spans="2:12" x14ac:dyDescent="0.25">
      <c r="B17" s="26" t="s">
        <v>185</v>
      </c>
      <c r="C17" s="25"/>
      <c r="D17" s="25"/>
      <c r="E17" s="25"/>
      <c r="F17" s="25"/>
      <c r="G17" s="25"/>
      <c r="H17" s="25"/>
      <c r="I17" s="25"/>
      <c r="J17" s="25"/>
      <c r="K17" s="25"/>
      <c r="L17" s="25"/>
    </row>
    <row r="18" spans="2:12" x14ac:dyDescent="0.25">
      <c r="B18" s="26" t="s">
        <v>186</v>
      </c>
      <c r="C18" s="25"/>
      <c r="D18" s="25"/>
      <c r="E18" s="25"/>
      <c r="F18" s="25"/>
      <c r="G18" s="25"/>
      <c r="H18" s="25"/>
      <c r="I18" s="25"/>
      <c r="J18" s="25"/>
      <c r="K18" s="25"/>
      <c r="L18" s="25"/>
    </row>
    <row r="19" spans="2:12" x14ac:dyDescent="0.25">
      <c r="B19" s="25"/>
      <c r="C19" s="25"/>
      <c r="D19" s="25"/>
      <c r="E19" s="25"/>
      <c r="F19" s="25"/>
      <c r="G19" s="25"/>
      <c r="H19" s="25"/>
      <c r="I19" s="25"/>
      <c r="J19" s="25"/>
      <c r="K19" s="25"/>
      <c r="L19" s="25"/>
    </row>
    <row r="20" spans="2:12" x14ac:dyDescent="0.25">
      <c r="B20" s="25"/>
      <c r="C20" s="25"/>
      <c r="D20" s="25"/>
      <c r="E20" s="25"/>
      <c r="F20" s="25"/>
      <c r="G20" s="25"/>
      <c r="H20" s="25"/>
      <c r="I20" s="25"/>
      <c r="J20" s="25"/>
      <c r="K20" s="25"/>
      <c r="L20" s="25"/>
    </row>
    <row r="21" spans="2:12" ht="16.5" x14ac:dyDescent="0.25">
      <c r="B21" s="27" t="s">
        <v>188</v>
      </c>
      <c r="C21" s="25"/>
      <c r="D21" s="25"/>
      <c r="E21" s="25"/>
      <c r="F21" s="25"/>
      <c r="G21" s="25"/>
      <c r="H21" s="25"/>
      <c r="I21" s="25"/>
      <c r="J21" s="25"/>
      <c r="K21" s="25"/>
      <c r="L21" s="25"/>
    </row>
    <row r="22" spans="2:12" x14ac:dyDescent="0.25">
      <c r="B22" s="25"/>
      <c r="C22" s="25"/>
      <c r="D22" s="25"/>
      <c r="E22" s="25"/>
      <c r="F22" s="25"/>
      <c r="G22" s="25"/>
      <c r="H22" s="25"/>
      <c r="I22" s="25"/>
      <c r="J22" s="25"/>
      <c r="K22" s="25"/>
      <c r="L22" s="25"/>
    </row>
    <row r="23" spans="2:12" ht="16.5" thickBot="1" x14ac:dyDescent="0.3">
      <c r="B23" s="129" t="s">
        <v>15</v>
      </c>
      <c r="C23" s="130"/>
      <c r="D23" s="130"/>
      <c r="E23" s="25"/>
      <c r="F23" s="25"/>
      <c r="G23" s="25"/>
      <c r="H23" s="25"/>
      <c r="I23" s="25"/>
      <c r="J23" s="25"/>
      <c r="K23" s="25"/>
      <c r="L23" s="25"/>
    </row>
    <row r="24" spans="2:12" x14ac:dyDescent="0.25">
      <c r="B24" s="131" t="s">
        <v>189</v>
      </c>
      <c r="C24" s="132"/>
      <c r="D24" s="28" t="s">
        <v>190</v>
      </c>
      <c r="E24" s="25"/>
      <c r="F24" s="25"/>
      <c r="G24" s="25"/>
      <c r="H24" s="25"/>
      <c r="I24" s="25"/>
      <c r="J24" s="25"/>
      <c r="K24" s="25"/>
      <c r="L24" s="25"/>
    </row>
    <row r="25" spans="2:12" x14ac:dyDescent="0.25">
      <c r="B25" s="133" t="s">
        <v>191</v>
      </c>
      <c r="C25" s="134"/>
      <c r="D25" s="29" t="s">
        <v>192</v>
      </c>
      <c r="E25" s="25"/>
      <c r="F25" s="25"/>
      <c r="G25" s="25"/>
      <c r="H25" s="25"/>
      <c r="I25" s="25"/>
      <c r="J25" s="25"/>
      <c r="K25" s="25"/>
      <c r="L25" s="25"/>
    </row>
    <row r="26" spans="2:12" ht="24" x14ac:dyDescent="0.25">
      <c r="B26" s="135" t="s">
        <v>193</v>
      </c>
      <c r="C26" s="30" t="s">
        <v>194</v>
      </c>
      <c r="D26" s="29" t="s">
        <v>195</v>
      </c>
      <c r="E26" s="25"/>
      <c r="F26" s="25"/>
      <c r="G26" s="25"/>
      <c r="H26" s="25"/>
      <c r="I26" s="25"/>
      <c r="J26" s="25"/>
      <c r="K26" s="25"/>
      <c r="L26" s="25"/>
    </row>
    <row r="27" spans="2:12" x14ac:dyDescent="0.25">
      <c r="B27" s="136"/>
      <c r="C27" s="30" t="s">
        <v>196</v>
      </c>
      <c r="D27" s="29" t="s">
        <v>197</v>
      </c>
      <c r="E27" s="25"/>
      <c r="F27" s="25"/>
      <c r="G27" s="25"/>
      <c r="H27" s="25"/>
      <c r="I27" s="25"/>
      <c r="J27" s="25"/>
      <c r="K27" s="25"/>
      <c r="L27" s="25"/>
    </row>
    <row r="28" spans="2:12" x14ac:dyDescent="0.25">
      <c r="B28" s="136"/>
      <c r="C28" s="30" t="s">
        <v>198</v>
      </c>
      <c r="D28" s="29" t="s">
        <v>197</v>
      </c>
      <c r="E28" s="25"/>
      <c r="F28" s="25"/>
      <c r="G28" s="25"/>
      <c r="H28" s="25"/>
      <c r="I28" s="25"/>
      <c r="J28" s="25"/>
      <c r="K28" s="25"/>
      <c r="L28" s="25"/>
    </row>
    <row r="29" spans="2:12" x14ac:dyDescent="0.25">
      <c r="B29" s="136"/>
      <c r="C29" s="30" t="s">
        <v>199</v>
      </c>
      <c r="D29" s="29" t="s">
        <v>8</v>
      </c>
      <c r="E29" s="25"/>
      <c r="F29" s="25"/>
      <c r="G29" s="25"/>
      <c r="H29" s="25"/>
      <c r="I29" s="25"/>
      <c r="J29" s="25"/>
      <c r="K29" s="25"/>
      <c r="L29" s="25"/>
    </row>
    <row r="30" spans="2:12" ht="36" x14ac:dyDescent="0.25">
      <c r="B30" s="136"/>
      <c r="C30" s="30" t="s">
        <v>200</v>
      </c>
      <c r="D30" s="31">
        <v>438</v>
      </c>
      <c r="E30" s="25"/>
      <c r="F30" s="25"/>
      <c r="G30" s="25"/>
      <c r="H30" s="25"/>
      <c r="I30" s="25"/>
      <c r="J30" s="25"/>
      <c r="K30" s="25"/>
      <c r="L30" s="25"/>
    </row>
    <row r="31" spans="2:12" ht="36" x14ac:dyDescent="0.25">
      <c r="B31" s="135" t="s">
        <v>201</v>
      </c>
      <c r="C31" s="30" t="s">
        <v>202</v>
      </c>
      <c r="D31" s="29" t="s">
        <v>203</v>
      </c>
      <c r="E31" s="25"/>
      <c r="F31" s="25"/>
      <c r="G31" s="25"/>
      <c r="H31" s="25"/>
      <c r="I31" s="25"/>
      <c r="J31" s="25"/>
      <c r="K31" s="25"/>
      <c r="L31" s="25"/>
    </row>
    <row r="32" spans="2:12" ht="72" x14ac:dyDescent="0.25">
      <c r="B32" s="136"/>
      <c r="C32" s="30" t="s">
        <v>204</v>
      </c>
      <c r="D32" s="29" t="s">
        <v>205</v>
      </c>
      <c r="E32" s="25"/>
      <c r="F32" s="25"/>
      <c r="G32" s="25"/>
      <c r="H32" s="25"/>
      <c r="I32" s="25"/>
      <c r="J32" s="25"/>
      <c r="K32" s="25"/>
      <c r="L32" s="25"/>
    </row>
    <row r="33" spans="2:12" ht="108" x14ac:dyDescent="0.25">
      <c r="B33" s="133" t="s">
        <v>206</v>
      </c>
      <c r="C33" s="134"/>
      <c r="D33" s="29" t="s">
        <v>207</v>
      </c>
      <c r="E33" s="25"/>
      <c r="F33" s="25"/>
      <c r="G33" s="25"/>
      <c r="H33" s="25"/>
      <c r="I33" s="25"/>
      <c r="J33" s="25"/>
      <c r="K33" s="25"/>
      <c r="L33" s="25"/>
    </row>
    <row r="34" spans="2:12" ht="24.75" thickBot="1" x14ac:dyDescent="0.3">
      <c r="B34" s="148" t="s">
        <v>208</v>
      </c>
      <c r="C34" s="30" t="s">
        <v>209</v>
      </c>
      <c r="D34" s="32" t="s">
        <v>210</v>
      </c>
      <c r="E34" s="25"/>
      <c r="F34" s="25"/>
      <c r="G34" s="25"/>
      <c r="H34" s="25"/>
      <c r="I34" s="25"/>
      <c r="J34" s="25"/>
      <c r="K34" s="25"/>
      <c r="L34" s="25"/>
    </row>
    <row r="35" spans="2:12" ht="24.75" thickBot="1" x14ac:dyDescent="0.3">
      <c r="B35" s="143"/>
      <c r="C35" s="33" t="s">
        <v>211</v>
      </c>
      <c r="D35" s="34" t="s">
        <v>212</v>
      </c>
      <c r="E35" s="25"/>
      <c r="F35" s="25"/>
      <c r="G35" s="25"/>
      <c r="H35" s="25"/>
      <c r="I35" s="25"/>
      <c r="J35" s="25"/>
      <c r="K35" s="25"/>
      <c r="L35" s="25"/>
    </row>
    <row r="36" spans="2:12" x14ac:dyDescent="0.25">
      <c r="B36" s="25"/>
      <c r="C36" s="25"/>
      <c r="D36" s="25"/>
      <c r="E36" s="25"/>
      <c r="F36" s="25"/>
      <c r="G36" s="25"/>
      <c r="H36" s="25"/>
      <c r="I36" s="25"/>
      <c r="J36" s="25"/>
      <c r="K36" s="25"/>
      <c r="L36" s="25"/>
    </row>
    <row r="37" spans="2:12" x14ac:dyDescent="0.25">
      <c r="B37" s="25"/>
      <c r="C37" s="25"/>
      <c r="D37" s="25"/>
      <c r="E37" s="25"/>
      <c r="F37" s="25"/>
      <c r="G37" s="25"/>
      <c r="H37" s="25"/>
      <c r="I37" s="25"/>
      <c r="J37" s="25"/>
      <c r="K37" s="25"/>
      <c r="L37" s="25"/>
    </row>
    <row r="38" spans="2:12" x14ac:dyDescent="0.25">
      <c r="B38" s="26" t="s">
        <v>213</v>
      </c>
      <c r="C38" s="25"/>
      <c r="D38" s="25"/>
      <c r="E38" s="25"/>
      <c r="F38" s="25"/>
      <c r="G38" s="25"/>
      <c r="H38" s="25"/>
      <c r="I38" s="25"/>
      <c r="J38" s="25"/>
      <c r="K38" s="25"/>
      <c r="L38" s="25"/>
    </row>
    <row r="39" spans="2:12" x14ac:dyDescent="0.25">
      <c r="B39" s="25"/>
      <c r="C39" s="25"/>
      <c r="D39" s="25"/>
      <c r="E39" s="25"/>
      <c r="F39" s="25"/>
      <c r="G39" s="25"/>
      <c r="H39" s="25"/>
      <c r="I39" s="25"/>
      <c r="J39" s="25"/>
      <c r="K39" s="25"/>
      <c r="L39" s="25"/>
    </row>
    <row r="40" spans="2:12" ht="16.5" thickBot="1" x14ac:dyDescent="0.3">
      <c r="B40" s="129" t="s">
        <v>214</v>
      </c>
      <c r="C40" s="130"/>
      <c r="D40" s="25"/>
      <c r="E40" s="25"/>
      <c r="F40" s="25"/>
      <c r="G40" s="25"/>
      <c r="H40" s="25"/>
      <c r="I40" s="25"/>
      <c r="J40" s="25"/>
      <c r="K40" s="25"/>
      <c r="L40" s="25"/>
    </row>
    <row r="41" spans="2:12" ht="204" x14ac:dyDescent="0.25">
      <c r="B41" s="35" t="s">
        <v>215</v>
      </c>
      <c r="C41" s="36" t="s">
        <v>216</v>
      </c>
      <c r="D41" s="25"/>
      <c r="E41" s="25"/>
      <c r="F41" s="25"/>
      <c r="G41" s="25"/>
      <c r="H41" s="25"/>
      <c r="I41" s="25"/>
      <c r="J41" s="25"/>
      <c r="K41" s="25"/>
      <c r="L41" s="25"/>
    </row>
    <row r="42" spans="2:12" ht="204" x14ac:dyDescent="0.25">
      <c r="B42" s="37" t="s">
        <v>217</v>
      </c>
      <c r="C42" s="29" t="s">
        <v>218</v>
      </c>
      <c r="D42" s="25"/>
      <c r="E42" s="25"/>
      <c r="F42" s="25"/>
      <c r="G42" s="25"/>
      <c r="H42" s="25"/>
      <c r="I42" s="25"/>
      <c r="J42" s="25"/>
      <c r="K42" s="25"/>
      <c r="L42" s="25"/>
    </row>
    <row r="43" spans="2:12" ht="204.75" thickBot="1" x14ac:dyDescent="0.3">
      <c r="B43" s="38" t="s">
        <v>219</v>
      </c>
      <c r="C43" s="39" t="s">
        <v>220</v>
      </c>
      <c r="D43" s="25"/>
      <c r="E43" s="25"/>
      <c r="F43" s="25"/>
      <c r="G43" s="25"/>
      <c r="H43" s="25"/>
      <c r="I43" s="25"/>
      <c r="J43" s="25"/>
      <c r="K43" s="25"/>
      <c r="L43" s="25"/>
    </row>
    <row r="44" spans="2:12" x14ac:dyDescent="0.25">
      <c r="B44" s="25"/>
      <c r="C44" s="25"/>
      <c r="D44" s="25"/>
      <c r="E44" s="25"/>
      <c r="F44" s="25"/>
      <c r="G44" s="25"/>
      <c r="H44" s="25"/>
      <c r="I44" s="25"/>
      <c r="J44" s="25"/>
      <c r="K44" s="25"/>
      <c r="L44" s="25"/>
    </row>
    <row r="45" spans="2:12" x14ac:dyDescent="0.25">
      <c r="B45" s="25"/>
      <c r="C45" s="25"/>
      <c r="D45" s="25"/>
      <c r="E45" s="25"/>
      <c r="F45" s="25"/>
      <c r="G45" s="25"/>
      <c r="H45" s="25"/>
      <c r="I45" s="25"/>
      <c r="J45" s="25"/>
      <c r="K45" s="25"/>
      <c r="L45" s="25"/>
    </row>
    <row r="46" spans="2:12" ht="16.5" x14ac:dyDescent="0.25">
      <c r="B46" s="27" t="s">
        <v>221</v>
      </c>
      <c r="C46" s="25"/>
      <c r="D46" s="25"/>
      <c r="E46" s="25"/>
      <c r="F46" s="25"/>
      <c r="G46" s="25"/>
      <c r="H46" s="25"/>
      <c r="I46" s="25"/>
      <c r="J46" s="25"/>
      <c r="K46" s="25"/>
      <c r="L46" s="25"/>
    </row>
    <row r="47" spans="2:12" x14ac:dyDescent="0.25">
      <c r="B47" s="25"/>
      <c r="C47" s="25"/>
      <c r="D47" s="25"/>
      <c r="E47" s="25"/>
      <c r="F47" s="25"/>
      <c r="G47" s="25"/>
      <c r="H47" s="25"/>
      <c r="I47" s="25"/>
      <c r="J47" s="25"/>
      <c r="K47" s="25"/>
      <c r="L47" s="25"/>
    </row>
    <row r="48" spans="2:12" ht="16.5" thickBot="1" x14ac:dyDescent="0.3">
      <c r="B48" s="144" t="s">
        <v>222</v>
      </c>
      <c r="C48" s="145"/>
      <c r="D48" s="145"/>
      <c r="E48" s="145"/>
      <c r="F48" s="145"/>
      <c r="G48" s="145"/>
      <c r="H48" s="145"/>
      <c r="I48" s="145"/>
      <c r="J48" s="145"/>
      <c r="K48" s="145"/>
      <c r="L48" s="25"/>
    </row>
    <row r="49" spans="2:12" ht="16.5" thickBot="1" x14ac:dyDescent="0.3">
      <c r="B49" s="146" t="s">
        <v>192</v>
      </c>
      <c r="C49" s="132"/>
      <c r="D49" s="150" t="s">
        <v>223</v>
      </c>
      <c r="E49" s="152" t="s">
        <v>224</v>
      </c>
      <c r="F49" s="152" t="s">
        <v>225</v>
      </c>
      <c r="G49" s="152" t="s">
        <v>226</v>
      </c>
      <c r="H49" s="154" t="s">
        <v>227</v>
      </c>
      <c r="I49" s="155"/>
      <c r="J49" s="152" t="s">
        <v>228</v>
      </c>
      <c r="K49" s="137" t="s">
        <v>229</v>
      </c>
      <c r="L49" s="25"/>
    </row>
    <row r="50" spans="2:12" ht="16.5" thickBot="1" x14ac:dyDescent="0.3">
      <c r="B50" s="143"/>
      <c r="C50" s="149"/>
      <c r="D50" s="151"/>
      <c r="E50" s="153"/>
      <c r="F50" s="153"/>
      <c r="G50" s="153"/>
      <c r="H50" s="40" t="s">
        <v>230</v>
      </c>
      <c r="I50" s="40" t="s">
        <v>231</v>
      </c>
      <c r="J50" s="153"/>
      <c r="K50" s="138"/>
      <c r="L50" s="25"/>
    </row>
    <row r="51" spans="2:12" x14ac:dyDescent="0.25">
      <c r="B51" s="139" t="s">
        <v>9</v>
      </c>
      <c r="C51" s="41" t="s">
        <v>232</v>
      </c>
      <c r="D51" s="42">
        <v>78</v>
      </c>
      <c r="E51" s="43">
        <v>52.46153846153846</v>
      </c>
      <c r="F51" s="44">
        <v>37.03839436777271</v>
      </c>
      <c r="G51" s="44">
        <v>4.1937723324219576</v>
      </c>
      <c r="H51" s="43">
        <v>44.110670871346727</v>
      </c>
      <c r="I51" s="43">
        <v>60.812406051730193</v>
      </c>
      <c r="J51" s="45">
        <v>9</v>
      </c>
      <c r="K51" s="46">
        <v>159</v>
      </c>
      <c r="L51" s="25"/>
    </row>
    <row r="52" spans="2:12" x14ac:dyDescent="0.25">
      <c r="B52" s="136"/>
      <c r="C52" s="30" t="s">
        <v>215</v>
      </c>
      <c r="D52" s="47">
        <v>8</v>
      </c>
      <c r="E52" s="48">
        <v>62.75</v>
      </c>
      <c r="F52" s="49">
        <v>37.818174013485709</v>
      </c>
      <c r="G52" s="49">
        <v>13.370743648514308</v>
      </c>
      <c r="H52" s="48">
        <v>31.133215306892872</v>
      </c>
      <c r="I52" s="48">
        <v>94.366784693107121</v>
      </c>
      <c r="J52" s="50">
        <v>9</v>
      </c>
      <c r="K52" s="51">
        <v>111</v>
      </c>
      <c r="L52" s="25"/>
    </row>
    <row r="53" spans="2:12" x14ac:dyDescent="0.25">
      <c r="B53" s="140"/>
      <c r="C53" s="52" t="s">
        <v>233</v>
      </c>
      <c r="D53" s="53">
        <v>86</v>
      </c>
      <c r="E53" s="54">
        <v>53.418604651162788</v>
      </c>
      <c r="F53" s="55">
        <v>37.007380858824575</v>
      </c>
      <c r="G53" s="55">
        <v>3.9906085070028983</v>
      </c>
      <c r="H53" s="54">
        <v>45.48420582538499</v>
      </c>
      <c r="I53" s="54">
        <v>61.353003476940586</v>
      </c>
      <c r="J53" s="56">
        <v>9</v>
      </c>
      <c r="K53" s="57">
        <v>159</v>
      </c>
      <c r="L53" s="25"/>
    </row>
    <row r="54" spans="2:12" x14ac:dyDescent="0.25">
      <c r="B54" s="141" t="s">
        <v>10</v>
      </c>
      <c r="C54" s="58" t="s">
        <v>232</v>
      </c>
      <c r="D54" s="59">
        <v>78</v>
      </c>
      <c r="E54" s="60">
        <v>7.3141025641025639</v>
      </c>
      <c r="F54" s="61">
        <v>4.8724703555760458</v>
      </c>
      <c r="G54" s="61">
        <v>0.55169862831691086</v>
      </c>
      <c r="H54" s="60">
        <v>6.2155302455369945</v>
      </c>
      <c r="I54" s="60">
        <v>8.4126748826681332</v>
      </c>
      <c r="J54" s="62">
        <v>1</v>
      </c>
      <c r="K54" s="63">
        <v>18.5</v>
      </c>
      <c r="L54" s="25"/>
    </row>
    <row r="55" spans="2:12" x14ac:dyDescent="0.25">
      <c r="B55" s="136"/>
      <c r="C55" s="30" t="s">
        <v>215</v>
      </c>
      <c r="D55" s="47">
        <v>8</v>
      </c>
      <c r="E55" s="48">
        <v>10.625</v>
      </c>
      <c r="F55" s="49">
        <v>5.3167524996803399</v>
      </c>
      <c r="G55" s="49">
        <v>1.8797558732072477</v>
      </c>
      <c r="H55" s="48">
        <v>6.1800836751401702</v>
      </c>
      <c r="I55" s="48">
        <v>15.069916324859829</v>
      </c>
      <c r="J55" s="50">
        <v>4</v>
      </c>
      <c r="K55" s="51">
        <v>20</v>
      </c>
      <c r="L55" s="25"/>
    </row>
    <row r="56" spans="2:12" x14ac:dyDescent="0.25">
      <c r="B56" s="140"/>
      <c r="C56" s="52" t="s">
        <v>233</v>
      </c>
      <c r="D56" s="53">
        <v>86</v>
      </c>
      <c r="E56" s="54">
        <v>7.6220930232558137</v>
      </c>
      <c r="F56" s="55">
        <v>4.9769681572523332</v>
      </c>
      <c r="G56" s="55">
        <v>0.53668027854172562</v>
      </c>
      <c r="H56" s="54">
        <v>6.5550288488555868</v>
      </c>
      <c r="I56" s="54">
        <v>8.6891571976560407</v>
      </c>
      <c r="J56" s="56">
        <v>1</v>
      </c>
      <c r="K56" s="57">
        <v>20</v>
      </c>
      <c r="L56" s="25"/>
    </row>
    <row r="57" spans="2:12" ht="16.5" thickBot="1" x14ac:dyDescent="0.3">
      <c r="B57" s="142" t="s">
        <v>11</v>
      </c>
      <c r="C57" s="58" t="s">
        <v>232</v>
      </c>
      <c r="D57" s="59">
        <v>78</v>
      </c>
      <c r="E57" s="64">
        <v>17.681158767269238</v>
      </c>
      <c r="F57" s="65">
        <v>27.504324438326609</v>
      </c>
      <c r="G57" s="65">
        <v>3.1142514901179172</v>
      </c>
      <c r="H57" s="64">
        <v>11.479891799228366</v>
      </c>
      <c r="I57" s="64">
        <v>23.882425735310111</v>
      </c>
      <c r="J57" s="66">
        <v>3.1415930000000002E-2</v>
      </c>
      <c r="K57" s="67">
        <v>106.452866</v>
      </c>
      <c r="L57" s="25"/>
    </row>
    <row r="58" spans="2:12" x14ac:dyDescent="0.25">
      <c r="B58" s="136"/>
      <c r="C58" s="30" t="s">
        <v>215</v>
      </c>
      <c r="D58" s="47">
        <v>8</v>
      </c>
      <c r="E58" s="68">
        <v>30.969885462500002</v>
      </c>
      <c r="F58" s="69">
        <v>38.529358368449621</v>
      </c>
      <c r="G58" s="69">
        <v>13.622185288548689</v>
      </c>
      <c r="H58" s="68">
        <v>-1.2414642304926886</v>
      </c>
      <c r="I58" s="68">
        <v>63.181235155492693</v>
      </c>
      <c r="J58" s="70">
        <v>1.0053097</v>
      </c>
      <c r="K58" s="71">
        <v>116.23893</v>
      </c>
      <c r="L58" s="25"/>
    </row>
    <row r="59" spans="2:12" ht="16.5" thickBot="1" x14ac:dyDescent="0.3">
      <c r="B59" s="143"/>
      <c r="C59" s="33" t="s">
        <v>233</v>
      </c>
      <c r="D59" s="72">
        <v>86</v>
      </c>
      <c r="E59" s="73">
        <v>18.917319390081403</v>
      </c>
      <c r="F59" s="74">
        <v>28.681301898903492</v>
      </c>
      <c r="G59" s="74">
        <v>3.0927843228438077</v>
      </c>
      <c r="H59" s="73">
        <v>12.768035576223671</v>
      </c>
      <c r="I59" s="73">
        <v>25.066603203939135</v>
      </c>
      <c r="J59" s="75">
        <v>3.1415930000000002E-2</v>
      </c>
      <c r="K59" s="76">
        <v>116.23893</v>
      </c>
      <c r="L59" s="25"/>
    </row>
    <row r="60" spans="2:12" x14ac:dyDescent="0.25">
      <c r="B60" s="25"/>
      <c r="C60" s="25"/>
      <c r="D60" s="25"/>
      <c r="E60" s="25"/>
      <c r="F60" s="25"/>
      <c r="G60" s="25"/>
      <c r="H60" s="25"/>
      <c r="I60" s="25"/>
      <c r="J60" s="25"/>
      <c r="K60" s="25"/>
      <c r="L60" s="25"/>
    </row>
    <row r="61" spans="2:12" x14ac:dyDescent="0.25">
      <c r="B61" s="25"/>
      <c r="C61" s="25"/>
      <c r="D61" s="25"/>
      <c r="E61" s="25"/>
      <c r="F61" s="25"/>
      <c r="G61" s="25"/>
      <c r="H61" s="25"/>
      <c r="I61" s="25"/>
      <c r="J61" s="25"/>
      <c r="K61" s="25"/>
      <c r="L61" s="25"/>
    </row>
    <row r="62" spans="2:12" ht="16.5" thickBot="1" x14ac:dyDescent="0.3">
      <c r="B62" s="144" t="s">
        <v>234</v>
      </c>
      <c r="C62" s="145"/>
      <c r="D62" s="145"/>
      <c r="E62" s="145"/>
      <c r="F62" s="145"/>
      <c r="G62" s="145"/>
      <c r="H62" s="145"/>
      <c r="I62" s="25"/>
      <c r="J62" s="25"/>
      <c r="K62" s="25"/>
      <c r="L62" s="25"/>
    </row>
    <row r="63" spans="2:12" ht="16.5" thickBot="1" x14ac:dyDescent="0.3">
      <c r="B63" s="146" t="s">
        <v>192</v>
      </c>
      <c r="C63" s="147"/>
      <c r="D63" s="77" t="s">
        <v>235</v>
      </c>
      <c r="E63" s="78" t="s">
        <v>236</v>
      </c>
      <c r="F63" s="78" t="s">
        <v>237</v>
      </c>
      <c r="G63" s="78" t="s">
        <v>238</v>
      </c>
      <c r="H63" s="79" t="s">
        <v>239</v>
      </c>
      <c r="I63" s="25"/>
      <c r="J63" s="25"/>
      <c r="K63" s="25"/>
      <c r="L63" s="25"/>
    </row>
    <row r="64" spans="2:12" ht="24" x14ac:dyDescent="0.25">
      <c r="B64" s="139" t="s">
        <v>9</v>
      </c>
      <c r="C64" s="41" t="s">
        <v>240</v>
      </c>
      <c r="D64" s="80">
        <v>768.04561717352442</v>
      </c>
      <c r="E64" s="81">
        <v>1</v>
      </c>
      <c r="F64" s="43">
        <v>768.04561717352442</v>
      </c>
      <c r="G64" s="43">
        <v>0.55788605683885517</v>
      </c>
      <c r="H64" s="82">
        <v>0.45719883020735552</v>
      </c>
      <c r="I64" s="25"/>
      <c r="J64" s="25"/>
      <c r="K64" s="25"/>
      <c r="L64" s="25"/>
    </row>
    <row r="65" spans="2:12" ht="24" x14ac:dyDescent="0.25">
      <c r="B65" s="136"/>
      <c r="C65" s="30" t="s">
        <v>241</v>
      </c>
      <c r="D65" s="83">
        <v>115643.38461538461</v>
      </c>
      <c r="E65" s="84">
        <v>84</v>
      </c>
      <c r="F65" s="48">
        <v>1376.7069597069597</v>
      </c>
      <c r="G65" s="85"/>
      <c r="H65" s="86"/>
      <c r="I65" s="25"/>
      <c r="J65" s="25"/>
      <c r="K65" s="25"/>
      <c r="L65" s="25"/>
    </row>
    <row r="66" spans="2:12" x14ac:dyDescent="0.25">
      <c r="B66" s="140"/>
      <c r="C66" s="52" t="s">
        <v>233</v>
      </c>
      <c r="D66" s="87">
        <v>116411.43023255814</v>
      </c>
      <c r="E66" s="88">
        <v>85</v>
      </c>
      <c r="F66" s="89"/>
      <c r="G66" s="89"/>
      <c r="H66" s="90"/>
      <c r="I66" s="25"/>
      <c r="J66" s="25"/>
      <c r="K66" s="25"/>
      <c r="L66" s="25"/>
    </row>
    <row r="67" spans="2:12" ht="24" x14ac:dyDescent="0.25">
      <c r="B67" s="141" t="s">
        <v>10</v>
      </c>
      <c r="C67" s="58" t="s">
        <v>240</v>
      </c>
      <c r="D67" s="91">
        <v>79.538536076326778</v>
      </c>
      <c r="E67" s="92">
        <v>1</v>
      </c>
      <c r="F67" s="60">
        <v>79.538536076326778</v>
      </c>
      <c r="G67" s="60">
        <v>3.2978625725582953</v>
      </c>
      <c r="H67" s="93">
        <v>7.2937842966015479E-2</v>
      </c>
      <c r="I67" s="25"/>
      <c r="J67" s="25"/>
      <c r="K67" s="25"/>
      <c r="L67" s="25"/>
    </row>
    <row r="68" spans="2:12" ht="24" x14ac:dyDescent="0.25">
      <c r="B68" s="136"/>
      <c r="C68" s="30" t="s">
        <v>241</v>
      </c>
      <c r="D68" s="83">
        <v>2025.9294871794864</v>
      </c>
      <c r="E68" s="84">
        <v>84</v>
      </c>
      <c r="F68" s="48">
        <v>24.118208180708173</v>
      </c>
      <c r="G68" s="85"/>
      <c r="H68" s="86"/>
      <c r="I68" s="25"/>
      <c r="J68" s="25"/>
      <c r="K68" s="25"/>
      <c r="L68" s="25"/>
    </row>
    <row r="69" spans="2:12" x14ac:dyDescent="0.25">
      <c r="B69" s="140"/>
      <c r="C69" s="52" t="s">
        <v>233</v>
      </c>
      <c r="D69" s="87">
        <v>2105.468023255813</v>
      </c>
      <c r="E69" s="88">
        <v>85</v>
      </c>
      <c r="F69" s="89"/>
      <c r="G69" s="89"/>
      <c r="H69" s="90"/>
      <c r="I69" s="25"/>
      <c r="J69" s="25"/>
      <c r="K69" s="25"/>
      <c r="L69" s="25"/>
    </row>
    <row r="70" spans="2:12" ht="24.75" thickBot="1" x14ac:dyDescent="0.3">
      <c r="B70" s="142" t="s">
        <v>11</v>
      </c>
      <c r="C70" s="58" t="s">
        <v>240</v>
      </c>
      <c r="D70" s="91">
        <v>1281.3060521006532</v>
      </c>
      <c r="E70" s="92">
        <v>1</v>
      </c>
      <c r="F70" s="60">
        <v>1281.3060521006532</v>
      </c>
      <c r="G70" s="60">
        <v>1.5680057112712589</v>
      </c>
      <c r="H70" s="93">
        <v>0.21397219402615097</v>
      </c>
      <c r="I70" s="25"/>
      <c r="J70" s="25"/>
      <c r="K70" s="25"/>
      <c r="L70" s="25"/>
    </row>
    <row r="71" spans="2:12" ht="24" x14ac:dyDescent="0.25">
      <c r="B71" s="136"/>
      <c r="C71" s="30" t="s">
        <v>241</v>
      </c>
      <c r="D71" s="83">
        <v>68641.14563026317</v>
      </c>
      <c r="E71" s="84">
        <v>84</v>
      </c>
      <c r="F71" s="48">
        <v>817.15649559837107</v>
      </c>
      <c r="G71" s="85"/>
      <c r="H71" s="86"/>
      <c r="I71" s="25"/>
      <c r="J71" s="25"/>
      <c r="K71" s="25"/>
      <c r="L71" s="25"/>
    </row>
    <row r="72" spans="2:12" ht="16.5" thickBot="1" x14ac:dyDescent="0.3">
      <c r="B72" s="143"/>
      <c r="C72" s="33" t="s">
        <v>233</v>
      </c>
      <c r="D72" s="94">
        <v>69922.451682363826</v>
      </c>
      <c r="E72" s="95">
        <v>85</v>
      </c>
      <c r="F72" s="96"/>
      <c r="G72" s="96"/>
      <c r="H72" s="97"/>
      <c r="I72" s="25"/>
      <c r="J72" s="25"/>
      <c r="K72" s="25"/>
      <c r="L72" s="25"/>
    </row>
    <row r="73" spans="2:12" x14ac:dyDescent="0.25">
      <c r="B73" s="25"/>
      <c r="C73" s="25"/>
      <c r="D73" s="25"/>
      <c r="E73" s="25"/>
      <c r="F73" s="25"/>
      <c r="G73" s="25"/>
      <c r="H73" s="25"/>
      <c r="I73" s="25"/>
      <c r="J73" s="25"/>
      <c r="K73" s="25"/>
      <c r="L73" s="25"/>
    </row>
    <row r="74" spans="2:12" x14ac:dyDescent="0.25">
      <c r="B74" s="25"/>
      <c r="C74" s="25"/>
      <c r="D74" s="25"/>
      <c r="E74" s="25"/>
      <c r="F74" s="25"/>
      <c r="G74" s="25"/>
      <c r="H74" s="25"/>
      <c r="I74" s="25"/>
      <c r="J74" s="25"/>
      <c r="K74" s="25"/>
      <c r="L74" s="25"/>
    </row>
    <row r="75" spans="2:12" x14ac:dyDescent="0.25">
      <c r="B75" s="25"/>
      <c r="C75" s="25"/>
      <c r="D75" s="25"/>
      <c r="E75" s="25"/>
      <c r="F75" s="25"/>
      <c r="G75" s="25"/>
      <c r="H75" s="25"/>
      <c r="I75" s="25"/>
      <c r="J75" s="25"/>
      <c r="K75" s="25"/>
      <c r="L75" s="25"/>
    </row>
    <row r="76" spans="2:12" ht="16.5" x14ac:dyDescent="0.25">
      <c r="B76" s="27" t="s">
        <v>242</v>
      </c>
      <c r="C76" s="25"/>
      <c r="D76" s="25"/>
      <c r="E76" s="25"/>
      <c r="F76" s="25"/>
      <c r="G76" s="25"/>
      <c r="H76" s="25"/>
      <c r="I76" s="25"/>
      <c r="J76" s="25"/>
      <c r="K76" s="25"/>
      <c r="L76" s="25"/>
    </row>
    <row r="77" spans="2:12" x14ac:dyDescent="0.25">
      <c r="B77" s="25"/>
      <c r="C77" s="25"/>
      <c r="D77" s="25"/>
      <c r="E77" s="25"/>
      <c r="F77" s="25"/>
      <c r="G77" s="25"/>
      <c r="H77" s="25"/>
      <c r="I77" s="25"/>
      <c r="J77" s="25"/>
      <c r="K77" s="25"/>
      <c r="L77" s="25"/>
    </row>
    <row r="78" spans="2:12" ht="16.5" thickBot="1" x14ac:dyDescent="0.3">
      <c r="B78" s="144" t="s">
        <v>222</v>
      </c>
      <c r="C78" s="145"/>
      <c r="D78" s="145"/>
      <c r="E78" s="145"/>
      <c r="F78" s="145"/>
      <c r="G78" s="145"/>
      <c r="H78" s="145"/>
      <c r="I78" s="145"/>
      <c r="J78" s="145"/>
      <c r="K78" s="145"/>
      <c r="L78" s="25"/>
    </row>
    <row r="79" spans="2:12" ht="16.5" thickBot="1" x14ac:dyDescent="0.3">
      <c r="B79" s="146" t="s">
        <v>192</v>
      </c>
      <c r="C79" s="132"/>
      <c r="D79" s="150" t="s">
        <v>223</v>
      </c>
      <c r="E79" s="152" t="s">
        <v>224</v>
      </c>
      <c r="F79" s="152" t="s">
        <v>225</v>
      </c>
      <c r="G79" s="152" t="s">
        <v>226</v>
      </c>
      <c r="H79" s="154" t="s">
        <v>227</v>
      </c>
      <c r="I79" s="155"/>
      <c r="J79" s="152" t="s">
        <v>228</v>
      </c>
      <c r="K79" s="137" t="s">
        <v>229</v>
      </c>
      <c r="L79" s="25"/>
    </row>
    <row r="80" spans="2:12" ht="16.5" thickBot="1" x14ac:dyDescent="0.3">
      <c r="B80" s="143"/>
      <c r="C80" s="149"/>
      <c r="D80" s="151"/>
      <c r="E80" s="153"/>
      <c r="F80" s="153"/>
      <c r="G80" s="153"/>
      <c r="H80" s="40" t="s">
        <v>230</v>
      </c>
      <c r="I80" s="40" t="s">
        <v>231</v>
      </c>
      <c r="J80" s="153"/>
      <c r="K80" s="138"/>
      <c r="L80" s="25"/>
    </row>
    <row r="81" spans="2:12" x14ac:dyDescent="0.25">
      <c r="B81" s="139" t="s">
        <v>9</v>
      </c>
      <c r="C81" s="41" t="s">
        <v>232</v>
      </c>
      <c r="D81" s="42">
        <v>4</v>
      </c>
      <c r="E81" s="43">
        <v>48.25</v>
      </c>
      <c r="F81" s="44">
        <v>8.770214744615247</v>
      </c>
      <c r="G81" s="44">
        <v>4.3851073723076235</v>
      </c>
      <c r="H81" s="43">
        <v>34.29463124472791</v>
      </c>
      <c r="I81" s="43">
        <v>62.20536875527209</v>
      </c>
      <c r="J81" s="45">
        <v>37</v>
      </c>
      <c r="K81" s="46">
        <v>58</v>
      </c>
      <c r="L81" s="25"/>
    </row>
    <row r="82" spans="2:12" x14ac:dyDescent="0.25">
      <c r="B82" s="136"/>
      <c r="C82" s="30" t="s">
        <v>215</v>
      </c>
      <c r="D82" s="47">
        <v>1</v>
      </c>
      <c r="E82" s="48">
        <v>56</v>
      </c>
      <c r="F82" s="98" t="s">
        <v>243</v>
      </c>
      <c r="G82" s="98" t="s">
        <v>243</v>
      </c>
      <c r="H82" s="98" t="s">
        <v>243</v>
      </c>
      <c r="I82" s="98" t="s">
        <v>243</v>
      </c>
      <c r="J82" s="50">
        <v>56</v>
      </c>
      <c r="K82" s="51">
        <v>56</v>
      </c>
      <c r="L82" s="25"/>
    </row>
    <row r="83" spans="2:12" x14ac:dyDescent="0.25">
      <c r="B83" s="140"/>
      <c r="C83" s="52" t="s">
        <v>233</v>
      </c>
      <c r="D83" s="53">
        <v>5</v>
      </c>
      <c r="E83" s="54">
        <v>49.8</v>
      </c>
      <c r="F83" s="55">
        <v>8.3486525858967209</v>
      </c>
      <c r="G83" s="55">
        <v>3.7336309405188937</v>
      </c>
      <c r="H83" s="54">
        <v>39.433778650581274</v>
      </c>
      <c r="I83" s="54">
        <v>60.16622134941872</v>
      </c>
      <c r="J83" s="56">
        <v>37</v>
      </c>
      <c r="K83" s="57">
        <v>58</v>
      </c>
      <c r="L83" s="25"/>
    </row>
    <row r="84" spans="2:12" x14ac:dyDescent="0.25">
      <c r="B84" s="141" t="s">
        <v>10</v>
      </c>
      <c r="C84" s="58" t="s">
        <v>232</v>
      </c>
      <c r="D84" s="59">
        <v>4</v>
      </c>
      <c r="E84" s="60">
        <v>8.5</v>
      </c>
      <c r="F84" s="61">
        <v>1.2909944487358054</v>
      </c>
      <c r="G84" s="61">
        <v>0.64549722436790269</v>
      </c>
      <c r="H84" s="60">
        <v>6.4457397432395753</v>
      </c>
      <c r="I84" s="60">
        <v>10.554260256760426</v>
      </c>
      <c r="J84" s="62">
        <v>7</v>
      </c>
      <c r="K84" s="63">
        <v>10</v>
      </c>
      <c r="L84" s="25"/>
    </row>
    <row r="85" spans="2:12" x14ac:dyDescent="0.25">
      <c r="B85" s="136"/>
      <c r="C85" s="30" t="s">
        <v>215</v>
      </c>
      <c r="D85" s="47">
        <v>1</v>
      </c>
      <c r="E85" s="48">
        <v>8</v>
      </c>
      <c r="F85" s="98" t="s">
        <v>243</v>
      </c>
      <c r="G85" s="98" t="s">
        <v>243</v>
      </c>
      <c r="H85" s="98" t="s">
        <v>243</v>
      </c>
      <c r="I85" s="98" t="s">
        <v>243</v>
      </c>
      <c r="J85" s="50">
        <v>8</v>
      </c>
      <c r="K85" s="51">
        <v>8</v>
      </c>
      <c r="L85" s="25"/>
    </row>
    <row r="86" spans="2:12" x14ac:dyDescent="0.25">
      <c r="B86" s="140"/>
      <c r="C86" s="52" t="s">
        <v>233</v>
      </c>
      <c r="D86" s="53">
        <v>5</v>
      </c>
      <c r="E86" s="54">
        <v>8.4</v>
      </c>
      <c r="F86" s="55">
        <v>1.1401754250991378</v>
      </c>
      <c r="G86" s="55">
        <v>0.5099019513592784</v>
      </c>
      <c r="H86" s="54">
        <v>6.9842852230177277</v>
      </c>
      <c r="I86" s="54">
        <v>9.8157147769822739</v>
      </c>
      <c r="J86" s="56">
        <v>7</v>
      </c>
      <c r="K86" s="57">
        <v>10</v>
      </c>
      <c r="L86" s="25"/>
    </row>
    <row r="87" spans="2:12" ht="16.5" thickBot="1" x14ac:dyDescent="0.3">
      <c r="B87" s="142" t="s">
        <v>11</v>
      </c>
      <c r="C87" s="58" t="s">
        <v>232</v>
      </c>
      <c r="D87" s="59">
        <v>4</v>
      </c>
      <c r="E87" s="64">
        <v>9.473865374999999</v>
      </c>
      <c r="F87" s="65">
        <v>3.6151271463789798</v>
      </c>
      <c r="G87" s="65">
        <v>1.8075635731894899</v>
      </c>
      <c r="H87" s="64">
        <v>3.7213913599379582</v>
      </c>
      <c r="I87" s="64">
        <v>15.226339390062041</v>
      </c>
      <c r="J87" s="66">
        <v>4.7464230000000001</v>
      </c>
      <c r="K87" s="67">
        <v>12.304570999999999</v>
      </c>
      <c r="L87" s="25"/>
    </row>
    <row r="88" spans="2:12" x14ac:dyDescent="0.25">
      <c r="B88" s="136"/>
      <c r="C88" s="30" t="s">
        <v>215</v>
      </c>
      <c r="D88" s="47">
        <v>1</v>
      </c>
      <c r="E88" s="68">
        <v>9.3828899999999997</v>
      </c>
      <c r="F88" s="98" t="s">
        <v>243</v>
      </c>
      <c r="G88" s="98" t="s">
        <v>243</v>
      </c>
      <c r="H88" s="98" t="s">
        <v>243</v>
      </c>
      <c r="I88" s="98" t="s">
        <v>243</v>
      </c>
      <c r="J88" s="70">
        <v>9.3828899999999997</v>
      </c>
      <c r="K88" s="71">
        <v>9.3828899999999997</v>
      </c>
      <c r="L88" s="25"/>
    </row>
    <row r="89" spans="2:12" ht="16.5" thickBot="1" x14ac:dyDescent="0.3">
      <c r="B89" s="143"/>
      <c r="C89" s="33" t="s">
        <v>233</v>
      </c>
      <c r="D89" s="72">
        <v>5</v>
      </c>
      <c r="E89" s="73">
        <v>9.4556702999999995</v>
      </c>
      <c r="F89" s="74">
        <v>3.1310562941499387</v>
      </c>
      <c r="G89" s="74">
        <v>1.400250943019568</v>
      </c>
      <c r="H89" s="73">
        <v>5.5679504232047226</v>
      </c>
      <c r="I89" s="73">
        <v>13.343390176795277</v>
      </c>
      <c r="J89" s="75">
        <v>4.7464230000000001</v>
      </c>
      <c r="K89" s="76">
        <v>12.304570999999999</v>
      </c>
      <c r="L89" s="25"/>
    </row>
    <row r="90" spans="2:12" x14ac:dyDescent="0.25">
      <c r="B90" s="25"/>
      <c r="C90" s="25"/>
      <c r="D90" s="25"/>
      <c r="E90" s="25"/>
      <c r="F90" s="25"/>
      <c r="G90" s="25"/>
      <c r="H90" s="25"/>
      <c r="I90" s="25"/>
      <c r="J90" s="25"/>
      <c r="K90" s="25"/>
      <c r="L90" s="25"/>
    </row>
    <row r="91" spans="2:12" x14ac:dyDescent="0.25">
      <c r="B91" s="25"/>
      <c r="C91" s="25"/>
      <c r="D91" s="25"/>
      <c r="E91" s="25"/>
      <c r="F91" s="25"/>
      <c r="G91" s="25"/>
      <c r="H91" s="25"/>
      <c r="I91" s="25"/>
      <c r="J91" s="25"/>
      <c r="K91" s="25"/>
      <c r="L91" s="25"/>
    </row>
    <row r="92" spans="2:12" ht="16.5" thickBot="1" x14ac:dyDescent="0.3">
      <c r="B92" s="144" t="s">
        <v>234</v>
      </c>
      <c r="C92" s="145"/>
      <c r="D92" s="145"/>
      <c r="E92" s="145"/>
      <c r="F92" s="145"/>
      <c r="G92" s="145"/>
      <c r="H92" s="145"/>
      <c r="I92" s="25"/>
      <c r="J92" s="25"/>
      <c r="K92" s="25"/>
      <c r="L92" s="25"/>
    </row>
    <row r="93" spans="2:12" ht="16.5" thickBot="1" x14ac:dyDescent="0.3">
      <c r="B93" s="146" t="s">
        <v>192</v>
      </c>
      <c r="C93" s="147"/>
      <c r="D93" s="77" t="s">
        <v>235</v>
      </c>
      <c r="E93" s="78" t="s">
        <v>236</v>
      </c>
      <c r="F93" s="78" t="s">
        <v>237</v>
      </c>
      <c r="G93" s="78" t="s">
        <v>238</v>
      </c>
      <c r="H93" s="79" t="s">
        <v>239</v>
      </c>
      <c r="I93" s="25"/>
      <c r="J93" s="25"/>
      <c r="K93" s="25"/>
      <c r="L93" s="25"/>
    </row>
    <row r="94" spans="2:12" ht="24" x14ac:dyDescent="0.25">
      <c r="B94" s="139" t="s">
        <v>9</v>
      </c>
      <c r="C94" s="41" t="s">
        <v>240</v>
      </c>
      <c r="D94" s="80">
        <v>48.05</v>
      </c>
      <c r="E94" s="81">
        <v>1</v>
      </c>
      <c r="F94" s="43">
        <v>48.05</v>
      </c>
      <c r="G94" s="43">
        <v>0.62470205850487537</v>
      </c>
      <c r="H94" s="82">
        <v>0.48702235774519753</v>
      </c>
      <c r="I94" s="25"/>
      <c r="J94" s="25"/>
      <c r="K94" s="25"/>
      <c r="L94" s="25"/>
    </row>
    <row r="95" spans="2:12" ht="24" x14ac:dyDescent="0.25">
      <c r="B95" s="136"/>
      <c r="C95" s="30" t="s">
        <v>241</v>
      </c>
      <c r="D95" s="83">
        <v>230.75</v>
      </c>
      <c r="E95" s="84">
        <v>3</v>
      </c>
      <c r="F95" s="48">
        <v>76.916666666666671</v>
      </c>
      <c r="G95" s="85"/>
      <c r="H95" s="86"/>
      <c r="I95" s="25"/>
      <c r="J95" s="25"/>
      <c r="K95" s="25"/>
      <c r="L95" s="25"/>
    </row>
    <row r="96" spans="2:12" x14ac:dyDescent="0.25">
      <c r="B96" s="140"/>
      <c r="C96" s="52" t="s">
        <v>233</v>
      </c>
      <c r="D96" s="87">
        <v>278.8</v>
      </c>
      <c r="E96" s="88">
        <v>4</v>
      </c>
      <c r="F96" s="89"/>
      <c r="G96" s="89"/>
      <c r="H96" s="90"/>
      <c r="I96" s="25"/>
      <c r="J96" s="25"/>
      <c r="K96" s="25"/>
      <c r="L96" s="25"/>
    </row>
    <row r="97" spans="2:12" ht="24" x14ac:dyDescent="0.25">
      <c r="B97" s="141" t="s">
        <v>10</v>
      </c>
      <c r="C97" s="58" t="s">
        <v>240</v>
      </c>
      <c r="D97" s="91">
        <v>0.2</v>
      </c>
      <c r="E97" s="92">
        <v>1</v>
      </c>
      <c r="F97" s="60">
        <v>0.2</v>
      </c>
      <c r="G97" s="60">
        <v>0.12000000000000004</v>
      </c>
      <c r="H97" s="93">
        <v>0.75190720432052149</v>
      </c>
      <c r="I97" s="25"/>
      <c r="J97" s="25"/>
      <c r="K97" s="25"/>
      <c r="L97" s="25"/>
    </row>
    <row r="98" spans="2:12" ht="24" x14ac:dyDescent="0.25">
      <c r="B98" s="136"/>
      <c r="C98" s="30" t="s">
        <v>241</v>
      </c>
      <c r="D98" s="83">
        <v>4.9999999999999991</v>
      </c>
      <c r="E98" s="84">
        <v>3</v>
      </c>
      <c r="F98" s="48">
        <v>1.6666666666666663</v>
      </c>
      <c r="G98" s="85"/>
      <c r="H98" s="86"/>
      <c r="I98" s="25"/>
      <c r="J98" s="25"/>
      <c r="K98" s="25"/>
      <c r="L98" s="25"/>
    </row>
    <row r="99" spans="2:12" x14ac:dyDescent="0.25">
      <c r="B99" s="140"/>
      <c r="C99" s="52" t="s">
        <v>233</v>
      </c>
      <c r="D99" s="87">
        <v>5.1999999999999993</v>
      </c>
      <c r="E99" s="88">
        <v>4</v>
      </c>
      <c r="F99" s="89"/>
      <c r="G99" s="89"/>
      <c r="H99" s="90"/>
      <c r="I99" s="25"/>
      <c r="J99" s="25"/>
      <c r="K99" s="25"/>
      <c r="L99" s="25"/>
    </row>
    <row r="100" spans="2:12" ht="24.75" thickBot="1" x14ac:dyDescent="0.3">
      <c r="B100" s="142" t="s">
        <v>11</v>
      </c>
      <c r="C100" s="58" t="s">
        <v>240</v>
      </c>
      <c r="D100" s="91">
        <v>6.6212150851123986E-3</v>
      </c>
      <c r="E100" s="92">
        <v>1</v>
      </c>
      <c r="F100" s="60">
        <v>6.6212150851123986E-3</v>
      </c>
      <c r="G100" s="60">
        <v>5.0662958040582158E-4</v>
      </c>
      <c r="H100" s="93">
        <v>0.98345579614366296</v>
      </c>
      <c r="I100" s="25"/>
      <c r="J100" s="25"/>
      <c r="K100" s="25"/>
      <c r="L100" s="25"/>
    </row>
    <row r="101" spans="2:12" ht="24" x14ac:dyDescent="0.25">
      <c r="B101" s="136"/>
      <c r="C101" s="30" t="s">
        <v>241</v>
      </c>
      <c r="D101" s="83">
        <v>39.207432853458677</v>
      </c>
      <c r="E101" s="84">
        <v>3</v>
      </c>
      <c r="F101" s="48">
        <v>13.069144284486226</v>
      </c>
      <c r="G101" s="85"/>
      <c r="H101" s="86"/>
      <c r="I101" s="25"/>
      <c r="J101" s="25"/>
      <c r="K101" s="25"/>
      <c r="L101" s="25"/>
    </row>
    <row r="102" spans="2:12" ht="16.5" thickBot="1" x14ac:dyDescent="0.3">
      <c r="B102" s="143"/>
      <c r="C102" s="33" t="s">
        <v>233</v>
      </c>
      <c r="D102" s="94">
        <v>39.214054068543788</v>
      </c>
      <c r="E102" s="95">
        <v>4</v>
      </c>
      <c r="F102" s="96"/>
      <c r="G102" s="96"/>
      <c r="H102" s="97"/>
      <c r="I102" s="25"/>
      <c r="J102" s="25"/>
      <c r="K102" s="25"/>
      <c r="L102" s="25"/>
    </row>
    <row r="103" spans="2:12" x14ac:dyDescent="0.25">
      <c r="B103" s="25"/>
      <c r="C103" s="25"/>
      <c r="D103" s="25"/>
      <c r="E103" s="25"/>
      <c r="F103" s="25"/>
      <c r="G103" s="25"/>
      <c r="H103" s="25"/>
      <c r="I103" s="25"/>
      <c r="J103" s="25"/>
      <c r="K103" s="25"/>
      <c r="L103" s="25"/>
    </row>
    <row r="104" spans="2:12" x14ac:dyDescent="0.25">
      <c r="B104" s="25"/>
      <c r="C104" s="25"/>
      <c r="D104" s="25"/>
      <c r="E104" s="25"/>
      <c r="F104" s="25"/>
      <c r="G104" s="25"/>
      <c r="H104" s="25"/>
      <c r="I104" s="25"/>
      <c r="J104" s="25"/>
      <c r="K104" s="25"/>
      <c r="L104" s="25"/>
    </row>
    <row r="105" spans="2:12" x14ac:dyDescent="0.25">
      <c r="B105" s="25"/>
      <c r="C105" s="25"/>
      <c r="D105" s="25"/>
      <c r="E105" s="25"/>
      <c r="F105" s="25"/>
      <c r="G105" s="25"/>
      <c r="H105" s="25"/>
      <c r="I105" s="25"/>
      <c r="J105" s="25"/>
      <c r="K105" s="25"/>
      <c r="L105" s="25"/>
    </row>
    <row r="106" spans="2:12" ht="16.5" x14ac:dyDescent="0.25">
      <c r="B106" s="27" t="s">
        <v>244</v>
      </c>
      <c r="C106" s="25"/>
      <c r="D106" s="25"/>
      <c r="E106" s="25"/>
      <c r="F106" s="25"/>
      <c r="G106" s="25"/>
      <c r="H106" s="25"/>
      <c r="I106" s="25"/>
      <c r="J106" s="25"/>
      <c r="K106" s="25"/>
      <c r="L106" s="25"/>
    </row>
    <row r="107" spans="2:12" x14ac:dyDescent="0.25">
      <c r="B107" s="25"/>
      <c r="C107" s="25"/>
      <c r="D107" s="25"/>
      <c r="E107" s="25"/>
      <c r="F107" s="25"/>
      <c r="G107" s="25"/>
      <c r="H107" s="25"/>
      <c r="I107" s="25"/>
      <c r="J107" s="25"/>
      <c r="K107" s="25"/>
      <c r="L107" s="25"/>
    </row>
    <row r="108" spans="2:12" ht="16.5" thickBot="1" x14ac:dyDescent="0.3">
      <c r="B108" s="144" t="s">
        <v>222</v>
      </c>
      <c r="C108" s="145"/>
      <c r="D108" s="145"/>
      <c r="E108" s="145"/>
      <c r="F108" s="145"/>
      <c r="G108" s="145"/>
      <c r="H108" s="145"/>
      <c r="I108" s="145"/>
      <c r="J108" s="145"/>
      <c r="K108" s="145"/>
      <c r="L108" s="25"/>
    </row>
    <row r="109" spans="2:12" ht="16.5" thickBot="1" x14ac:dyDescent="0.3">
      <c r="B109" s="146" t="s">
        <v>192</v>
      </c>
      <c r="C109" s="132"/>
      <c r="D109" s="150" t="s">
        <v>223</v>
      </c>
      <c r="E109" s="152" t="s">
        <v>224</v>
      </c>
      <c r="F109" s="152" t="s">
        <v>225</v>
      </c>
      <c r="G109" s="152" t="s">
        <v>226</v>
      </c>
      <c r="H109" s="154" t="s">
        <v>227</v>
      </c>
      <c r="I109" s="155"/>
      <c r="J109" s="152" t="s">
        <v>228</v>
      </c>
      <c r="K109" s="137" t="s">
        <v>229</v>
      </c>
      <c r="L109" s="25"/>
    </row>
    <row r="110" spans="2:12" ht="16.5" thickBot="1" x14ac:dyDescent="0.3">
      <c r="B110" s="143"/>
      <c r="C110" s="149"/>
      <c r="D110" s="151"/>
      <c r="E110" s="153"/>
      <c r="F110" s="153"/>
      <c r="G110" s="153"/>
      <c r="H110" s="40" t="s">
        <v>230</v>
      </c>
      <c r="I110" s="40" t="s">
        <v>231</v>
      </c>
      <c r="J110" s="153"/>
      <c r="K110" s="138"/>
      <c r="L110" s="25"/>
    </row>
    <row r="111" spans="2:12" x14ac:dyDescent="0.25">
      <c r="B111" s="139" t="s">
        <v>9</v>
      </c>
      <c r="C111" s="41" t="s">
        <v>232</v>
      </c>
      <c r="D111" s="42">
        <v>5</v>
      </c>
      <c r="E111" s="43">
        <v>119</v>
      </c>
      <c r="F111" s="44">
        <v>47.100955404322747</v>
      </c>
      <c r="G111" s="44">
        <v>21.064187617850351</v>
      </c>
      <c r="H111" s="43">
        <v>60.516439393451385</v>
      </c>
      <c r="I111" s="43">
        <v>177.48356060654862</v>
      </c>
      <c r="J111" s="45">
        <v>58</v>
      </c>
      <c r="K111" s="46">
        <v>164</v>
      </c>
      <c r="L111" s="25"/>
    </row>
    <row r="112" spans="2:12" x14ac:dyDescent="0.25">
      <c r="B112" s="136"/>
      <c r="C112" s="30" t="s">
        <v>215</v>
      </c>
      <c r="D112" s="47">
        <v>2</v>
      </c>
      <c r="E112" s="48">
        <v>71</v>
      </c>
      <c r="F112" s="49">
        <v>1.4142135623730951</v>
      </c>
      <c r="G112" s="49">
        <v>1</v>
      </c>
      <c r="H112" s="48">
        <v>58.293795263825274</v>
      </c>
      <c r="I112" s="48">
        <v>83.706204736174726</v>
      </c>
      <c r="J112" s="50">
        <v>70</v>
      </c>
      <c r="K112" s="51">
        <v>72</v>
      </c>
      <c r="L112" s="25"/>
    </row>
    <row r="113" spans="2:12" x14ac:dyDescent="0.25">
      <c r="B113" s="140"/>
      <c r="C113" s="52" t="s">
        <v>233</v>
      </c>
      <c r="D113" s="53">
        <v>7</v>
      </c>
      <c r="E113" s="54">
        <v>105.28571428571429</v>
      </c>
      <c r="F113" s="55">
        <v>45.032263566300571</v>
      </c>
      <c r="G113" s="55">
        <v>17.020595767249418</v>
      </c>
      <c r="H113" s="54">
        <v>63.63781678928553</v>
      </c>
      <c r="I113" s="54">
        <v>146.93361178214306</v>
      </c>
      <c r="J113" s="56">
        <v>58</v>
      </c>
      <c r="K113" s="57">
        <v>164</v>
      </c>
      <c r="L113" s="25"/>
    </row>
    <row r="114" spans="2:12" x14ac:dyDescent="0.25">
      <c r="B114" s="141" t="s">
        <v>10</v>
      </c>
      <c r="C114" s="58" t="s">
        <v>232</v>
      </c>
      <c r="D114" s="59">
        <v>5</v>
      </c>
      <c r="E114" s="60">
        <v>16</v>
      </c>
      <c r="F114" s="61">
        <v>10.222524150130436</v>
      </c>
      <c r="G114" s="61">
        <v>4.5716517802649843</v>
      </c>
      <c r="H114" s="60">
        <v>3.3070597920144973</v>
      </c>
      <c r="I114" s="60">
        <v>28.692940207985501</v>
      </c>
      <c r="J114" s="62">
        <v>3</v>
      </c>
      <c r="K114" s="63">
        <v>26</v>
      </c>
      <c r="L114" s="25"/>
    </row>
    <row r="115" spans="2:12" x14ac:dyDescent="0.25">
      <c r="B115" s="136"/>
      <c r="C115" s="30" t="s">
        <v>215</v>
      </c>
      <c r="D115" s="47">
        <v>2</v>
      </c>
      <c r="E115" s="48">
        <v>12.5</v>
      </c>
      <c r="F115" s="49">
        <v>0.70710678118654757</v>
      </c>
      <c r="G115" s="49">
        <v>0.5</v>
      </c>
      <c r="H115" s="48">
        <v>6.1468976319126387</v>
      </c>
      <c r="I115" s="48">
        <v>18.853102368087363</v>
      </c>
      <c r="J115" s="50">
        <v>12</v>
      </c>
      <c r="K115" s="51">
        <v>13</v>
      </c>
      <c r="L115" s="25"/>
    </row>
    <row r="116" spans="2:12" x14ac:dyDescent="0.25">
      <c r="B116" s="140"/>
      <c r="C116" s="52" t="s">
        <v>233</v>
      </c>
      <c r="D116" s="53">
        <v>7</v>
      </c>
      <c r="E116" s="54">
        <v>15</v>
      </c>
      <c r="F116" s="55">
        <v>8.5244745683629475</v>
      </c>
      <c r="G116" s="55">
        <v>3.2219485379118611</v>
      </c>
      <c r="H116" s="54">
        <v>7.1161759388045898</v>
      </c>
      <c r="I116" s="54">
        <v>22.883824061195412</v>
      </c>
      <c r="J116" s="56">
        <v>3</v>
      </c>
      <c r="K116" s="57">
        <v>26</v>
      </c>
      <c r="L116" s="25"/>
    </row>
    <row r="117" spans="2:12" ht="16.5" thickBot="1" x14ac:dyDescent="0.3">
      <c r="B117" s="142" t="s">
        <v>11</v>
      </c>
      <c r="C117" s="58" t="s">
        <v>232</v>
      </c>
      <c r="D117" s="59">
        <v>5</v>
      </c>
      <c r="E117" s="64">
        <v>135.69061895999999</v>
      </c>
      <c r="F117" s="65">
        <v>136.57559929886071</v>
      </c>
      <c r="G117" s="65">
        <v>61.078464820005031</v>
      </c>
      <c r="H117" s="64">
        <v>-33.890385722498706</v>
      </c>
      <c r="I117" s="64">
        <v>305.2716236424987</v>
      </c>
      <c r="J117" s="66">
        <v>1.3665928000000001</v>
      </c>
      <c r="K117" s="67">
        <v>288.47149999999999</v>
      </c>
      <c r="L117" s="25"/>
    </row>
    <row r="118" spans="2:12" x14ac:dyDescent="0.25">
      <c r="B118" s="136"/>
      <c r="C118" s="30" t="s">
        <v>215</v>
      </c>
      <c r="D118" s="47">
        <v>2</v>
      </c>
      <c r="E118" s="68">
        <v>29.122564000000001</v>
      </c>
      <c r="F118" s="69">
        <v>3.8653087096882701</v>
      </c>
      <c r="G118" s="69">
        <v>2.7331859999999999</v>
      </c>
      <c r="H118" s="68">
        <v>-5.6058568980464436</v>
      </c>
      <c r="I118" s="68">
        <v>63.850984898046448</v>
      </c>
      <c r="J118" s="70">
        <v>26.389378000000001</v>
      </c>
      <c r="K118" s="71">
        <v>31.85575</v>
      </c>
      <c r="L118" s="25"/>
    </row>
    <row r="119" spans="2:12" ht="16.5" thickBot="1" x14ac:dyDescent="0.3">
      <c r="B119" s="143"/>
      <c r="C119" s="33" t="s">
        <v>233</v>
      </c>
      <c r="D119" s="72">
        <v>7</v>
      </c>
      <c r="E119" s="73">
        <v>105.24260325714286</v>
      </c>
      <c r="F119" s="74">
        <v>123.05178243393995</v>
      </c>
      <c r="G119" s="74">
        <v>46.509202100490192</v>
      </c>
      <c r="H119" s="73">
        <v>-8.5613145498383432</v>
      </c>
      <c r="I119" s="73">
        <v>219.04652106412408</v>
      </c>
      <c r="J119" s="75">
        <v>1.3665928000000001</v>
      </c>
      <c r="K119" s="76">
        <v>288.47149999999999</v>
      </c>
      <c r="L119" s="25"/>
    </row>
    <row r="120" spans="2:12" x14ac:dyDescent="0.25">
      <c r="B120" s="25"/>
      <c r="C120" s="25"/>
      <c r="D120" s="25"/>
      <c r="E120" s="25"/>
      <c r="F120" s="25"/>
      <c r="G120" s="25"/>
      <c r="H120" s="25"/>
      <c r="I120" s="25"/>
      <c r="J120" s="25"/>
      <c r="K120" s="25"/>
      <c r="L120" s="25"/>
    </row>
    <row r="121" spans="2:12" x14ac:dyDescent="0.25">
      <c r="B121" s="25"/>
      <c r="C121" s="25"/>
      <c r="D121" s="25"/>
      <c r="E121" s="25"/>
      <c r="F121" s="25"/>
      <c r="G121" s="25"/>
      <c r="H121" s="25"/>
      <c r="I121" s="25"/>
      <c r="J121" s="25"/>
      <c r="K121" s="25"/>
      <c r="L121" s="25"/>
    </row>
    <row r="122" spans="2:12" ht="16.5" thickBot="1" x14ac:dyDescent="0.3">
      <c r="B122" s="144" t="s">
        <v>234</v>
      </c>
      <c r="C122" s="145"/>
      <c r="D122" s="145"/>
      <c r="E122" s="145"/>
      <c r="F122" s="145"/>
      <c r="G122" s="145"/>
      <c r="H122" s="145"/>
      <c r="I122" s="25"/>
      <c r="J122" s="25"/>
      <c r="K122" s="25"/>
      <c r="L122" s="25"/>
    </row>
    <row r="123" spans="2:12" ht="16.5" thickBot="1" x14ac:dyDescent="0.3">
      <c r="B123" s="146" t="s">
        <v>192</v>
      </c>
      <c r="C123" s="147"/>
      <c r="D123" s="77" t="s">
        <v>235</v>
      </c>
      <c r="E123" s="78" t="s">
        <v>236</v>
      </c>
      <c r="F123" s="78" t="s">
        <v>237</v>
      </c>
      <c r="G123" s="78" t="s">
        <v>238</v>
      </c>
      <c r="H123" s="79" t="s">
        <v>239</v>
      </c>
      <c r="I123" s="25"/>
      <c r="J123" s="25"/>
      <c r="K123" s="25"/>
      <c r="L123" s="25"/>
    </row>
    <row r="124" spans="2:12" ht="24" x14ac:dyDescent="0.25">
      <c r="B124" s="139" t="s">
        <v>9</v>
      </c>
      <c r="C124" s="41" t="s">
        <v>240</v>
      </c>
      <c r="D124" s="80">
        <v>3291.4285714285711</v>
      </c>
      <c r="E124" s="81">
        <v>1</v>
      </c>
      <c r="F124" s="43">
        <v>3291.4285714285711</v>
      </c>
      <c r="G124" s="43">
        <v>1.8541170411382215</v>
      </c>
      <c r="H124" s="82">
        <v>0.23144841955464476</v>
      </c>
      <c r="I124" s="25"/>
      <c r="J124" s="25"/>
      <c r="K124" s="25"/>
      <c r="L124" s="25"/>
    </row>
    <row r="125" spans="2:12" ht="24" x14ac:dyDescent="0.25">
      <c r="B125" s="136"/>
      <c r="C125" s="30" t="s">
        <v>241</v>
      </c>
      <c r="D125" s="83">
        <v>8876</v>
      </c>
      <c r="E125" s="84">
        <v>5</v>
      </c>
      <c r="F125" s="48">
        <v>1775.2</v>
      </c>
      <c r="G125" s="85"/>
      <c r="H125" s="86"/>
      <c r="I125" s="25"/>
      <c r="J125" s="25"/>
      <c r="K125" s="25"/>
      <c r="L125" s="25"/>
    </row>
    <row r="126" spans="2:12" x14ac:dyDescent="0.25">
      <c r="B126" s="140"/>
      <c r="C126" s="52" t="s">
        <v>233</v>
      </c>
      <c r="D126" s="87">
        <v>12167.428571428571</v>
      </c>
      <c r="E126" s="88">
        <v>6</v>
      </c>
      <c r="F126" s="89"/>
      <c r="G126" s="89"/>
      <c r="H126" s="90"/>
      <c r="I126" s="25"/>
      <c r="J126" s="25"/>
      <c r="K126" s="25"/>
      <c r="L126" s="25"/>
    </row>
    <row r="127" spans="2:12" ht="24" x14ac:dyDescent="0.25">
      <c r="B127" s="141" t="s">
        <v>10</v>
      </c>
      <c r="C127" s="58" t="s">
        <v>240</v>
      </c>
      <c r="D127" s="91">
        <v>17.5</v>
      </c>
      <c r="E127" s="92">
        <v>1</v>
      </c>
      <c r="F127" s="60">
        <v>17.5</v>
      </c>
      <c r="G127" s="60">
        <v>0.20908004778972519</v>
      </c>
      <c r="H127" s="93">
        <v>0.6666702919932741</v>
      </c>
      <c r="I127" s="25"/>
      <c r="J127" s="25"/>
      <c r="K127" s="25"/>
      <c r="L127" s="25"/>
    </row>
    <row r="128" spans="2:12" ht="24" x14ac:dyDescent="0.25">
      <c r="B128" s="136"/>
      <c r="C128" s="30" t="s">
        <v>241</v>
      </c>
      <c r="D128" s="83">
        <v>418.5</v>
      </c>
      <c r="E128" s="84">
        <v>5</v>
      </c>
      <c r="F128" s="48">
        <v>83.7</v>
      </c>
      <c r="G128" s="85"/>
      <c r="H128" s="86"/>
      <c r="I128" s="25"/>
      <c r="J128" s="25"/>
      <c r="K128" s="25"/>
      <c r="L128" s="25"/>
    </row>
    <row r="129" spans="2:12" x14ac:dyDescent="0.25">
      <c r="B129" s="140"/>
      <c r="C129" s="52" t="s">
        <v>233</v>
      </c>
      <c r="D129" s="87">
        <v>436</v>
      </c>
      <c r="E129" s="88">
        <v>6</v>
      </c>
      <c r="F129" s="89"/>
      <c r="G129" s="89"/>
      <c r="H129" s="90"/>
      <c r="I129" s="25"/>
      <c r="J129" s="25"/>
      <c r="K129" s="25"/>
      <c r="L129" s="25"/>
    </row>
    <row r="130" spans="2:12" ht="24.75" thickBot="1" x14ac:dyDescent="0.3">
      <c r="B130" s="142" t="s">
        <v>11</v>
      </c>
      <c r="C130" s="58" t="s">
        <v>240</v>
      </c>
      <c r="D130" s="91">
        <v>16223.929054225115</v>
      </c>
      <c r="E130" s="92">
        <v>1</v>
      </c>
      <c r="F130" s="60">
        <v>16223.929054225115</v>
      </c>
      <c r="G130" s="60">
        <v>1.0870083121450516</v>
      </c>
      <c r="H130" s="93">
        <v>0.34489872448623482</v>
      </c>
      <c r="I130" s="25"/>
      <c r="J130" s="25"/>
      <c r="K130" s="25"/>
      <c r="L130" s="25"/>
    </row>
    <row r="131" spans="2:12" ht="24" x14ac:dyDescent="0.25">
      <c r="B131" s="136"/>
      <c r="C131" s="30" t="s">
        <v>241</v>
      </c>
      <c r="D131" s="83">
        <v>74626.517906793044</v>
      </c>
      <c r="E131" s="84">
        <v>5</v>
      </c>
      <c r="F131" s="48">
        <v>14925.303581358608</v>
      </c>
      <c r="G131" s="85"/>
      <c r="H131" s="86"/>
      <c r="I131" s="25"/>
      <c r="J131" s="25"/>
      <c r="K131" s="25"/>
      <c r="L131" s="25"/>
    </row>
    <row r="132" spans="2:12" ht="16.5" thickBot="1" x14ac:dyDescent="0.3">
      <c r="B132" s="143"/>
      <c r="C132" s="33" t="s">
        <v>233</v>
      </c>
      <c r="D132" s="94">
        <v>90850.446961018155</v>
      </c>
      <c r="E132" s="95">
        <v>6</v>
      </c>
      <c r="F132" s="96"/>
      <c r="G132" s="96"/>
      <c r="H132" s="97"/>
      <c r="I132" s="25"/>
      <c r="J132" s="25"/>
      <c r="K132" s="25"/>
      <c r="L132" s="25"/>
    </row>
    <row r="133" spans="2:12" x14ac:dyDescent="0.25">
      <c r="B133" s="25"/>
      <c r="C133" s="25"/>
      <c r="D133" s="25"/>
      <c r="E133" s="25"/>
      <c r="F133" s="25"/>
      <c r="G133" s="25"/>
      <c r="H133" s="25"/>
      <c r="I133" s="25"/>
      <c r="J133" s="25"/>
      <c r="K133" s="25"/>
      <c r="L133" s="25"/>
    </row>
    <row r="134" spans="2:12" x14ac:dyDescent="0.25">
      <c r="B134" s="25"/>
      <c r="C134" s="25"/>
      <c r="D134" s="25"/>
      <c r="E134" s="25"/>
      <c r="F134" s="25"/>
      <c r="G134" s="25"/>
      <c r="H134" s="25"/>
      <c r="I134" s="25"/>
      <c r="J134" s="25"/>
      <c r="K134" s="25"/>
      <c r="L134" s="25"/>
    </row>
    <row r="135" spans="2:12" x14ac:dyDescent="0.25">
      <c r="B135" s="25"/>
      <c r="C135" s="25"/>
      <c r="D135" s="25"/>
      <c r="E135" s="25"/>
      <c r="F135" s="25"/>
      <c r="G135" s="25"/>
      <c r="H135" s="25"/>
      <c r="I135" s="25"/>
      <c r="J135" s="25"/>
      <c r="K135" s="25"/>
      <c r="L135" s="25"/>
    </row>
    <row r="136" spans="2:12" ht="16.5" x14ac:dyDescent="0.25">
      <c r="B136" s="27" t="s">
        <v>245</v>
      </c>
      <c r="C136" s="25"/>
      <c r="D136" s="25"/>
      <c r="E136" s="25"/>
      <c r="F136" s="25"/>
      <c r="G136" s="25"/>
      <c r="H136" s="25"/>
      <c r="I136" s="25"/>
      <c r="J136" s="25"/>
      <c r="K136" s="25"/>
      <c r="L136" s="25"/>
    </row>
    <row r="137" spans="2:12" x14ac:dyDescent="0.25">
      <c r="B137" s="25"/>
      <c r="C137" s="25"/>
      <c r="D137" s="25"/>
      <c r="E137" s="25"/>
      <c r="F137" s="25"/>
      <c r="G137" s="25"/>
      <c r="H137" s="25"/>
      <c r="I137" s="25"/>
      <c r="J137" s="25"/>
      <c r="K137" s="25"/>
      <c r="L137" s="25"/>
    </row>
    <row r="138" spans="2:12" ht="16.5" thickBot="1" x14ac:dyDescent="0.3">
      <c r="B138" s="144" t="s">
        <v>222</v>
      </c>
      <c r="C138" s="145"/>
      <c r="D138" s="145"/>
      <c r="E138" s="145"/>
      <c r="F138" s="145"/>
      <c r="G138" s="145"/>
      <c r="H138" s="145"/>
      <c r="I138" s="145"/>
      <c r="J138" s="145"/>
      <c r="K138" s="145"/>
      <c r="L138" s="25"/>
    </row>
    <row r="139" spans="2:12" ht="16.5" thickBot="1" x14ac:dyDescent="0.3">
      <c r="B139" s="146" t="s">
        <v>192</v>
      </c>
      <c r="C139" s="132"/>
      <c r="D139" s="150" t="s">
        <v>223</v>
      </c>
      <c r="E139" s="152" t="s">
        <v>224</v>
      </c>
      <c r="F139" s="152" t="s">
        <v>225</v>
      </c>
      <c r="G139" s="152" t="s">
        <v>226</v>
      </c>
      <c r="H139" s="154" t="s">
        <v>227</v>
      </c>
      <c r="I139" s="155"/>
      <c r="J139" s="152" t="s">
        <v>228</v>
      </c>
      <c r="K139" s="137" t="s">
        <v>229</v>
      </c>
      <c r="L139" s="25"/>
    </row>
    <row r="140" spans="2:12" ht="16.5" thickBot="1" x14ac:dyDescent="0.3">
      <c r="B140" s="143"/>
      <c r="C140" s="149"/>
      <c r="D140" s="151"/>
      <c r="E140" s="153"/>
      <c r="F140" s="153"/>
      <c r="G140" s="153"/>
      <c r="H140" s="40" t="s">
        <v>230</v>
      </c>
      <c r="I140" s="40" t="s">
        <v>231</v>
      </c>
      <c r="J140" s="153"/>
      <c r="K140" s="138"/>
      <c r="L140" s="25"/>
    </row>
    <row r="141" spans="2:12" x14ac:dyDescent="0.25">
      <c r="B141" s="139" t="s">
        <v>9</v>
      </c>
      <c r="C141" s="41" t="s">
        <v>232</v>
      </c>
      <c r="D141" s="42">
        <v>265</v>
      </c>
      <c r="E141" s="43">
        <v>86.588679245283018</v>
      </c>
      <c r="F141" s="44">
        <v>34.999062002459851</v>
      </c>
      <c r="G141" s="44">
        <v>2.1499752881879775</v>
      </c>
      <c r="H141" s="43">
        <v>82.355398334208175</v>
      </c>
      <c r="I141" s="43">
        <v>90.821960156357861</v>
      </c>
      <c r="J141" s="45">
        <v>16</v>
      </c>
      <c r="K141" s="46">
        <v>195</v>
      </c>
      <c r="L141" s="25"/>
    </row>
    <row r="142" spans="2:12" x14ac:dyDescent="0.25">
      <c r="B142" s="136"/>
      <c r="C142" s="30" t="s">
        <v>215</v>
      </c>
      <c r="D142" s="47">
        <v>71</v>
      </c>
      <c r="E142" s="48">
        <v>59.2112676056338</v>
      </c>
      <c r="F142" s="49">
        <v>26.796676495926956</v>
      </c>
      <c r="G142" s="49">
        <v>3.1801804165920449</v>
      </c>
      <c r="H142" s="48">
        <v>52.868597760655931</v>
      </c>
      <c r="I142" s="48">
        <v>65.55393745061167</v>
      </c>
      <c r="J142" s="50">
        <v>23</v>
      </c>
      <c r="K142" s="51">
        <v>163</v>
      </c>
      <c r="L142" s="25"/>
    </row>
    <row r="143" spans="2:12" x14ac:dyDescent="0.25">
      <c r="B143" s="140"/>
      <c r="C143" s="52" t="s">
        <v>233</v>
      </c>
      <c r="D143" s="53">
        <v>336</v>
      </c>
      <c r="E143" s="54">
        <v>80.803571428571431</v>
      </c>
      <c r="F143" s="55">
        <v>35.222874000831681</v>
      </c>
      <c r="G143" s="55">
        <v>1.9215653131274195</v>
      </c>
      <c r="H143" s="54">
        <v>77.023716776572726</v>
      </c>
      <c r="I143" s="54">
        <v>84.583426080570135</v>
      </c>
      <c r="J143" s="56">
        <v>16</v>
      </c>
      <c r="K143" s="57">
        <v>195</v>
      </c>
      <c r="L143" s="25"/>
    </row>
    <row r="144" spans="2:12" x14ac:dyDescent="0.25">
      <c r="B144" s="141" t="s">
        <v>10</v>
      </c>
      <c r="C144" s="58" t="s">
        <v>232</v>
      </c>
      <c r="D144" s="59">
        <v>265</v>
      </c>
      <c r="E144" s="60">
        <v>11.013207547169811</v>
      </c>
      <c r="F144" s="61">
        <v>5.1759583264273399</v>
      </c>
      <c r="G144" s="61">
        <v>0.31795659248603453</v>
      </c>
      <c r="H144" s="60">
        <v>10.387154038128806</v>
      </c>
      <c r="I144" s="60">
        <v>11.639261056210817</v>
      </c>
      <c r="J144" s="62">
        <v>2</v>
      </c>
      <c r="K144" s="63">
        <v>31</v>
      </c>
      <c r="L144" s="25"/>
    </row>
    <row r="145" spans="2:12" x14ac:dyDescent="0.25">
      <c r="B145" s="136"/>
      <c r="C145" s="30" t="s">
        <v>215</v>
      </c>
      <c r="D145" s="47">
        <v>71</v>
      </c>
      <c r="E145" s="48">
        <v>9.4366197183098599</v>
      </c>
      <c r="F145" s="49">
        <v>4.2660868465012936</v>
      </c>
      <c r="G145" s="49">
        <v>0.50629136216897919</v>
      </c>
      <c r="H145" s="48">
        <v>8.4268534362310614</v>
      </c>
      <c r="I145" s="48">
        <v>10.446386000388658</v>
      </c>
      <c r="J145" s="50">
        <v>2</v>
      </c>
      <c r="K145" s="51">
        <v>28</v>
      </c>
      <c r="L145" s="25"/>
    </row>
    <row r="146" spans="2:12" x14ac:dyDescent="0.25">
      <c r="B146" s="140"/>
      <c r="C146" s="52" t="s">
        <v>233</v>
      </c>
      <c r="D146" s="53">
        <v>336</v>
      </c>
      <c r="E146" s="54">
        <v>10.680059523809524</v>
      </c>
      <c r="F146" s="55">
        <v>5.0329826766353962</v>
      </c>
      <c r="G146" s="55">
        <v>0.27457171532241853</v>
      </c>
      <c r="H146" s="54">
        <v>10.139957572354342</v>
      </c>
      <c r="I146" s="54">
        <v>11.220161475264705</v>
      </c>
      <c r="J146" s="56">
        <v>2</v>
      </c>
      <c r="K146" s="57">
        <v>31</v>
      </c>
      <c r="L146" s="25"/>
    </row>
    <row r="147" spans="2:12" ht="16.5" thickBot="1" x14ac:dyDescent="0.3">
      <c r="B147" s="142" t="s">
        <v>11</v>
      </c>
      <c r="C147" s="58" t="s">
        <v>232</v>
      </c>
      <c r="D147" s="59">
        <v>265</v>
      </c>
      <c r="E147" s="64">
        <v>43.21905066822638</v>
      </c>
      <c r="F147" s="65">
        <v>60.011416866580532</v>
      </c>
      <c r="G147" s="65">
        <v>3.6864720335427039</v>
      </c>
      <c r="H147" s="64">
        <v>35.960422266985368</v>
      </c>
      <c r="I147" s="64">
        <v>50.477679069467392</v>
      </c>
      <c r="J147" s="66">
        <v>0.43982296999999998</v>
      </c>
      <c r="K147" s="67">
        <v>480.53539999999998</v>
      </c>
      <c r="L147" s="25"/>
    </row>
    <row r="148" spans="2:12" x14ac:dyDescent="0.25">
      <c r="B148" s="136"/>
      <c r="C148" s="30" t="s">
        <v>215</v>
      </c>
      <c r="D148" s="47">
        <v>71</v>
      </c>
      <c r="E148" s="68">
        <v>21.508949143661962</v>
      </c>
      <c r="F148" s="69">
        <v>36.20719442686854</v>
      </c>
      <c r="G148" s="69">
        <v>4.297003424046629</v>
      </c>
      <c r="H148" s="68">
        <v>12.938846045337201</v>
      </c>
      <c r="I148" s="68">
        <v>30.079052241986723</v>
      </c>
      <c r="J148" s="70">
        <v>0.60737459999999999</v>
      </c>
      <c r="K148" s="71">
        <v>213.46074999999999</v>
      </c>
      <c r="L148" s="25"/>
    </row>
    <row r="149" spans="2:12" ht="16.5" thickBot="1" x14ac:dyDescent="0.3">
      <c r="B149" s="143"/>
      <c r="C149" s="33" t="s">
        <v>233</v>
      </c>
      <c r="D149" s="72">
        <v>336</v>
      </c>
      <c r="E149" s="73">
        <v>38.631499453214261</v>
      </c>
      <c r="F149" s="74">
        <v>56.487271830588384</v>
      </c>
      <c r="G149" s="74">
        <v>3.0816333210145004</v>
      </c>
      <c r="H149" s="73">
        <v>32.569709117691858</v>
      </c>
      <c r="I149" s="73">
        <v>44.693289788736664</v>
      </c>
      <c r="J149" s="75">
        <v>0.43982296999999998</v>
      </c>
      <c r="K149" s="76">
        <v>480.53539999999998</v>
      </c>
      <c r="L149" s="25"/>
    </row>
    <row r="150" spans="2:12" x14ac:dyDescent="0.25">
      <c r="B150" s="25"/>
      <c r="C150" s="25"/>
      <c r="D150" s="25"/>
      <c r="E150" s="25"/>
      <c r="F150" s="25"/>
      <c r="G150" s="25"/>
      <c r="H150" s="25"/>
      <c r="I150" s="25"/>
      <c r="J150" s="25"/>
      <c r="K150" s="25"/>
      <c r="L150" s="25"/>
    </row>
    <row r="151" spans="2:12" x14ac:dyDescent="0.25">
      <c r="B151" s="25"/>
      <c r="C151" s="25"/>
      <c r="D151" s="25"/>
      <c r="E151" s="25"/>
      <c r="F151" s="25"/>
      <c r="G151" s="25"/>
      <c r="H151" s="25"/>
      <c r="I151" s="25"/>
      <c r="J151" s="25"/>
      <c r="K151" s="25"/>
      <c r="L151" s="25"/>
    </row>
    <row r="152" spans="2:12" ht="16.5" thickBot="1" x14ac:dyDescent="0.3">
      <c r="B152" s="144" t="s">
        <v>234</v>
      </c>
      <c r="C152" s="145"/>
      <c r="D152" s="145"/>
      <c r="E152" s="145"/>
      <c r="F152" s="145"/>
      <c r="G152" s="145"/>
      <c r="H152" s="145"/>
      <c r="I152" s="25"/>
      <c r="J152" s="25"/>
      <c r="K152" s="25"/>
      <c r="L152" s="25"/>
    </row>
    <row r="153" spans="2:12" ht="16.5" thickBot="1" x14ac:dyDescent="0.3">
      <c r="B153" s="146" t="s">
        <v>192</v>
      </c>
      <c r="C153" s="147"/>
      <c r="D153" s="77" t="s">
        <v>235</v>
      </c>
      <c r="E153" s="78" t="s">
        <v>236</v>
      </c>
      <c r="F153" s="78" t="s">
        <v>237</v>
      </c>
      <c r="G153" s="78" t="s">
        <v>238</v>
      </c>
      <c r="H153" s="79" t="s">
        <v>239</v>
      </c>
      <c r="I153" s="25"/>
      <c r="J153" s="25"/>
      <c r="K153" s="25"/>
      <c r="L153" s="25"/>
    </row>
    <row r="154" spans="2:12" ht="24" x14ac:dyDescent="0.25">
      <c r="B154" s="139" t="s">
        <v>9</v>
      </c>
      <c r="C154" s="41" t="s">
        <v>240</v>
      </c>
      <c r="D154" s="80">
        <v>41971.038690634377</v>
      </c>
      <c r="E154" s="81">
        <v>1</v>
      </c>
      <c r="F154" s="43">
        <v>41971.038690634377</v>
      </c>
      <c r="G154" s="43">
        <v>37.517568813177284</v>
      </c>
      <c r="H154" s="82">
        <v>2.5461773412416371E-9</v>
      </c>
      <c r="I154" s="25"/>
      <c r="J154" s="25"/>
      <c r="K154" s="25"/>
      <c r="L154" s="25"/>
    </row>
    <row r="155" spans="2:12" ht="24" x14ac:dyDescent="0.25">
      <c r="B155" s="136"/>
      <c r="C155" s="30" t="s">
        <v>241</v>
      </c>
      <c r="D155" s="83">
        <v>373646.9970236512</v>
      </c>
      <c r="E155" s="84">
        <v>334</v>
      </c>
      <c r="F155" s="48">
        <v>1118.7035839031473</v>
      </c>
      <c r="G155" s="85"/>
      <c r="H155" s="86"/>
      <c r="I155" s="25"/>
      <c r="J155" s="25"/>
      <c r="K155" s="25"/>
      <c r="L155" s="25"/>
    </row>
    <row r="156" spans="2:12" x14ac:dyDescent="0.25">
      <c r="B156" s="140"/>
      <c r="C156" s="52" t="s">
        <v>233</v>
      </c>
      <c r="D156" s="87">
        <v>415618.03571428556</v>
      </c>
      <c r="E156" s="88">
        <v>335</v>
      </c>
      <c r="F156" s="89"/>
      <c r="G156" s="89"/>
      <c r="H156" s="90"/>
      <c r="I156" s="25"/>
      <c r="J156" s="25"/>
      <c r="K156" s="25"/>
      <c r="L156" s="25"/>
    </row>
    <row r="157" spans="2:12" ht="24" x14ac:dyDescent="0.25">
      <c r="B157" s="141" t="s">
        <v>10</v>
      </c>
      <c r="C157" s="58" t="s">
        <v>240</v>
      </c>
      <c r="D157" s="91">
        <v>139.18783649222362</v>
      </c>
      <c r="E157" s="92">
        <v>1</v>
      </c>
      <c r="F157" s="60">
        <v>139.18783649222362</v>
      </c>
      <c r="G157" s="60">
        <v>5.569735642587438</v>
      </c>
      <c r="H157" s="93">
        <v>1.884810355654807E-2</v>
      </c>
      <c r="I157" s="25"/>
      <c r="J157" s="25"/>
      <c r="K157" s="25"/>
      <c r="L157" s="25"/>
    </row>
    <row r="158" spans="2:12" ht="24" x14ac:dyDescent="0.25">
      <c r="B158" s="136"/>
      <c r="C158" s="30" t="s">
        <v>241</v>
      </c>
      <c r="D158" s="83">
        <v>8346.6685623172962</v>
      </c>
      <c r="E158" s="84">
        <v>334</v>
      </c>
      <c r="F158" s="48">
        <v>24.990025635680528</v>
      </c>
      <c r="G158" s="85"/>
      <c r="H158" s="86"/>
      <c r="I158" s="25"/>
      <c r="J158" s="25"/>
      <c r="K158" s="25"/>
      <c r="L158" s="25"/>
    </row>
    <row r="159" spans="2:12" x14ac:dyDescent="0.25">
      <c r="B159" s="140"/>
      <c r="C159" s="52" t="s">
        <v>233</v>
      </c>
      <c r="D159" s="87">
        <v>8485.8563988095193</v>
      </c>
      <c r="E159" s="88">
        <v>335</v>
      </c>
      <c r="F159" s="89"/>
      <c r="G159" s="89"/>
      <c r="H159" s="90"/>
      <c r="I159" s="25"/>
      <c r="J159" s="25"/>
      <c r="K159" s="25"/>
      <c r="L159" s="25"/>
    </row>
    <row r="160" spans="2:12" ht="24.75" thickBot="1" x14ac:dyDescent="0.3">
      <c r="B160" s="142" t="s">
        <v>11</v>
      </c>
      <c r="C160" s="58" t="s">
        <v>240</v>
      </c>
      <c r="D160" s="91">
        <v>26392.993696168796</v>
      </c>
      <c r="E160" s="92">
        <v>1</v>
      </c>
      <c r="F160" s="60">
        <v>26392.993696168796</v>
      </c>
      <c r="G160" s="60">
        <v>8.4556496895940931</v>
      </c>
      <c r="H160" s="93">
        <v>3.8825929472584729E-3</v>
      </c>
      <c r="I160" s="25"/>
      <c r="J160" s="25"/>
      <c r="K160" s="25"/>
      <c r="L160" s="25"/>
    </row>
    <row r="161" spans="2:12" ht="24" x14ac:dyDescent="0.25">
      <c r="B161" s="136"/>
      <c r="C161" s="30" t="s">
        <v>241</v>
      </c>
      <c r="D161" s="83">
        <v>1042528.9857228638</v>
      </c>
      <c r="E161" s="84">
        <v>334</v>
      </c>
      <c r="F161" s="48">
        <v>3121.3442686313288</v>
      </c>
      <c r="G161" s="85"/>
      <c r="H161" s="86"/>
      <c r="I161" s="25"/>
      <c r="J161" s="25"/>
      <c r="K161" s="25"/>
      <c r="L161" s="25"/>
    </row>
    <row r="162" spans="2:12" ht="16.5" thickBot="1" x14ac:dyDescent="0.3">
      <c r="B162" s="143"/>
      <c r="C162" s="33" t="s">
        <v>233</v>
      </c>
      <c r="D162" s="94">
        <v>1068921.9794190326</v>
      </c>
      <c r="E162" s="95">
        <v>335</v>
      </c>
      <c r="F162" s="96"/>
      <c r="G162" s="96"/>
      <c r="H162" s="97"/>
      <c r="I162" s="25"/>
      <c r="J162" s="25"/>
      <c r="K162" s="25"/>
      <c r="L162" s="25"/>
    </row>
    <row r="163" spans="2:12" x14ac:dyDescent="0.25">
      <c r="B163" s="25"/>
      <c r="C163" s="25"/>
      <c r="D163" s="25"/>
      <c r="E163" s="25"/>
      <c r="F163" s="25"/>
      <c r="G163" s="25"/>
      <c r="H163" s="25"/>
      <c r="I163" s="25"/>
      <c r="J163" s="25"/>
      <c r="K163" s="25"/>
      <c r="L163" s="25"/>
    </row>
    <row r="164" spans="2:12" x14ac:dyDescent="0.25">
      <c r="B164" s="25"/>
      <c r="C164" s="25"/>
      <c r="D164" s="25"/>
      <c r="E164" s="25"/>
      <c r="F164" s="25"/>
      <c r="G164" s="25"/>
      <c r="H164" s="25"/>
      <c r="I164" s="25"/>
      <c r="J164" s="25"/>
      <c r="K164" s="25"/>
      <c r="L164" s="25"/>
    </row>
    <row r="165" spans="2:12" x14ac:dyDescent="0.25">
      <c r="B165" s="25"/>
      <c r="C165" s="25"/>
      <c r="D165" s="25"/>
      <c r="E165" s="25"/>
      <c r="F165" s="25"/>
      <c r="G165" s="25"/>
      <c r="H165" s="25"/>
      <c r="I165" s="25"/>
      <c r="J165" s="25"/>
      <c r="K165" s="25"/>
      <c r="L165" s="25"/>
    </row>
    <row r="166" spans="2:12" ht="16.5" x14ac:dyDescent="0.25">
      <c r="B166" s="27" t="s">
        <v>246</v>
      </c>
      <c r="C166" s="25"/>
      <c r="D166" s="25"/>
      <c r="E166" s="25"/>
      <c r="F166" s="25"/>
      <c r="G166" s="25"/>
      <c r="H166" s="25"/>
      <c r="I166" s="25"/>
      <c r="J166" s="25"/>
      <c r="K166" s="25"/>
      <c r="L166" s="25"/>
    </row>
    <row r="167" spans="2:12" x14ac:dyDescent="0.25">
      <c r="B167" s="25"/>
      <c r="C167" s="25"/>
      <c r="D167" s="25"/>
      <c r="E167" s="25"/>
      <c r="F167" s="25"/>
      <c r="G167" s="25"/>
      <c r="H167" s="25"/>
      <c r="I167" s="25"/>
      <c r="J167" s="25"/>
      <c r="K167" s="25"/>
      <c r="L167" s="25"/>
    </row>
    <row r="168" spans="2:12" ht="24.75" thickBot="1" x14ac:dyDescent="0.3">
      <c r="B168" s="99" t="s">
        <v>222</v>
      </c>
      <c r="C168" s="25"/>
      <c r="D168" s="25"/>
      <c r="E168" s="25"/>
      <c r="F168" s="25"/>
      <c r="G168" s="25"/>
      <c r="H168" s="25"/>
      <c r="I168" s="25"/>
      <c r="J168" s="25"/>
      <c r="K168" s="25"/>
      <c r="L168" s="25"/>
    </row>
    <row r="169" spans="2:12" ht="16.5" thickBot="1" x14ac:dyDescent="0.3">
      <c r="B169" s="100"/>
      <c r="C169" s="25"/>
      <c r="D169" s="25"/>
      <c r="E169" s="25"/>
      <c r="F169" s="25"/>
      <c r="G169" s="25"/>
      <c r="H169" s="25"/>
      <c r="I169" s="25"/>
      <c r="J169" s="25"/>
      <c r="K169" s="25"/>
      <c r="L169" s="25"/>
    </row>
    <row r="170" spans="2:12" x14ac:dyDescent="0.25">
      <c r="B170" s="25"/>
      <c r="C170" s="25"/>
      <c r="D170" s="25"/>
      <c r="E170" s="25"/>
      <c r="F170" s="25"/>
      <c r="G170" s="25"/>
      <c r="H170" s="25"/>
      <c r="I170" s="25"/>
      <c r="J170" s="25"/>
      <c r="K170" s="25"/>
      <c r="L170" s="25"/>
    </row>
    <row r="171" spans="2:12" x14ac:dyDescent="0.25">
      <c r="B171" s="25"/>
      <c r="C171" s="25"/>
      <c r="D171" s="25"/>
      <c r="E171" s="25"/>
      <c r="F171" s="25"/>
      <c r="G171" s="25"/>
      <c r="H171" s="25"/>
      <c r="I171" s="25"/>
      <c r="J171" s="25"/>
      <c r="K171" s="25"/>
      <c r="L171" s="25"/>
    </row>
    <row r="172" spans="2:12" x14ac:dyDescent="0.25">
      <c r="B172" s="25"/>
      <c r="C172" s="25"/>
      <c r="D172" s="25"/>
      <c r="E172" s="25"/>
      <c r="F172" s="25"/>
      <c r="G172" s="25"/>
      <c r="H172" s="25"/>
      <c r="I172" s="25"/>
      <c r="J172" s="25"/>
      <c r="K172" s="25"/>
      <c r="L172" s="25"/>
    </row>
    <row r="173" spans="2:12" x14ac:dyDescent="0.25">
      <c r="B173" s="26" t="s">
        <v>247</v>
      </c>
      <c r="C173" s="25"/>
      <c r="D173" s="25"/>
      <c r="E173" s="25"/>
      <c r="F173" s="25"/>
      <c r="G173" s="25"/>
      <c r="H173" s="25"/>
      <c r="I173" s="25"/>
      <c r="J173" s="25"/>
      <c r="K173" s="25"/>
      <c r="L173" s="25"/>
    </row>
    <row r="174" spans="2:12" x14ac:dyDescent="0.25">
      <c r="B174" s="25"/>
      <c r="C174" s="25"/>
      <c r="D174" s="25"/>
      <c r="E174" s="25"/>
      <c r="F174" s="25"/>
      <c r="G174" s="25"/>
      <c r="H174" s="25"/>
      <c r="I174" s="25"/>
      <c r="J174" s="25"/>
      <c r="K174" s="25"/>
      <c r="L174" s="25"/>
    </row>
    <row r="175" spans="2:12" x14ac:dyDescent="0.25">
      <c r="B175" s="26" t="s">
        <v>248</v>
      </c>
      <c r="C175" s="25"/>
      <c r="D175" s="25"/>
      <c r="E175" s="25"/>
      <c r="F175" s="25"/>
      <c r="G175" s="25"/>
      <c r="H175" s="25"/>
      <c r="I175" s="25"/>
      <c r="J175" s="25"/>
      <c r="K175" s="25"/>
      <c r="L175" s="25"/>
    </row>
    <row r="176" spans="2:12" x14ac:dyDescent="0.25">
      <c r="B176" s="26" t="s">
        <v>249</v>
      </c>
      <c r="C176" s="25"/>
      <c r="D176" s="25"/>
      <c r="E176" s="25"/>
      <c r="F176" s="25"/>
      <c r="G176" s="25"/>
      <c r="H176" s="25"/>
      <c r="I176" s="25"/>
      <c r="J176" s="25"/>
      <c r="K176" s="25"/>
      <c r="L176" s="25"/>
    </row>
    <row r="177" spans="2:12" x14ac:dyDescent="0.25">
      <c r="B177" s="26" t="s">
        <v>250</v>
      </c>
      <c r="C177" s="25"/>
      <c r="D177" s="25"/>
      <c r="E177" s="25"/>
      <c r="F177" s="25"/>
      <c r="G177" s="25"/>
      <c r="H177" s="25"/>
      <c r="I177" s="25"/>
      <c r="J177" s="25"/>
      <c r="K177" s="25"/>
      <c r="L177" s="25"/>
    </row>
    <row r="178" spans="2:12" x14ac:dyDescent="0.25">
      <c r="B178" s="26" t="s">
        <v>251</v>
      </c>
      <c r="C178" s="25"/>
      <c r="D178" s="25"/>
      <c r="E178" s="25"/>
      <c r="F178" s="25"/>
      <c r="G178" s="25"/>
      <c r="H178" s="25"/>
      <c r="I178" s="25"/>
      <c r="J178" s="25"/>
      <c r="K178" s="25"/>
      <c r="L178" s="25"/>
    </row>
    <row r="179" spans="2:12" x14ac:dyDescent="0.25">
      <c r="B179" s="26" t="s">
        <v>252</v>
      </c>
      <c r="C179" s="25"/>
      <c r="D179" s="25"/>
      <c r="E179" s="25"/>
      <c r="F179" s="25"/>
      <c r="G179" s="25"/>
      <c r="H179" s="25"/>
      <c r="I179" s="25"/>
      <c r="J179" s="25"/>
      <c r="K179" s="25"/>
      <c r="L179" s="25"/>
    </row>
    <row r="180" spans="2:12" x14ac:dyDescent="0.25">
      <c r="B180" s="26" t="s">
        <v>253</v>
      </c>
      <c r="C180" s="25"/>
      <c r="D180" s="25"/>
      <c r="E180" s="25"/>
      <c r="F180" s="25"/>
      <c r="G180" s="25"/>
      <c r="H180" s="25"/>
      <c r="I180" s="25"/>
      <c r="J180" s="25"/>
      <c r="K180" s="25"/>
      <c r="L180" s="25"/>
    </row>
    <row r="181" spans="2:12" x14ac:dyDescent="0.25">
      <c r="B181" s="26" t="s">
        <v>254</v>
      </c>
      <c r="C181" s="25"/>
      <c r="D181" s="25"/>
      <c r="E181" s="25"/>
      <c r="F181" s="25"/>
      <c r="G181" s="25"/>
      <c r="H181" s="25"/>
      <c r="I181" s="25"/>
      <c r="J181" s="25"/>
      <c r="K181" s="25"/>
      <c r="L181" s="25"/>
    </row>
    <row r="182" spans="2:12" x14ac:dyDescent="0.25">
      <c r="B182" s="26" t="s">
        <v>255</v>
      </c>
      <c r="C182" s="25"/>
      <c r="D182" s="25"/>
      <c r="E182" s="25"/>
      <c r="F182" s="25"/>
      <c r="G182" s="25"/>
      <c r="H182" s="25"/>
      <c r="I182" s="25"/>
      <c r="J182" s="25"/>
      <c r="K182" s="25"/>
      <c r="L182" s="25"/>
    </row>
    <row r="183" spans="2:12" x14ac:dyDescent="0.25">
      <c r="B183" s="26" t="s">
        <v>256</v>
      </c>
      <c r="C183" s="25"/>
      <c r="D183" s="25"/>
      <c r="E183" s="25"/>
      <c r="F183" s="25"/>
      <c r="G183" s="25"/>
      <c r="H183" s="25"/>
      <c r="I183" s="25"/>
      <c r="J183" s="25"/>
      <c r="K183" s="25"/>
      <c r="L183" s="25"/>
    </row>
    <row r="184" spans="2:12" x14ac:dyDescent="0.25">
      <c r="B184" s="26" t="s">
        <v>257</v>
      </c>
      <c r="C184" s="25"/>
      <c r="D184" s="25"/>
      <c r="E184" s="25"/>
      <c r="F184" s="25"/>
      <c r="G184" s="25"/>
      <c r="H184" s="25"/>
      <c r="I184" s="25"/>
      <c r="J184" s="25"/>
      <c r="K184" s="25"/>
      <c r="L184" s="25"/>
    </row>
    <row r="185" spans="2:12" x14ac:dyDescent="0.25">
      <c r="B185" s="26" t="s">
        <v>258</v>
      </c>
      <c r="C185" s="25"/>
      <c r="D185" s="25"/>
      <c r="E185" s="25"/>
      <c r="F185" s="25"/>
      <c r="G185" s="25"/>
      <c r="H185" s="25"/>
      <c r="I185" s="25"/>
      <c r="J185" s="25"/>
      <c r="K185" s="25"/>
      <c r="L185" s="25"/>
    </row>
    <row r="186" spans="2:12" x14ac:dyDescent="0.25">
      <c r="B186" s="26" t="s">
        <v>259</v>
      </c>
      <c r="C186" s="25"/>
      <c r="D186" s="25"/>
      <c r="E186" s="25"/>
      <c r="F186" s="25"/>
      <c r="G186" s="25"/>
      <c r="H186" s="25"/>
      <c r="I186" s="25"/>
      <c r="J186" s="25"/>
      <c r="K186" s="25"/>
      <c r="L186" s="25"/>
    </row>
    <row r="187" spans="2:12" x14ac:dyDescent="0.25">
      <c r="B187" s="26" t="s">
        <v>260</v>
      </c>
      <c r="C187" s="25"/>
      <c r="D187" s="25"/>
      <c r="E187" s="25"/>
      <c r="F187" s="25"/>
      <c r="G187" s="25"/>
      <c r="H187" s="25"/>
      <c r="I187" s="25"/>
      <c r="J187" s="25"/>
      <c r="K187" s="25"/>
      <c r="L187" s="25"/>
    </row>
    <row r="188" spans="2:12" x14ac:dyDescent="0.25">
      <c r="B188" s="26" t="s">
        <v>261</v>
      </c>
      <c r="C188" s="25"/>
      <c r="D188" s="25"/>
      <c r="E188" s="25"/>
      <c r="F188" s="25"/>
      <c r="G188" s="25"/>
      <c r="H188" s="25"/>
      <c r="I188" s="25"/>
      <c r="J188" s="25"/>
      <c r="K188" s="25"/>
      <c r="L188" s="25"/>
    </row>
    <row r="189" spans="2:12" x14ac:dyDescent="0.25">
      <c r="B189" s="26" t="s">
        <v>262</v>
      </c>
      <c r="C189" s="25"/>
      <c r="D189" s="25"/>
      <c r="E189" s="25"/>
      <c r="F189" s="25"/>
      <c r="G189" s="25"/>
      <c r="H189" s="25"/>
      <c r="I189" s="25"/>
      <c r="J189" s="25"/>
      <c r="K189" s="25"/>
      <c r="L189" s="25"/>
    </row>
    <row r="190" spans="2:12" x14ac:dyDescent="0.25">
      <c r="B190" s="26" t="s">
        <v>263</v>
      </c>
      <c r="C190" s="25"/>
      <c r="D190" s="25"/>
      <c r="E190" s="25"/>
      <c r="F190" s="25"/>
      <c r="G190" s="25"/>
      <c r="H190" s="25"/>
      <c r="I190" s="25"/>
      <c r="J190" s="25"/>
      <c r="K190" s="25"/>
      <c r="L190" s="25"/>
    </row>
    <row r="191" spans="2:12" x14ac:dyDescent="0.25">
      <c r="B191" s="26" t="s">
        <v>264</v>
      </c>
      <c r="C191" s="25"/>
      <c r="D191" s="25"/>
      <c r="E191" s="25"/>
      <c r="F191" s="25"/>
      <c r="G191" s="25"/>
      <c r="H191" s="25"/>
      <c r="I191" s="25"/>
      <c r="J191" s="25"/>
      <c r="K191" s="25"/>
      <c r="L191" s="25"/>
    </row>
    <row r="192" spans="2:12" x14ac:dyDescent="0.25">
      <c r="B192" s="25"/>
      <c r="C192" s="25"/>
      <c r="D192" s="25"/>
      <c r="E192" s="25"/>
      <c r="F192" s="25"/>
      <c r="G192" s="25"/>
      <c r="H192" s="25"/>
      <c r="I192" s="25"/>
      <c r="J192" s="25"/>
      <c r="K192" s="25"/>
      <c r="L192" s="25"/>
    </row>
    <row r="193" spans="2:12" x14ac:dyDescent="0.25">
      <c r="B193" s="25"/>
      <c r="C193" s="25"/>
      <c r="D193" s="25"/>
      <c r="E193" s="25"/>
      <c r="F193" s="25"/>
      <c r="G193" s="25"/>
      <c r="H193" s="25"/>
      <c r="I193" s="25"/>
      <c r="J193" s="25"/>
      <c r="K193" s="25"/>
      <c r="L193" s="25"/>
    </row>
    <row r="194" spans="2:12" x14ac:dyDescent="0.25">
      <c r="B194" s="26" t="s">
        <v>265</v>
      </c>
      <c r="C194" s="25"/>
      <c r="D194" s="25"/>
      <c r="E194" s="25"/>
      <c r="F194" s="25"/>
      <c r="G194" s="25"/>
      <c r="H194" s="25"/>
      <c r="I194" s="25"/>
      <c r="J194" s="25"/>
      <c r="K194" s="25"/>
      <c r="L194" s="25"/>
    </row>
    <row r="195" spans="2:12" x14ac:dyDescent="0.25">
      <c r="B195" s="26" t="s">
        <v>266</v>
      </c>
      <c r="C195" s="25"/>
      <c r="D195" s="25"/>
      <c r="E195" s="25"/>
      <c r="F195" s="25"/>
      <c r="G195" s="25"/>
      <c r="H195" s="25"/>
      <c r="I195" s="25"/>
      <c r="J195" s="25"/>
      <c r="K195" s="25"/>
      <c r="L195" s="25"/>
    </row>
    <row r="196" spans="2:12" x14ac:dyDescent="0.25">
      <c r="B196" s="26" t="s">
        <v>260</v>
      </c>
      <c r="C196" s="25"/>
      <c r="D196" s="25"/>
      <c r="E196" s="25"/>
      <c r="F196" s="25"/>
      <c r="G196" s="25"/>
      <c r="H196" s="25"/>
      <c r="I196" s="25"/>
      <c r="J196" s="25"/>
      <c r="K196" s="25"/>
      <c r="L196" s="25"/>
    </row>
    <row r="197" spans="2:12" x14ac:dyDescent="0.25">
      <c r="B197" s="26" t="s">
        <v>261</v>
      </c>
      <c r="C197" s="25"/>
      <c r="D197" s="25"/>
      <c r="E197" s="25"/>
      <c r="F197" s="25"/>
      <c r="G197" s="25"/>
      <c r="H197" s="25"/>
      <c r="I197" s="25"/>
      <c r="J197" s="25"/>
      <c r="K197" s="25"/>
      <c r="L197" s="25"/>
    </row>
    <row r="198" spans="2:12" x14ac:dyDescent="0.25">
      <c r="B198" s="26" t="s">
        <v>262</v>
      </c>
      <c r="C198" s="25"/>
      <c r="D198" s="25"/>
      <c r="E198" s="25"/>
      <c r="F198" s="25"/>
      <c r="G198" s="25"/>
      <c r="H198" s="25"/>
      <c r="I198" s="25"/>
      <c r="J198" s="25"/>
      <c r="K198" s="25"/>
      <c r="L198" s="25"/>
    </row>
    <row r="199" spans="2:12" x14ac:dyDescent="0.25">
      <c r="B199" s="26" t="s">
        <v>263</v>
      </c>
      <c r="C199" s="25"/>
      <c r="D199" s="25"/>
      <c r="E199" s="25"/>
      <c r="F199" s="25"/>
      <c r="G199" s="25"/>
      <c r="H199" s="25"/>
      <c r="I199" s="25"/>
      <c r="J199" s="25"/>
      <c r="K199" s="25"/>
      <c r="L199" s="25"/>
    </row>
    <row r="200" spans="2:12" x14ac:dyDescent="0.25">
      <c r="B200" s="26" t="s">
        <v>267</v>
      </c>
      <c r="C200" s="25"/>
      <c r="D200" s="25"/>
      <c r="E200" s="25"/>
      <c r="F200" s="25"/>
      <c r="G200" s="25"/>
      <c r="H200" s="25"/>
      <c r="I200" s="25"/>
      <c r="J200" s="25"/>
      <c r="K200" s="25"/>
      <c r="L200" s="25"/>
    </row>
    <row r="201" spans="2:12" x14ac:dyDescent="0.25">
      <c r="B201" s="25"/>
      <c r="C201" s="25"/>
      <c r="D201" s="25"/>
      <c r="E201" s="25"/>
      <c r="F201" s="25"/>
      <c r="G201" s="25"/>
      <c r="H201" s="25"/>
      <c r="I201" s="25"/>
      <c r="J201" s="25"/>
      <c r="K201" s="25"/>
      <c r="L201" s="25"/>
    </row>
    <row r="202" spans="2:12" x14ac:dyDescent="0.25">
      <c r="B202" s="25"/>
      <c r="C202" s="25"/>
      <c r="D202" s="25"/>
      <c r="E202" s="25"/>
      <c r="F202" s="25"/>
      <c r="G202" s="25"/>
      <c r="H202" s="25"/>
      <c r="I202" s="25"/>
      <c r="J202" s="25"/>
      <c r="K202" s="25"/>
      <c r="L202" s="25"/>
    </row>
    <row r="203" spans="2:12" ht="16.5" x14ac:dyDescent="0.25">
      <c r="B203" s="27" t="s">
        <v>268</v>
      </c>
      <c r="C203" s="25"/>
      <c r="D203" s="25"/>
      <c r="E203" s="25"/>
      <c r="F203" s="25"/>
      <c r="G203" s="25"/>
      <c r="H203" s="25"/>
      <c r="I203" s="25"/>
      <c r="J203" s="25"/>
      <c r="K203" s="25"/>
      <c r="L203" s="25"/>
    </row>
    <row r="204" spans="2:12" x14ac:dyDescent="0.25">
      <c r="B204" s="25"/>
      <c r="C204" s="25"/>
      <c r="D204" s="25"/>
      <c r="E204" s="25"/>
      <c r="F204" s="25"/>
      <c r="G204" s="25"/>
      <c r="H204" s="25"/>
      <c r="I204" s="25"/>
      <c r="J204" s="25"/>
      <c r="K204" s="25"/>
      <c r="L204" s="25"/>
    </row>
    <row r="205" spans="2:12" ht="16.5" thickBot="1" x14ac:dyDescent="0.3">
      <c r="B205" s="129" t="s">
        <v>15</v>
      </c>
      <c r="C205" s="130"/>
      <c r="D205" s="130"/>
      <c r="E205" s="25"/>
      <c r="F205" s="25"/>
      <c r="G205" s="25"/>
      <c r="H205" s="25"/>
      <c r="I205" s="25"/>
      <c r="J205" s="25"/>
      <c r="K205" s="25"/>
      <c r="L205" s="25"/>
    </row>
    <row r="206" spans="2:12" x14ac:dyDescent="0.25">
      <c r="B206" s="131" t="s">
        <v>189</v>
      </c>
      <c r="C206" s="132"/>
      <c r="D206" s="28" t="s">
        <v>269</v>
      </c>
      <c r="E206" s="25"/>
      <c r="F206" s="25"/>
      <c r="G206" s="25"/>
      <c r="H206" s="25"/>
      <c r="I206" s="25"/>
      <c r="J206" s="25"/>
      <c r="K206" s="25"/>
      <c r="L206" s="25"/>
    </row>
    <row r="207" spans="2:12" x14ac:dyDescent="0.25">
      <c r="B207" s="133" t="s">
        <v>191</v>
      </c>
      <c r="C207" s="134"/>
      <c r="D207" s="29" t="s">
        <v>192</v>
      </c>
      <c r="E207" s="25"/>
      <c r="F207" s="25"/>
      <c r="G207" s="25"/>
      <c r="H207" s="25"/>
      <c r="I207" s="25"/>
      <c r="J207" s="25"/>
      <c r="K207" s="25"/>
      <c r="L207" s="25"/>
    </row>
    <row r="208" spans="2:12" ht="96" x14ac:dyDescent="0.25">
      <c r="B208" s="135" t="s">
        <v>193</v>
      </c>
      <c r="C208" s="30" t="s">
        <v>270</v>
      </c>
      <c r="D208" s="29" t="s">
        <v>271</v>
      </c>
      <c r="E208" s="25"/>
      <c r="F208" s="25"/>
      <c r="G208" s="25"/>
      <c r="H208" s="25"/>
      <c r="I208" s="25"/>
      <c r="J208" s="25"/>
      <c r="K208" s="25"/>
      <c r="L208" s="25"/>
    </row>
    <row r="209" spans="2:12" ht="24" x14ac:dyDescent="0.25">
      <c r="B209" s="136"/>
      <c r="C209" s="30" t="s">
        <v>194</v>
      </c>
      <c r="D209" s="29" t="s">
        <v>195</v>
      </c>
      <c r="E209" s="25"/>
      <c r="F209" s="25"/>
      <c r="G209" s="25"/>
      <c r="H209" s="25"/>
      <c r="I209" s="25"/>
      <c r="J209" s="25"/>
      <c r="K209" s="25"/>
      <c r="L209" s="25"/>
    </row>
    <row r="210" spans="2:12" ht="24" x14ac:dyDescent="0.25">
      <c r="B210" s="136"/>
      <c r="C210" s="30" t="s">
        <v>196</v>
      </c>
      <c r="D210" s="29" t="s">
        <v>272</v>
      </c>
      <c r="E210" s="25"/>
      <c r="F210" s="25"/>
      <c r="G210" s="25"/>
      <c r="H210" s="25"/>
      <c r="I210" s="25"/>
      <c r="J210" s="25"/>
      <c r="K210" s="25"/>
      <c r="L210" s="25"/>
    </row>
    <row r="211" spans="2:12" x14ac:dyDescent="0.25">
      <c r="B211" s="136"/>
      <c r="C211" s="30" t="s">
        <v>198</v>
      </c>
      <c r="D211" s="29" t="s">
        <v>197</v>
      </c>
      <c r="E211" s="25"/>
      <c r="F211" s="25"/>
      <c r="G211" s="25"/>
      <c r="H211" s="25"/>
      <c r="I211" s="25"/>
      <c r="J211" s="25"/>
      <c r="K211" s="25"/>
      <c r="L211" s="25"/>
    </row>
    <row r="212" spans="2:12" x14ac:dyDescent="0.25">
      <c r="B212" s="136"/>
      <c r="C212" s="30" t="s">
        <v>199</v>
      </c>
      <c r="D212" s="29" t="s">
        <v>197</v>
      </c>
      <c r="E212" s="25"/>
      <c r="F212" s="25"/>
      <c r="G212" s="25"/>
      <c r="H212" s="25"/>
      <c r="I212" s="25"/>
      <c r="J212" s="25"/>
      <c r="K212" s="25"/>
      <c r="L212" s="25"/>
    </row>
    <row r="213" spans="2:12" ht="36" x14ac:dyDescent="0.25">
      <c r="B213" s="136"/>
      <c r="C213" s="30" t="s">
        <v>200</v>
      </c>
      <c r="D213" s="31">
        <v>336</v>
      </c>
      <c r="E213" s="25"/>
      <c r="F213" s="25"/>
      <c r="G213" s="25"/>
      <c r="H213" s="25"/>
      <c r="I213" s="25"/>
      <c r="J213" s="25"/>
      <c r="K213" s="25"/>
      <c r="L213" s="25"/>
    </row>
    <row r="214" spans="2:12" ht="36" x14ac:dyDescent="0.25">
      <c r="B214" s="135" t="s">
        <v>201</v>
      </c>
      <c r="C214" s="30" t="s">
        <v>202</v>
      </c>
      <c r="D214" s="29" t="s">
        <v>203</v>
      </c>
      <c r="E214" s="25"/>
      <c r="F214" s="25"/>
      <c r="G214" s="25"/>
      <c r="H214" s="25"/>
      <c r="I214" s="25"/>
      <c r="J214" s="25"/>
      <c r="K214" s="25"/>
      <c r="L214" s="25"/>
    </row>
    <row r="215" spans="2:12" ht="48" x14ac:dyDescent="0.25">
      <c r="B215" s="136"/>
      <c r="C215" s="30" t="s">
        <v>204</v>
      </c>
      <c r="D215" s="29" t="s">
        <v>273</v>
      </c>
      <c r="E215" s="25"/>
      <c r="F215" s="25"/>
      <c r="G215" s="25"/>
      <c r="H215" s="25"/>
      <c r="I215" s="25"/>
      <c r="J215" s="25"/>
      <c r="K215" s="25"/>
      <c r="L215" s="25"/>
    </row>
    <row r="216" spans="2:12" ht="324" x14ac:dyDescent="0.25">
      <c r="B216" s="133" t="s">
        <v>206</v>
      </c>
      <c r="C216" s="134"/>
      <c r="D216" s="29" t="s">
        <v>274</v>
      </c>
      <c r="E216" s="25"/>
      <c r="F216" s="25"/>
      <c r="G216" s="25"/>
      <c r="H216" s="25"/>
      <c r="I216" s="25"/>
      <c r="J216" s="25"/>
      <c r="K216" s="25"/>
      <c r="L216" s="25"/>
    </row>
    <row r="217" spans="2:12" ht="24.75" thickBot="1" x14ac:dyDescent="0.3">
      <c r="B217" s="148" t="s">
        <v>208</v>
      </c>
      <c r="C217" s="30" t="s">
        <v>209</v>
      </c>
      <c r="D217" s="32" t="s">
        <v>275</v>
      </c>
      <c r="E217" s="25"/>
      <c r="F217" s="25"/>
      <c r="G217" s="25"/>
      <c r="H217" s="25"/>
      <c r="I217" s="25"/>
      <c r="J217" s="25"/>
      <c r="K217" s="25"/>
      <c r="L217" s="25"/>
    </row>
    <row r="218" spans="2:12" ht="24.75" thickBot="1" x14ac:dyDescent="0.3">
      <c r="B218" s="143"/>
      <c r="C218" s="33" t="s">
        <v>211</v>
      </c>
      <c r="D218" s="34" t="s">
        <v>276</v>
      </c>
      <c r="E218" s="25"/>
      <c r="F218" s="25"/>
      <c r="G218" s="25"/>
      <c r="H218" s="25"/>
      <c r="I218" s="25"/>
      <c r="J218" s="25"/>
      <c r="K218" s="25"/>
      <c r="L218" s="25"/>
    </row>
    <row r="219" spans="2:12" x14ac:dyDescent="0.25">
      <c r="B219" s="25"/>
      <c r="C219" s="25"/>
      <c r="D219" s="25"/>
      <c r="E219" s="25"/>
      <c r="F219" s="25"/>
      <c r="G219" s="25"/>
      <c r="H219" s="25"/>
      <c r="I219" s="25"/>
      <c r="J219" s="25"/>
      <c r="K219" s="25"/>
      <c r="L219" s="25"/>
    </row>
    <row r="220" spans="2:12" x14ac:dyDescent="0.25">
      <c r="B220" s="25"/>
      <c r="C220" s="25"/>
      <c r="D220" s="25"/>
      <c r="E220" s="25"/>
      <c r="F220" s="25"/>
      <c r="G220" s="25"/>
      <c r="H220" s="25"/>
      <c r="I220" s="25"/>
      <c r="J220" s="25"/>
      <c r="K220" s="25"/>
      <c r="L220" s="25"/>
    </row>
    <row r="221" spans="2:12" x14ac:dyDescent="0.25">
      <c r="B221" s="26" t="s">
        <v>277</v>
      </c>
      <c r="C221" s="25"/>
      <c r="D221" s="25"/>
      <c r="E221" s="25"/>
      <c r="F221" s="25"/>
      <c r="G221" s="25"/>
      <c r="H221" s="25"/>
      <c r="I221" s="25"/>
      <c r="J221" s="25"/>
      <c r="K221" s="25"/>
      <c r="L221" s="25"/>
    </row>
    <row r="222" spans="2:12" x14ac:dyDescent="0.25">
      <c r="B222" s="25"/>
      <c r="C222" s="25"/>
      <c r="D222" s="25"/>
      <c r="E222" s="25"/>
      <c r="F222" s="25"/>
      <c r="G222" s="25"/>
      <c r="H222" s="25"/>
      <c r="I222" s="25"/>
      <c r="J222" s="25"/>
      <c r="K222" s="25"/>
      <c r="L222" s="25"/>
    </row>
    <row r="223" spans="2:12" ht="16.5" thickBot="1" x14ac:dyDescent="0.3">
      <c r="B223" s="144" t="s">
        <v>278</v>
      </c>
      <c r="C223" s="145"/>
      <c r="D223" s="145"/>
      <c r="E223" s="25"/>
      <c r="F223" s="25"/>
      <c r="G223" s="25"/>
      <c r="H223" s="25"/>
      <c r="I223" s="25"/>
      <c r="J223" s="25"/>
      <c r="K223" s="25"/>
      <c r="L223" s="25"/>
    </row>
    <row r="224" spans="2:12" ht="16.5" thickBot="1" x14ac:dyDescent="0.3">
      <c r="B224" s="146" t="s">
        <v>192</v>
      </c>
      <c r="C224" s="147"/>
      <c r="D224" s="101" t="s">
        <v>223</v>
      </c>
      <c r="E224" s="25"/>
      <c r="F224" s="25"/>
      <c r="G224" s="25"/>
      <c r="H224" s="25"/>
      <c r="I224" s="25"/>
      <c r="J224" s="25"/>
      <c r="K224" s="25"/>
      <c r="L224" s="25"/>
    </row>
    <row r="225" spans="2:12" x14ac:dyDescent="0.25">
      <c r="B225" s="159" t="s">
        <v>0</v>
      </c>
      <c r="C225" s="41" t="s">
        <v>232</v>
      </c>
      <c r="D225" s="102">
        <v>140</v>
      </c>
      <c r="E225" s="25"/>
      <c r="F225" s="25"/>
      <c r="G225" s="25"/>
      <c r="H225" s="25"/>
      <c r="I225" s="25"/>
      <c r="J225" s="25"/>
      <c r="K225" s="25"/>
      <c r="L225" s="25"/>
    </row>
    <row r="226" spans="2:12" x14ac:dyDescent="0.25">
      <c r="B226" s="136"/>
      <c r="C226" s="30" t="s">
        <v>215</v>
      </c>
      <c r="D226" s="31">
        <v>196</v>
      </c>
      <c r="E226" s="25"/>
      <c r="F226" s="25"/>
      <c r="G226" s="25"/>
      <c r="H226" s="25"/>
      <c r="I226" s="25"/>
      <c r="J226" s="25"/>
      <c r="K226" s="25"/>
      <c r="L226" s="25"/>
    </row>
    <row r="227" spans="2:12" x14ac:dyDescent="0.25">
      <c r="B227" s="135" t="s">
        <v>1</v>
      </c>
      <c r="C227" s="30" t="s">
        <v>232</v>
      </c>
      <c r="D227" s="31">
        <v>130</v>
      </c>
      <c r="E227" s="25"/>
      <c r="F227" s="25"/>
      <c r="G227" s="25"/>
      <c r="H227" s="25"/>
      <c r="I227" s="25"/>
      <c r="J227" s="25"/>
      <c r="K227" s="25"/>
      <c r="L227" s="25"/>
    </row>
    <row r="228" spans="2:12" x14ac:dyDescent="0.25">
      <c r="B228" s="136"/>
      <c r="C228" s="30" t="s">
        <v>215</v>
      </c>
      <c r="D228" s="31">
        <v>206</v>
      </c>
      <c r="E228" s="25"/>
      <c r="F228" s="25"/>
      <c r="G228" s="25"/>
      <c r="H228" s="25"/>
      <c r="I228" s="25"/>
      <c r="J228" s="25"/>
      <c r="K228" s="25"/>
      <c r="L228" s="25"/>
    </row>
    <row r="229" spans="2:12" ht="16.5" thickBot="1" x14ac:dyDescent="0.3">
      <c r="B229" s="148" t="s">
        <v>32</v>
      </c>
      <c r="C229" s="30" t="s">
        <v>50</v>
      </c>
      <c r="D229" s="31">
        <v>77</v>
      </c>
      <c r="E229" s="25"/>
      <c r="F229" s="25"/>
      <c r="G229" s="25"/>
      <c r="H229" s="25"/>
      <c r="I229" s="25"/>
      <c r="J229" s="25"/>
      <c r="K229" s="25"/>
      <c r="L229" s="25"/>
    </row>
    <row r="230" spans="2:12" x14ac:dyDescent="0.25">
      <c r="B230" s="136"/>
      <c r="C230" s="30" t="s">
        <v>16</v>
      </c>
      <c r="D230" s="31">
        <v>116</v>
      </c>
      <c r="E230" s="25"/>
      <c r="F230" s="25"/>
      <c r="G230" s="25"/>
      <c r="H230" s="25"/>
      <c r="I230" s="25"/>
      <c r="J230" s="25"/>
      <c r="K230" s="25"/>
      <c r="L230" s="25"/>
    </row>
    <row r="231" spans="2:12" x14ac:dyDescent="0.25">
      <c r="B231" s="136"/>
      <c r="C231" s="30" t="s">
        <v>126</v>
      </c>
      <c r="D231" s="31">
        <v>47</v>
      </c>
      <c r="E231" s="25"/>
      <c r="F231" s="25"/>
      <c r="G231" s="25"/>
      <c r="H231" s="25"/>
      <c r="I231" s="25"/>
      <c r="J231" s="25"/>
      <c r="K231" s="25"/>
      <c r="L231" s="25"/>
    </row>
    <row r="232" spans="2:12" ht="16.5" thickBot="1" x14ac:dyDescent="0.3">
      <c r="B232" s="143"/>
      <c r="C232" s="33" t="s">
        <v>130</v>
      </c>
      <c r="D232" s="103">
        <v>96</v>
      </c>
      <c r="E232" s="25"/>
      <c r="F232" s="25"/>
      <c r="G232" s="25"/>
      <c r="H232" s="25"/>
      <c r="I232" s="25"/>
      <c r="J232" s="25"/>
      <c r="K232" s="25"/>
      <c r="L232" s="25"/>
    </row>
    <row r="233" spans="2:12" x14ac:dyDescent="0.25">
      <c r="B233" s="25"/>
      <c r="C233" s="25"/>
      <c r="D233" s="25"/>
      <c r="E233" s="25"/>
      <c r="F233" s="25"/>
      <c r="G233" s="25"/>
      <c r="H233" s="25"/>
      <c r="I233" s="25"/>
      <c r="J233" s="25"/>
      <c r="K233" s="25"/>
      <c r="L233" s="25"/>
    </row>
    <row r="234" spans="2:12" x14ac:dyDescent="0.25">
      <c r="B234" s="144" t="s">
        <v>279</v>
      </c>
      <c r="C234" s="145"/>
      <c r="D234" s="145"/>
      <c r="E234" s="145"/>
      <c r="F234" s="145"/>
      <c r="G234" s="145"/>
      <c r="H234" s="25"/>
      <c r="I234" s="25"/>
      <c r="J234" s="25"/>
      <c r="K234" s="25"/>
      <c r="L234" s="25"/>
    </row>
    <row r="235" spans="2:12" ht="16.5" thickBot="1" x14ac:dyDescent="0.3">
      <c r="B235" s="160" t="s">
        <v>280</v>
      </c>
      <c r="C235" s="145"/>
      <c r="D235" s="145"/>
      <c r="E235" s="145"/>
      <c r="F235" s="145"/>
      <c r="G235" s="145"/>
      <c r="H235" s="25"/>
      <c r="I235" s="25"/>
      <c r="J235" s="25"/>
      <c r="K235" s="25"/>
      <c r="L235" s="25"/>
    </row>
    <row r="236" spans="2:12" ht="16.5" thickBot="1" x14ac:dyDescent="0.3">
      <c r="B236" s="104" t="s">
        <v>0</v>
      </c>
      <c r="C236" s="105" t="s">
        <v>1</v>
      </c>
      <c r="D236" s="106" t="s">
        <v>32</v>
      </c>
      <c r="E236" s="77" t="s">
        <v>224</v>
      </c>
      <c r="F236" s="78" t="s">
        <v>225</v>
      </c>
      <c r="G236" s="79" t="s">
        <v>223</v>
      </c>
      <c r="H236" s="25"/>
      <c r="I236" s="25"/>
      <c r="J236" s="25"/>
      <c r="K236" s="25"/>
      <c r="L236" s="25"/>
    </row>
    <row r="237" spans="2:12" x14ac:dyDescent="0.25">
      <c r="B237" s="139" t="s">
        <v>232</v>
      </c>
      <c r="C237" s="156" t="s">
        <v>232</v>
      </c>
      <c r="D237" s="41" t="s">
        <v>50</v>
      </c>
      <c r="E237" s="80">
        <v>57.187500000000007</v>
      </c>
      <c r="F237" s="44">
        <v>15.883363938410527</v>
      </c>
      <c r="G237" s="107">
        <v>8</v>
      </c>
      <c r="H237" s="25"/>
      <c r="I237" s="25"/>
      <c r="J237" s="25"/>
      <c r="K237" s="25"/>
      <c r="L237" s="25"/>
    </row>
    <row r="238" spans="2:12" x14ac:dyDescent="0.25">
      <c r="B238" s="136"/>
      <c r="C238" s="145"/>
      <c r="D238" s="30" t="s">
        <v>16</v>
      </c>
      <c r="E238" s="83">
        <v>55.277777777777771</v>
      </c>
      <c r="F238" s="49">
        <v>12.851209856322548</v>
      </c>
      <c r="G238" s="108">
        <v>18</v>
      </c>
      <c r="H238" s="25"/>
      <c r="I238" s="25"/>
      <c r="J238" s="25"/>
      <c r="K238" s="25"/>
      <c r="L238" s="25"/>
    </row>
    <row r="239" spans="2:12" x14ac:dyDescent="0.25">
      <c r="B239" s="136"/>
      <c r="C239" s="145"/>
      <c r="D239" s="30" t="s">
        <v>126</v>
      </c>
      <c r="E239" s="83">
        <v>56.642857142857146</v>
      </c>
      <c r="F239" s="49">
        <v>14.008075901999902</v>
      </c>
      <c r="G239" s="108">
        <v>7</v>
      </c>
      <c r="H239" s="25"/>
      <c r="I239" s="25"/>
      <c r="J239" s="25"/>
      <c r="K239" s="25"/>
      <c r="L239" s="25"/>
    </row>
    <row r="240" spans="2:12" x14ac:dyDescent="0.25">
      <c r="B240" s="136"/>
      <c r="C240" s="145"/>
      <c r="D240" s="30" t="s">
        <v>130</v>
      </c>
      <c r="E240" s="83">
        <v>65.608695652173907</v>
      </c>
      <c r="F240" s="49">
        <v>17.994289827697063</v>
      </c>
      <c r="G240" s="108">
        <v>23</v>
      </c>
      <c r="H240" s="25"/>
      <c r="I240" s="25"/>
      <c r="J240" s="25"/>
      <c r="K240" s="25"/>
      <c r="L240" s="25"/>
    </row>
    <row r="241" spans="2:12" x14ac:dyDescent="0.25">
      <c r="B241" s="136"/>
      <c r="C241" s="157"/>
      <c r="D241" s="52" t="s">
        <v>233</v>
      </c>
      <c r="E241" s="87">
        <v>59.964285714285722</v>
      </c>
      <c r="F241" s="55">
        <v>16.0348646117416</v>
      </c>
      <c r="G241" s="109">
        <v>56</v>
      </c>
      <c r="H241" s="25"/>
      <c r="I241" s="25"/>
      <c r="J241" s="25"/>
      <c r="K241" s="25"/>
      <c r="L241" s="25"/>
    </row>
    <row r="242" spans="2:12" x14ac:dyDescent="0.25">
      <c r="B242" s="136"/>
      <c r="C242" s="158" t="s">
        <v>215</v>
      </c>
      <c r="D242" s="58" t="s">
        <v>50</v>
      </c>
      <c r="E242" s="91">
        <v>75.099999999999994</v>
      </c>
      <c r="F242" s="61">
        <v>19.750949344272037</v>
      </c>
      <c r="G242" s="110">
        <v>10</v>
      </c>
      <c r="H242" s="25"/>
      <c r="I242" s="25"/>
      <c r="J242" s="25"/>
      <c r="K242" s="25"/>
      <c r="L242" s="25"/>
    </row>
    <row r="243" spans="2:12" x14ac:dyDescent="0.25">
      <c r="B243" s="136"/>
      <c r="C243" s="145"/>
      <c r="D243" s="30" t="s">
        <v>16</v>
      </c>
      <c r="E243" s="83">
        <v>103.07317073170729</v>
      </c>
      <c r="F243" s="49">
        <v>27.530111009495069</v>
      </c>
      <c r="G243" s="108">
        <v>41</v>
      </c>
      <c r="H243" s="25"/>
      <c r="I243" s="25"/>
      <c r="J243" s="25"/>
      <c r="K243" s="25"/>
      <c r="L243" s="25"/>
    </row>
    <row r="244" spans="2:12" x14ac:dyDescent="0.25">
      <c r="B244" s="136"/>
      <c r="C244" s="145"/>
      <c r="D244" s="30" t="s">
        <v>126</v>
      </c>
      <c r="E244" s="83">
        <v>85.833333333333329</v>
      </c>
      <c r="F244" s="49">
        <v>24.108969788077303</v>
      </c>
      <c r="G244" s="108">
        <v>12</v>
      </c>
      <c r="H244" s="25"/>
      <c r="I244" s="25"/>
      <c r="J244" s="25"/>
      <c r="K244" s="25"/>
      <c r="L244" s="25"/>
    </row>
    <row r="245" spans="2:12" x14ac:dyDescent="0.25">
      <c r="B245" s="136"/>
      <c r="C245" s="145"/>
      <c r="D245" s="30" t="s">
        <v>130</v>
      </c>
      <c r="E245" s="83">
        <v>103.95238095238095</v>
      </c>
      <c r="F245" s="49">
        <v>26.590367034842131</v>
      </c>
      <c r="G245" s="108">
        <v>21</v>
      </c>
      <c r="H245" s="25"/>
      <c r="I245" s="25"/>
      <c r="J245" s="25"/>
      <c r="K245" s="25"/>
      <c r="L245" s="25"/>
    </row>
    <row r="246" spans="2:12" x14ac:dyDescent="0.25">
      <c r="B246" s="136"/>
      <c r="C246" s="157"/>
      <c r="D246" s="52" t="s">
        <v>233</v>
      </c>
      <c r="E246" s="87">
        <v>97.5</v>
      </c>
      <c r="F246" s="55">
        <v>27.585682509556875</v>
      </c>
      <c r="G246" s="109">
        <v>84</v>
      </c>
      <c r="H246" s="25"/>
      <c r="I246" s="25"/>
      <c r="J246" s="25"/>
      <c r="K246" s="25"/>
      <c r="L246" s="25"/>
    </row>
    <row r="247" spans="2:12" x14ac:dyDescent="0.25">
      <c r="B247" s="136"/>
      <c r="C247" s="158" t="s">
        <v>233</v>
      </c>
      <c r="D247" s="58" t="s">
        <v>50</v>
      </c>
      <c r="E247" s="91">
        <v>67.138888888888886</v>
      </c>
      <c r="F247" s="61">
        <v>19.856696570497583</v>
      </c>
      <c r="G247" s="110">
        <v>18</v>
      </c>
      <c r="H247" s="25"/>
      <c r="I247" s="25"/>
      <c r="J247" s="25"/>
      <c r="K247" s="25"/>
      <c r="L247" s="25"/>
    </row>
    <row r="248" spans="2:12" x14ac:dyDescent="0.25">
      <c r="B248" s="136"/>
      <c r="C248" s="145"/>
      <c r="D248" s="30" t="s">
        <v>16</v>
      </c>
      <c r="E248" s="83">
        <v>88.491525423728802</v>
      </c>
      <c r="F248" s="49">
        <v>32.615377630464288</v>
      </c>
      <c r="G248" s="108">
        <v>59</v>
      </c>
      <c r="H248" s="25"/>
      <c r="I248" s="25"/>
      <c r="J248" s="25"/>
      <c r="K248" s="25"/>
      <c r="L248" s="25"/>
    </row>
    <row r="249" spans="2:12" x14ac:dyDescent="0.25">
      <c r="B249" s="136"/>
      <c r="C249" s="145"/>
      <c r="D249" s="30" t="s">
        <v>126</v>
      </c>
      <c r="E249" s="83">
        <v>75.078947368421041</v>
      </c>
      <c r="F249" s="49">
        <v>25.097732942048953</v>
      </c>
      <c r="G249" s="108">
        <v>19</v>
      </c>
      <c r="H249" s="25"/>
      <c r="I249" s="25"/>
      <c r="J249" s="25"/>
      <c r="K249" s="25"/>
      <c r="L249" s="25"/>
    </row>
    <row r="250" spans="2:12" x14ac:dyDescent="0.25">
      <c r="B250" s="136"/>
      <c r="C250" s="145"/>
      <c r="D250" s="30" t="s">
        <v>130</v>
      </c>
      <c r="E250" s="83">
        <v>83.909090909090907</v>
      </c>
      <c r="F250" s="49">
        <v>29.493253609201201</v>
      </c>
      <c r="G250" s="108">
        <v>44</v>
      </c>
      <c r="H250" s="25"/>
      <c r="I250" s="25"/>
      <c r="J250" s="25"/>
      <c r="K250" s="25"/>
      <c r="L250" s="25"/>
    </row>
    <row r="251" spans="2:12" x14ac:dyDescent="0.25">
      <c r="B251" s="140"/>
      <c r="C251" s="157"/>
      <c r="D251" s="52" t="s">
        <v>233</v>
      </c>
      <c r="E251" s="87">
        <v>82.485714285714323</v>
      </c>
      <c r="F251" s="55">
        <v>29.94503014560809</v>
      </c>
      <c r="G251" s="109">
        <v>140</v>
      </c>
      <c r="H251" s="25"/>
      <c r="I251" s="25"/>
      <c r="J251" s="25"/>
      <c r="K251" s="25"/>
      <c r="L251" s="25"/>
    </row>
    <row r="252" spans="2:12" x14ac:dyDescent="0.25">
      <c r="B252" s="141" t="s">
        <v>215</v>
      </c>
      <c r="C252" s="158" t="s">
        <v>232</v>
      </c>
      <c r="D252" s="58" t="s">
        <v>50</v>
      </c>
      <c r="E252" s="91">
        <v>48.462962962962976</v>
      </c>
      <c r="F252" s="61">
        <v>17.381425721555761</v>
      </c>
      <c r="G252" s="110">
        <v>27</v>
      </c>
      <c r="H252" s="25"/>
      <c r="I252" s="25"/>
      <c r="J252" s="25"/>
      <c r="K252" s="25"/>
      <c r="L252" s="25"/>
    </row>
    <row r="253" spans="2:12" x14ac:dyDescent="0.25">
      <c r="B253" s="136"/>
      <c r="C253" s="145"/>
      <c r="D253" s="30" t="s">
        <v>16</v>
      </c>
      <c r="E253" s="83">
        <v>48.125</v>
      </c>
      <c r="F253" s="49">
        <v>13.860615666941591</v>
      </c>
      <c r="G253" s="108">
        <v>16</v>
      </c>
      <c r="H253" s="25"/>
      <c r="I253" s="25"/>
      <c r="J253" s="25"/>
      <c r="K253" s="25"/>
      <c r="L253" s="25"/>
    </row>
    <row r="254" spans="2:12" x14ac:dyDescent="0.25">
      <c r="B254" s="136"/>
      <c r="C254" s="145"/>
      <c r="D254" s="30" t="s">
        <v>126</v>
      </c>
      <c r="E254" s="83">
        <v>54.44444444444445</v>
      </c>
      <c r="F254" s="49">
        <v>14.765763704521948</v>
      </c>
      <c r="G254" s="108">
        <v>9</v>
      </c>
      <c r="H254" s="25"/>
      <c r="I254" s="25"/>
      <c r="J254" s="25"/>
      <c r="K254" s="25"/>
      <c r="L254" s="25"/>
    </row>
    <row r="255" spans="2:12" x14ac:dyDescent="0.25">
      <c r="B255" s="136"/>
      <c r="C255" s="145"/>
      <c r="D255" s="30" t="s">
        <v>130</v>
      </c>
      <c r="E255" s="83">
        <v>58.63636363636364</v>
      </c>
      <c r="F255" s="49">
        <v>21.17848291375325</v>
      </c>
      <c r="G255" s="108">
        <v>22</v>
      </c>
      <c r="H255" s="25"/>
      <c r="I255" s="25"/>
      <c r="J255" s="25"/>
      <c r="K255" s="25"/>
      <c r="L255" s="25"/>
    </row>
    <row r="256" spans="2:12" x14ac:dyDescent="0.25">
      <c r="B256" s="136"/>
      <c r="C256" s="157"/>
      <c r="D256" s="52" t="s">
        <v>233</v>
      </c>
      <c r="E256" s="87">
        <v>52.141891891891895</v>
      </c>
      <c r="F256" s="55">
        <v>17.941785671555746</v>
      </c>
      <c r="G256" s="109">
        <v>74</v>
      </c>
      <c r="H256" s="25"/>
      <c r="I256" s="25"/>
      <c r="J256" s="25"/>
      <c r="K256" s="25"/>
      <c r="L256" s="25"/>
    </row>
    <row r="257" spans="2:12" x14ac:dyDescent="0.25">
      <c r="B257" s="136"/>
      <c r="C257" s="158" t="s">
        <v>215</v>
      </c>
      <c r="D257" s="58" t="s">
        <v>50</v>
      </c>
      <c r="E257" s="91">
        <v>79.984375000000014</v>
      </c>
      <c r="F257" s="61">
        <v>24.289412393787622</v>
      </c>
      <c r="G257" s="110">
        <v>32</v>
      </c>
      <c r="H257" s="25"/>
      <c r="I257" s="25"/>
      <c r="J257" s="25"/>
      <c r="K257" s="25"/>
      <c r="L257" s="25"/>
    </row>
    <row r="258" spans="2:12" x14ac:dyDescent="0.25">
      <c r="B258" s="136"/>
      <c r="C258" s="145"/>
      <c r="D258" s="30" t="s">
        <v>16</v>
      </c>
      <c r="E258" s="83">
        <v>82.390243902439011</v>
      </c>
      <c r="F258" s="49">
        <v>35.213547143663661</v>
      </c>
      <c r="G258" s="108">
        <v>41</v>
      </c>
      <c r="H258" s="25"/>
      <c r="I258" s="25"/>
      <c r="J258" s="25"/>
      <c r="K258" s="25"/>
      <c r="L258" s="25"/>
    </row>
    <row r="259" spans="2:12" x14ac:dyDescent="0.25">
      <c r="B259" s="136"/>
      <c r="C259" s="145"/>
      <c r="D259" s="30" t="s">
        <v>126</v>
      </c>
      <c r="E259" s="83">
        <v>89.631578947368411</v>
      </c>
      <c r="F259" s="49">
        <v>28.0440338799059</v>
      </c>
      <c r="G259" s="108">
        <v>19</v>
      </c>
      <c r="H259" s="25"/>
      <c r="I259" s="25"/>
      <c r="J259" s="25"/>
      <c r="K259" s="25"/>
      <c r="L259" s="25"/>
    </row>
    <row r="260" spans="2:12" x14ac:dyDescent="0.25">
      <c r="B260" s="136"/>
      <c r="C260" s="145"/>
      <c r="D260" s="30" t="s">
        <v>130</v>
      </c>
      <c r="E260" s="83">
        <v>136.76666666666665</v>
      </c>
      <c r="F260" s="49">
        <v>31.44966787098716</v>
      </c>
      <c r="G260" s="108">
        <v>30</v>
      </c>
      <c r="H260" s="25"/>
      <c r="I260" s="25"/>
      <c r="J260" s="25"/>
      <c r="K260" s="25"/>
      <c r="L260" s="25"/>
    </row>
    <row r="261" spans="2:12" x14ac:dyDescent="0.25">
      <c r="B261" s="136"/>
      <c r="C261" s="157"/>
      <c r="D261" s="52" t="s">
        <v>233</v>
      </c>
      <c r="E261" s="87">
        <v>96.25819672131145</v>
      </c>
      <c r="F261" s="55">
        <v>38.263021529356799</v>
      </c>
      <c r="G261" s="109">
        <v>122</v>
      </c>
      <c r="H261" s="25"/>
      <c r="I261" s="25"/>
      <c r="J261" s="25"/>
      <c r="K261" s="25"/>
      <c r="L261" s="25"/>
    </row>
    <row r="262" spans="2:12" x14ac:dyDescent="0.25">
      <c r="B262" s="136"/>
      <c r="C262" s="158" t="s">
        <v>233</v>
      </c>
      <c r="D262" s="58" t="s">
        <v>50</v>
      </c>
      <c r="E262" s="91">
        <v>65.559322033898297</v>
      </c>
      <c r="F262" s="61">
        <v>26.488300075915546</v>
      </c>
      <c r="G262" s="110">
        <v>59</v>
      </c>
      <c r="H262" s="25"/>
      <c r="I262" s="25"/>
      <c r="J262" s="25"/>
      <c r="K262" s="25"/>
      <c r="L262" s="25"/>
    </row>
    <row r="263" spans="2:12" x14ac:dyDescent="0.25">
      <c r="B263" s="136"/>
      <c r="C263" s="145"/>
      <c r="D263" s="30" t="s">
        <v>16</v>
      </c>
      <c r="E263" s="83">
        <v>72.771929824561369</v>
      </c>
      <c r="F263" s="49">
        <v>34.328776737319096</v>
      </c>
      <c r="G263" s="108">
        <v>57</v>
      </c>
      <c r="H263" s="25"/>
      <c r="I263" s="25"/>
      <c r="J263" s="25"/>
      <c r="K263" s="25"/>
      <c r="L263" s="25"/>
    </row>
    <row r="264" spans="2:12" x14ac:dyDescent="0.25">
      <c r="B264" s="136"/>
      <c r="C264" s="145"/>
      <c r="D264" s="30" t="s">
        <v>126</v>
      </c>
      <c r="E264" s="83">
        <v>78.321428571428569</v>
      </c>
      <c r="F264" s="49">
        <v>29.478245049814809</v>
      </c>
      <c r="G264" s="108">
        <v>28</v>
      </c>
      <c r="H264" s="25"/>
      <c r="I264" s="25"/>
      <c r="J264" s="25"/>
      <c r="K264" s="25"/>
      <c r="L264" s="25"/>
    </row>
    <row r="265" spans="2:12" x14ac:dyDescent="0.25">
      <c r="B265" s="136"/>
      <c r="C265" s="145"/>
      <c r="D265" s="30" t="s">
        <v>130</v>
      </c>
      <c r="E265" s="83">
        <v>103.71153846153848</v>
      </c>
      <c r="F265" s="49">
        <v>47.605542822140457</v>
      </c>
      <c r="G265" s="108">
        <v>52</v>
      </c>
      <c r="H265" s="25"/>
      <c r="I265" s="25"/>
      <c r="J265" s="25"/>
      <c r="K265" s="25"/>
      <c r="L265" s="25"/>
    </row>
    <row r="266" spans="2:12" x14ac:dyDescent="0.25">
      <c r="B266" s="140"/>
      <c r="C266" s="157"/>
      <c r="D266" s="52" t="s">
        <v>233</v>
      </c>
      <c r="E266" s="87">
        <v>79.602040816326522</v>
      </c>
      <c r="F266" s="55">
        <v>38.583705819789643</v>
      </c>
      <c r="G266" s="109">
        <v>196</v>
      </c>
      <c r="H266" s="25"/>
      <c r="I266" s="25"/>
      <c r="J266" s="25"/>
      <c r="K266" s="25"/>
      <c r="L266" s="25"/>
    </row>
    <row r="267" spans="2:12" ht="16.5" thickBot="1" x14ac:dyDescent="0.3">
      <c r="B267" s="142" t="s">
        <v>233</v>
      </c>
      <c r="C267" s="158" t="s">
        <v>232</v>
      </c>
      <c r="D267" s="58" t="s">
        <v>50</v>
      </c>
      <c r="E267" s="91">
        <v>50.457142857142863</v>
      </c>
      <c r="F267" s="61">
        <v>17.227445369223489</v>
      </c>
      <c r="G267" s="110">
        <v>35</v>
      </c>
      <c r="H267" s="25"/>
      <c r="I267" s="25"/>
      <c r="J267" s="25"/>
      <c r="K267" s="25"/>
      <c r="L267" s="25"/>
    </row>
    <row r="268" spans="2:12" x14ac:dyDescent="0.25">
      <c r="B268" s="136"/>
      <c r="C268" s="145"/>
      <c r="D268" s="30" t="s">
        <v>16</v>
      </c>
      <c r="E268" s="83">
        <v>51.911764705882348</v>
      </c>
      <c r="F268" s="49">
        <v>13.621212616910443</v>
      </c>
      <c r="G268" s="108">
        <v>34</v>
      </c>
      <c r="H268" s="25"/>
      <c r="I268" s="25"/>
      <c r="J268" s="25"/>
      <c r="K268" s="25"/>
      <c r="L268" s="25"/>
    </row>
    <row r="269" spans="2:12" x14ac:dyDescent="0.25">
      <c r="B269" s="136"/>
      <c r="C269" s="145"/>
      <c r="D269" s="30" t="s">
        <v>126</v>
      </c>
      <c r="E269" s="83">
        <v>55.406250000000007</v>
      </c>
      <c r="F269" s="49">
        <v>14.001450817683144</v>
      </c>
      <c r="G269" s="108">
        <v>16</v>
      </c>
      <c r="H269" s="25"/>
      <c r="I269" s="25"/>
      <c r="J269" s="25"/>
      <c r="K269" s="25"/>
      <c r="L269" s="25"/>
    </row>
    <row r="270" spans="2:12" x14ac:dyDescent="0.25">
      <c r="B270" s="136"/>
      <c r="C270" s="145"/>
      <c r="D270" s="30" t="s">
        <v>130</v>
      </c>
      <c r="E270" s="83">
        <v>62.20000000000001</v>
      </c>
      <c r="F270" s="49">
        <v>19.707635806735141</v>
      </c>
      <c r="G270" s="108">
        <v>45</v>
      </c>
      <c r="H270" s="25"/>
      <c r="I270" s="25"/>
      <c r="J270" s="25"/>
      <c r="K270" s="25"/>
      <c r="L270" s="25"/>
    </row>
    <row r="271" spans="2:12" x14ac:dyDescent="0.25">
      <c r="B271" s="136"/>
      <c r="C271" s="157"/>
      <c r="D271" s="52" t="s">
        <v>233</v>
      </c>
      <c r="E271" s="87">
        <v>55.511538461538471</v>
      </c>
      <c r="F271" s="55">
        <v>17.518812190343407</v>
      </c>
      <c r="G271" s="109">
        <v>130</v>
      </c>
      <c r="H271" s="25"/>
      <c r="I271" s="25"/>
      <c r="J271" s="25"/>
      <c r="K271" s="25"/>
      <c r="L271" s="25"/>
    </row>
    <row r="272" spans="2:12" x14ac:dyDescent="0.25">
      <c r="B272" s="136"/>
      <c r="C272" s="158" t="s">
        <v>215</v>
      </c>
      <c r="D272" s="58" t="s">
        <v>50</v>
      </c>
      <c r="E272" s="91">
        <v>78.821428571428598</v>
      </c>
      <c r="F272" s="61">
        <v>23.154787059333241</v>
      </c>
      <c r="G272" s="110">
        <v>42</v>
      </c>
      <c r="H272" s="25"/>
      <c r="I272" s="25"/>
      <c r="J272" s="25"/>
      <c r="K272" s="25"/>
      <c r="L272" s="25"/>
    </row>
    <row r="273" spans="2:12" x14ac:dyDescent="0.25">
      <c r="B273" s="136"/>
      <c r="C273" s="145"/>
      <c r="D273" s="30" t="s">
        <v>16</v>
      </c>
      <c r="E273" s="83">
        <v>92.731707317073173</v>
      </c>
      <c r="F273" s="49">
        <v>33.089030214043319</v>
      </c>
      <c r="G273" s="108">
        <v>82</v>
      </c>
      <c r="H273" s="25"/>
      <c r="I273" s="25"/>
      <c r="J273" s="25"/>
      <c r="K273" s="25"/>
      <c r="L273" s="25"/>
    </row>
    <row r="274" spans="2:12" x14ac:dyDescent="0.25">
      <c r="B274" s="136"/>
      <c r="C274" s="145"/>
      <c r="D274" s="30" t="s">
        <v>126</v>
      </c>
      <c r="E274" s="83">
        <v>88.161290322580626</v>
      </c>
      <c r="F274" s="49">
        <v>26.24004163385105</v>
      </c>
      <c r="G274" s="108">
        <v>31</v>
      </c>
      <c r="H274" s="25"/>
      <c r="I274" s="25"/>
      <c r="J274" s="25"/>
      <c r="K274" s="25"/>
      <c r="L274" s="25"/>
    </row>
    <row r="275" spans="2:12" x14ac:dyDescent="0.25">
      <c r="B275" s="136"/>
      <c r="C275" s="145"/>
      <c r="D275" s="30" t="s">
        <v>130</v>
      </c>
      <c r="E275" s="83">
        <v>123.25490196078431</v>
      </c>
      <c r="F275" s="49">
        <v>33.503935970124402</v>
      </c>
      <c r="G275" s="108">
        <v>51</v>
      </c>
      <c r="H275" s="25"/>
      <c r="I275" s="25"/>
      <c r="J275" s="25"/>
      <c r="K275" s="25"/>
      <c r="L275" s="25"/>
    </row>
    <row r="276" spans="2:12" x14ac:dyDescent="0.25">
      <c r="B276" s="136"/>
      <c r="C276" s="157"/>
      <c r="D276" s="52" t="s">
        <v>233</v>
      </c>
      <c r="E276" s="87">
        <v>96.764563106796075</v>
      </c>
      <c r="F276" s="55">
        <v>34.243627237685544</v>
      </c>
      <c r="G276" s="109">
        <v>206</v>
      </c>
      <c r="H276" s="25"/>
      <c r="I276" s="25"/>
      <c r="J276" s="25"/>
      <c r="K276" s="25"/>
      <c r="L276" s="25"/>
    </row>
    <row r="277" spans="2:12" ht="16.5" thickBot="1" x14ac:dyDescent="0.3">
      <c r="B277" s="136"/>
      <c r="C277" s="162" t="s">
        <v>233</v>
      </c>
      <c r="D277" s="58" t="s">
        <v>50</v>
      </c>
      <c r="E277" s="91">
        <v>65.928571428571445</v>
      </c>
      <c r="F277" s="61">
        <v>24.982061233185838</v>
      </c>
      <c r="G277" s="110">
        <v>77</v>
      </c>
      <c r="H277" s="25"/>
      <c r="I277" s="25"/>
      <c r="J277" s="25"/>
      <c r="K277" s="25"/>
      <c r="L277" s="25"/>
    </row>
    <row r="278" spans="2:12" x14ac:dyDescent="0.25">
      <c r="B278" s="136"/>
      <c r="C278" s="145"/>
      <c r="D278" s="30" t="s">
        <v>16</v>
      </c>
      <c r="E278" s="83">
        <v>80.767241379310349</v>
      </c>
      <c r="F278" s="49">
        <v>34.24416364328652</v>
      </c>
      <c r="G278" s="108">
        <v>116</v>
      </c>
      <c r="H278" s="25"/>
      <c r="I278" s="25"/>
      <c r="J278" s="25"/>
      <c r="K278" s="25"/>
      <c r="L278" s="25"/>
    </row>
    <row r="279" spans="2:12" x14ac:dyDescent="0.25">
      <c r="B279" s="136"/>
      <c r="C279" s="145"/>
      <c r="D279" s="30" t="s">
        <v>126</v>
      </c>
      <c r="E279" s="83">
        <v>77.010638297872319</v>
      </c>
      <c r="F279" s="49">
        <v>27.552023787756678</v>
      </c>
      <c r="G279" s="108">
        <v>47</v>
      </c>
      <c r="H279" s="25"/>
      <c r="I279" s="25"/>
      <c r="J279" s="25"/>
      <c r="K279" s="25"/>
      <c r="L279" s="25"/>
    </row>
    <row r="280" spans="2:12" x14ac:dyDescent="0.25">
      <c r="B280" s="136"/>
      <c r="C280" s="145"/>
      <c r="D280" s="30" t="s">
        <v>130</v>
      </c>
      <c r="E280" s="83">
        <v>94.635416666666657</v>
      </c>
      <c r="F280" s="49">
        <v>41.336900755077025</v>
      </c>
      <c r="G280" s="108">
        <v>96</v>
      </c>
      <c r="H280" s="25"/>
      <c r="I280" s="25"/>
      <c r="J280" s="25"/>
      <c r="K280" s="25"/>
      <c r="L280" s="25"/>
    </row>
    <row r="281" spans="2:12" ht="16.5" thickBot="1" x14ac:dyDescent="0.3">
      <c r="B281" s="143"/>
      <c r="C281" s="130"/>
      <c r="D281" s="33" t="s">
        <v>233</v>
      </c>
      <c r="E281" s="94">
        <v>80.803571428571388</v>
      </c>
      <c r="F281" s="111">
        <v>35.222874000831695</v>
      </c>
      <c r="G281" s="112">
        <v>336</v>
      </c>
      <c r="H281" s="25"/>
      <c r="I281" s="25"/>
      <c r="J281" s="25"/>
      <c r="K281" s="25"/>
      <c r="L281" s="25"/>
    </row>
    <row r="282" spans="2:12" x14ac:dyDescent="0.25">
      <c r="B282" s="25"/>
      <c r="C282" s="25"/>
      <c r="D282" s="25"/>
      <c r="E282" s="25"/>
      <c r="F282" s="25"/>
      <c r="G282" s="25"/>
      <c r="H282" s="25"/>
      <c r="I282" s="25"/>
      <c r="J282" s="25"/>
      <c r="K282" s="25"/>
      <c r="L282" s="25"/>
    </row>
    <row r="283" spans="2:12" x14ac:dyDescent="0.25">
      <c r="B283" s="144" t="s">
        <v>281</v>
      </c>
      <c r="C283" s="145"/>
      <c r="D283" s="145"/>
      <c r="E283" s="145"/>
      <c r="F283" s="145"/>
      <c r="G283" s="145"/>
      <c r="H283" s="145"/>
      <c r="I283" s="145"/>
      <c r="J283" s="25"/>
      <c r="K283" s="25"/>
      <c r="L283" s="25"/>
    </row>
    <row r="284" spans="2:12" ht="16.5" thickBot="1" x14ac:dyDescent="0.3">
      <c r="B284" s="160" t="s">
        <v>280</v>
      </c>
      <c r="C284" s="145"/>
      <c r="D284" s="145"/>
      <c r="E284" s="145"/>
      <c r="F284" s="145"/>
      <c r="G284" s="145"/>
      <c r="H284" s="145"/>
      <c r="I284" s="145"/>
      <c r="J284" s="25"/>
      <c r="K284" s="25"/>
      <c r="L284" s="25"/>
    </row>
    <row r="285" spans="2:12" ht="25.5" thickBot="1" x14ac:dyDescent="0.3">
      <c r="B285" s="161" t="s">
        <v>282</v>
      </c>
      <c r="C285" s="147"/>
      <c r="D285" s="77" t="s">
        <v>283</v>
      </c>
      <c r="E285" s="78" t="s">
        <v>236</v>
      </c>
      <c r="F285" s="78" t="s">
        <v>237</v>
      </c>
      <c r="G285" s="78" t="s">
        <v>238</v>
      </c>
      <c r="H285" s="78" t="s">
        <v>239</v>
      </c>
      <c r="I285" s="79" t="s">
        <v>284</v>
      </c>
      <c r="J285" s="25"/>
      <c r="K285" s="25"/>
      <c r="L285" s="25"/>
    </row>
    <row r="286" spans="2:12" x14ac:dyDescent="0.25">
      <c r="B286" s="159" t="s">
        <v>285</v>
      </c>
      <c r="C286" s="41" t="s">
        <v>286</v>
      </c>
      <c r="D286" s="80">
        <v>1414476.2074091474</v>
      </c>
      <c r="E286" s="81">
        <v>1</v>
      </c>
      <c r="F286" s="43">
        <v>1414476.2074091474</v>
      </c>
      <c r="G286" s="43">
        <v>153.49887596233154</v>
      </c>
      <c r="H286" s="43">
        <v>1.0695132867505654E-3</v>
      </c>
      <c r="I286" s="82">
        <v>0.98060768727732173</v>
      </c>
      <c r="J286" s="25"/>
      <c r="K286" s="25"/>
      <c r="L286" s="25"/>
    </row>
    <row r="287" spans="2:12" x14ac:dyDescent="0.25">
      <c r="B287" s="136"/>
      <c r="C287" s="30" t="s">
        <v>287</v>
      </c>
      <c r="D287" s="83">
        <v>27972.414767648908</v>
      </c>
      <c r="E287" s="48">
        <v>3.0355648276692695</v>
      </c>
      <c r="F287" s="48">
        <v>9214.8961908767233</v>
      </c>
      <c r="G287" s="85"/>
      <c r="H287" s="85"/>
      <c r="I287" s="86"/>
      <c r="J287" s="25"/>
      <c r="K287" s="25"/>
      <c r="L287" s="25"/>
    </row>
    <row r="288" spans="2:12" x14ac:dyDescent="0.25">
      <c r="B288" s="135" t="s">
        <v>0</v>
      </c>
      <c r="C288" s="30" t="s">
        <v>286</v>
      </c>
      <c r="D288" s="83">
        <v>17.576924619454388</v>
      </c>
      <c r="E288" s="84">
        <v>1</v>
      </c>
      <c r="F288" s="48">
        <v>17.576924619454388</v>
      </c>
      <c r="G288" s="48">
        <v>6.5770522759893632E-3</v>
      </c>
      <c r="H288" s="48">
        <v>0.94027949750576012</v>
      </c>
      <c r="I288" s="113">
        <v>2.1000096529375694E-3</v>
      </c>
      <c r="J288" s="25"/>
      <c r="K288" s="25"/>
      <c r="L288" s="25"/>
    </row>
    <row r="289" spans="2:12" x14ac:dyDescent="0.25">
      <c r="B289" s="136"/>
      <c r="C289" s="30" t="s">
        <v>287</v>
      </c>
      <c r="D289" s="83">
        <v>8352.3487063733137</v>
      </c>
      <c r="E289" s="48">
        <v>3.1253382066796753</v>
      </c>
      <c r="F289" s="48">
        <v>2672.4623557610926</v>
      </c>
      <c r="G289" s="85"/>
      <c r="H289" s="85"/>
      <c r="I289" s="86"/>
      <c r="J289" s="25"/>
      <c r="K289" s="25"/>
      <c r="L289" s="25"/>
    </row>
    <row r="290" spans="2:12" x14ac:dyDescent="0.25">
      <c r="B290" s="135" t="s">
        <v>1</v>
      </c>
      <c r="C290" s="30" t="s">
        <v>286</v>
      </c>
      <c r="D290" s="83">
        <v>95652.664823653962</v>
      </c>
      <c r="E290" s="84">
        <v>1</v>
      </c>
      <c r="F290" s="48">
        <v>95652.664823653962</v>
      </c>
      <c r="G290" s="48">
        <v>27.411840735611975</v>
      </c>
      <c r="H290" s="48">
        <v>1.2534451386040467E-2</v>
      </c>
      <c r="I290" s="113">
        <v>0.89853852080608421</v>
      </c>
      <c r="J290" s="25"/>
      <c r="K290" s="25"/>
      <c r="L290" s="25"/>
    </row>
    <row r="291" spans="2:12" x14ac:dyDescent="0.25">
      <c r="B291" s="136"/>
      <c r="C291" s="30" t="s">
        <v>287</v>
      </c>
      <c r="D291" s="83">
        <v>10800.940234750649</v>
      </c>
      <c r="E291" s="48">
        <v>3.0952995826691501</v>
      </c>
      <c r="F291" s="48">
        <v>3489.4652185610876</v>
      </c>
      <c r="G291" s="85"/>
      <c r="H291" s="85"/>
      <c r="I291" s="86"/>
      <c r="J291" s="25"/>
      <c r="K291" s="25"/>
      <c r="L291" s="25"/>
    </row>
    <row r="292" spans="2:12" x14ac:dyDescent="0.25">
      <c r="B292" s="135" t="s">
        <v>288</v>
      </c>
      <c r="C292" s="30" t="s">
        <v>286</v>
      </c>
      <c r="D292" s="83">
        <v>30090.677520383029</v>
      </c>
      <c r="E292" s="84">
        <v>3</v>
      </c>
      <c r="F292" s="48">
        <v>10030.225840127676</v>
      </c>
      <c r="G292" s="48">
        <v>2.6554115325363226</v>
      </c>
      <c r="H292" s="48">
        <v>0.34980370504351621</v>
      </c>
      <c r="I292" s="113">
        <v>0.85019610209340857</v>
      </c>
      <c r="J292" s="25"/>
      <c r="K292" s="25"/>
      <c r="L292" s="25"/>
    </row>
    <row r="293" spans="2:12" x14ac:dyDescent="0.25">
      <c r="B293" s="136"/>
      <c r="C293" s="30" t="s">
        <v>287</v>
      </c>
      <c r="D293" s="83">
        <v>5301.9541869275481</v>
      </c>
      <c r="E293" s="48">
        <v>1.4036443961831513</v>
      </c>
      <c r="F293" s="48">
        <v>3777.2773512613626</v>
      </c>
      <c r="G293" s="85"/>
      <c r="H293" s="85"/>
      <c r="I293" s="86"/>
      <c r="J293" s="25"/>
      <c r="K293" s="25"/>
      <c r="L293" s="25"/>
    </row>
    <row r="294" spans="2:12" x14ac:dyDescent="0.25">
      <c r="B294" s="135" t="s">
        <v>289</v>
      </c>
      <c r="C294" s="30" t="s">
        <v>286</v>
      </c>
      <c r="D294" s="83">
        <v>2062.2033323268211</v>
      </c>
      <c r="E294" s="84">
        <v>1</v>
      </c>
      <c r="F294" s="48">
        <v>2062.2033323268211</v>
      </c>
      <c r="G294" s="48">
        <v>0.77586459392793805</v>
      </c>
      <c r="H294" s="48">
        <v>0.44087894931618754</v>
      </c>
      <c r="I294" s="113">
        <v>0.19884231550411563</v>
      </c>
      <c r="J294" s="25"/>
      <c r="K294" s="25"/>
      <c r="L294" s="25"/>
    </row>
    <row r="295" spans="2:12" x14ac:dyDescent="0.25">
      <c r="B295" s="136"/>
      <c r="C295" s="30" t="s">
        <v>287</v>
      </c>
      <c r="D295" s="83">
        <v>8308.8453405807213</v>
      </c>
      <c r="E295" s="48">
        <v>3.126044272708044</v>
      </c>
      <c r="F295" s="48">
        <v>2657.942311668829</v>
      </c>
      <c r="G295" s="85"/>
      <c r="H295" s="85"/>
      <c r="I295" s="86"/>
      <c r="J295" s="25"/>
      <c r="K295" s="25"/>
      <c r="L295" s="25"/>
    </row>
    <row r="296" spans="2:12" x14ac:dyDescent="0.25">
      <c r="B296" s="135" t="s">
        <v>290</v>
      </c>
      <c r="C296" s="30" t="s">
        <v>286</v>
      </c>
      <c r="D296" s="83">
        <v>8600.497261773633</v>
      </c>
      <c r="E296" s="84">
        <v>3</v>
      </c>
      <c r="F296" s="48">
        <v>2866.8324205912108</v>
      </c>
      <c r="G296" s="48">
        <v>1.0055764806488907</v>
      </c>
      <c r="H296" s="48">
        <v>0.49822988886178599</v>
      </c>
      <c r="I296" s="113">
        <v>0.50139024382831976</v>
      </c>
      <c r="J296" s="25"/>
      <c r="K296" s="25"/>
      <c r="L296" s="25"/>
    </row>
    <row r="297" spans="2:12" x14ac:dyDescent="0.25">
      <c r="B297" s="136"/>
      <c r="C297" s="30" t="s">
        <v>287</v>
      </c>
      <c r="D297" s="83">
        <v>8552.8027228956253</v>
      </c>
      <c r="E297" s="84">
        <v>3</v>
      </c>
      <c r="F297" s="48">
        <v>2850.9342409652086</v>
      </c>
      <c r="G297" s="85"/>
      <c r="H297" s="85"/>
      <c r="I297" s="86"/>
      <c r="J297" s="25"/>
      <c r="K297" s="25"/>
      <c r="L297" s="25"/>
    </row>
    <row r="298" spans="2:12" x14ac:dyDescent="0.25">
      <c r="B298" s="135" t="s">
        <v>291</v>
      </c>
      <c r="C298" s="30" t="s">
        <v>286</v>
      </c>
      <c r="D298" s="83">
        <v>11284.137514906111</v>
      </c>
      <c r="E298" s="84">
        <v>3</v>
      </c>
      <c r="F298" s="48">
        <v>3761.3791716353703</v>
      </c>
      <c r="G298" s="48">
        <v>1.3193496775856615</v>
      </c>
      <c r="H298" s="48">
        <v>0.41262201812512117</v>
      </c>
      <c r="I298" s="113">
        <v>0.56884465949051943</v>
      </c>
      <c r="J298" s="25"/>
      <c r="K298" s="25"/>
      <c r="L298" s="25"/>
    </row>
    <row r="299" spans="2:12" x14ac:dyDescent="0.25">
      <c r="B299" s="136"/>
      <c r="C299" s="30" t="s">
        <v>287</v>
      </c>
      <c r="D299" s="83">
        <v>8552.8027228956253</v>
      </c>
      <c r="E299" s="84">
        <v>3</v>
      </c>
      <c r="F299" s="48">
        <v>2850.9342409652086</v>
      </c>
      <c r="G299" s="85"/>
      <c r="H299" s="85"/>
      <c r="I299" s="86"/>
      <c r="J299" s="25"/>
      <c r="K299" s="25"/>
      <c r="L299" s="25"/>
    </row>
    <row r="300" spans="2:12" ht="16.5" thickBot="1" x14ac:dyDescent="0.3">
      <c r="B300" s="148" t="s">
        <v>292</v>
      </c>
      <c r="C300" s="30" t="s">
        <v>286</v>
      </c>
      <c r="D300" s="83">
        <v>8552.8027228956253</v>
      </c>
      <c r="E300" s="84">
        <v>3</v>
      </c>
      <c r="F300" s="48">
        <v>2850.9342409652086</v>
      </c>
      <c r="G300" s="48">
        <v>4.5645752599345917</v>
      </c>
      <c r="H300" s="48">
        <v>3.7938084414235493E-3</v>
      </c>
      <c r="I300" s="113">
        <v>4.1036809271145606E-2</v>
      </c>
      <c r="J300" s="25"/>
      <c r="K300" s="25"/>
      <c r="L300" s="25"/>
    </row>
    <row r="301" spans="2:12" ht="16.5" thickBot="1" x14ac:dyDescent="0.3">
      <c r="B301" s="143"/>
      <c r="C301" s="33" t="s">
        <v>287</v>
      </c>
      <c r="D301" s="94">
        <v>199865.02689889699</v>
      </c>
      <c r="E301" s="95">
        <v>320</v>
      </c>
      <c r="F301" s="114">
        <v>624.57820905905305</v>
      </c>
      <c r="G301" s="96"/>
      <c r="H301" s="96"/>
      <c r="I301" s="97"/>
      <c r="J301" s="25"/>
      <c r="K301" s="25"/>
      <c r="L301" s="25"/>
    </row>
    <row r="302" spans="2:12" x14ac:dyDescent="0.25">
      <c r="B302" s="25"/>
      <c r="C302" s="25"/>
      <c r="D302" s="25"/>
      <c r="E302" s="25"/>
      <c r="F302" s="25"/>
      <c r="G302" s="25"/>
      <c r="H302" s="25"/>
      <c r="I302" s="25"/>
      <c r="J302" s="25"/>
      <c r="K302" s="25"/>
      <c r="L302" s="25"/>
    </row>
    <row r="303" spans="2:12" x14ac:dyDescent="0.25">
      <c r="B303" s="25"/>
      <c r="C303" s="25"/>
      <c r="D303" s="25"/>
      <c r="E303" s="25"/>
      <c r="F303" s="25"/>
      <c r="G303" s="25"/>
      <c r="H303" s="25"/>
      <c r="I303" s="25"/>
      <c r="J303" s="25"/>
      <c r="K303" s="25"/>
      <c r="L303" s="25"/>
    </row>
    <row r="304" spans="2:12" x14ac:dyDescent="0.25">
      <c r="B304" s="25"/>
      <c r="C304" s="25"/>
      <c r="D304" s="25"/>
      <c r="E304" s="25"/>
      <c r="F304" s="25"/>
      <c r="G304" s="25"/>
      <c r="H304" s="25"/>
      <c r="I304" s="25"/>
      <c r="J304" s="25"/>
      <c r="K304" s="25"/>
      <c r="L304" s="25"/>
    </row>
    <row r="305" spans="2:12" x14ac:dyDescent="0.25">
      <c r="B305" s="25"/>
      <c r="C305" s="25"/>
      <c r="D305" s="25"/>
      <c r="E305" s="25"/>
      <c r="F305" s="25"/>
      <c r="G305" s="25"/>
      <c r="H305" s="25"/>
      <c r="I305" s="25"/>
      <c r="J305" s="25"/>
      <c r="K305" s="25"/>
      <c r="L305" s="25"/>
    </row>
    <row r="306" spans="2:12" x14ac:dyDescent="0.25">
      <c r="B306" s="25"/>
      <c r="C306" s="25"/>
      <c r="D306" s="25"/>
      <c r="E306" s="25"/>
      <c r="F306" s="25"/>
      <c r="G306" s="25"/>
      <c r="H306" s="25"/>
      <c r="I306" s="25"/>
      <c r="J306" s="25"/>
      <c r="K306" s="25"/>
      <c r="L306" s="25"/>
    </row>
    <row r="307" spans="2:12" x14ac:dyDescent="0.25">
      <c r="B307" s="25"/>
      <c r="C307" s="25"/>
      <c r="D307" s="25"/>
      <c r="E307" s="25"/>
      <c r="F307" s="25"/>
      <c r="G307" s="25"/>
      <c r="H307" s="25"/>
      <c r="I307" s="25"/>
      <c r="J307" s="25"/>
      <c r="K307" s="25"/>
      <c r="L307" s="25"/>
    </row>
    <row r="308" spans="2:12" x14ac:dyDescent="0.25">
      <c r="B308" s="25"/>
      <c r="C308" s="25"/>
      <c r="D308" s="25"/>
      <c r="E308" s="25"/>
      <c r="F308" s="25"/>
      <c r="G308" s="25"/>
      <c r="H308" s="25"/>
      <c r="I308" s="25"/>
      <c r="J308" s="25"/>
      <c r="K308" s="25"/>
      <c r="L308" s="25"/>
    </row>
    <row r="309" spans="2:12" x14ac:dyDescent="0.25">
      <c r="B309" s="25"/>
      <c r="C309" s="25"/>
      <c r="D309" s="25"/>
      <c r="E309" s="25"/>
      <c r="F309" s="25"/>
      <c r="G309" s="25"/>
      <c r="H309" s="25"/>
      <c r="I309" s="25"/>
      <c r="J309" s="25"/>
      <c r="K309" s="25"/>
      <c r="L309" s="25"/>
    </row>
    <row r="310" spans="2:12" ht="16.5" thickBot="1" x14ac:dyDescent="0.3">
      <c r="B310" s="144" t="s">
        <v>293</v>
      </c>
      <c r="C310" s="145"/>
      <c r="D310" s="145"/>
      <c r="E310" s="145"/>
      <c r="F310" s="145"/>
      <c r="G310" s="145"/>
      <c r="H310" s="145"/>
      <c r="I310" s="25"/>
      <c r="J310" s="25"/>
      <c r="K310" s="25"/>
      <c r="L310" s="25"/>
    </row>
    <row r="311" spans="2:12" ht="16.5" thickBot="1" x14ac:dyDescent="0.3">
      <c r="B311" s="161" t="s">
        <v>282</v>
      </c>
      <c r="C311" s="164" t="s">
        <v>294</v>
      </c>
      <c r="D311" s="165"/>
      <c r="E311" s="165"/>
      <c r="F311" s="165"/>
      <c r="G311" s="165"/>
      <c r="H311" s="132"/>
      <c r="I311" s="25"/>
      <c r="J311" s="25"/>
      <c r="K311" s="25"/>
      <c r="L311" s="25"/>
    </row>
    <row r="312" spans="2:12" ht="37.5" thickBot="1" x14ac:dyDescent="0.3">
      <c r="B312" s="163"/>
      <c r="C312" s="115" t="s">
        <v>295</v>
      </c>
      <c r="D312" s="40" t="s">
        <v>296</v>
      </c>
      <c r="E312" s="40" t="s">
        <v>297</v>
      </c>
      <c r="F312" s="40" t="s">
        <v>298</v>
      </c>
      <c r="G312" s="40" t="s">
        <v>299</v>
      </c>
      <c r="H312" s="116" t="s">
        <v>300</v>
      </c>
      <c r="I312" s="25"/>
      <c r="J312" s="25"/>
      <c r="K312" s="25"/>
      <c r="L312" s="25"/>
    </row>
    <row r="313" spans="2:12" ht="60" x14ac:dyDescent="0.25">
      <c r="B313" s="35" t="s">
        <v>285</v>
      </c>
      <c r="C313" s="80">
        <v>62.748700926720971</v>
      </c>
      <c r="D313" s="43">
        <v>31.374350463360429</v>
      </c>
      <c r="E313" s="43">
        <v>31.37435046336045</v>
      </c>
      <c r="F313" s="43">
        <v>15.687175231680232</v>
      </c>
      <c r="G313" s="43">
        <v>1</v>
      </c>
      <c r="H313" s="117" t="s">
        <v>301</v>
      </c>
      <c r="I313" s="25"/>
      <c r="J313" s="25"/>
      <c r="K313" s="25"/>
      <c r="L313" s="25"/>
    </row>
    <row r="314" spans="2:12" ht="36" x14ac:dyDescent="0.25">
      <c r="B314" s="37" t="s">
        <v>0</v>
      </c>
      <c r="C314" s="83">
        <v>0</v>
      </c>
      <c r="D314" s="48">
        <v>31.374350463360429</v>
      </c>
      <c r="E314" s="48">
        <v>0</v>
      </c>
      <c r="F314" s="48">
        <v>15.687175231680218</v>
      </c>
      <c r="G314" s="48">
        <v>1</v>
      </c>
      <c r="H314" s="118" t="s">
        <v>302</v>
      </c>
      <c r="I314" s="25"/>
      <c r="J314" s="25"/>
      <c r="K314" s="25"/>
      <c r="L314" s="25"/>
    </row>
    <row r="315" spans="2:12" ht="36" x14ac:dyDescent="0.25">
      <c r="B315" s="37" t="s">
        <v>1</v>
      </c>
      <c r="C315" s="83">
        <v>0</v>
      </c>
      <c r="D315" s="48">
        <v>0</v>
      </c>
      <c r="E315" s="48">
        <v>31.374350463360425</v>
      </c>
      <c r="F315" s="48">
        <v>15.687175231680243</v>
      </c>
      <c r="G315" s="48">
        <v>1</v>
      </c>
      <c r="H315" s="118" t="s">
        <v>303</v>
      </c>
      <c r="I315" s="25"/>
      <c r="J315" s="25"/>
      <c r="K315" s="25"/>
      <c r="L315" s="25"/>
    </row>
    <row r="316" spans="2:12" x14ac:dyDescent="0.25">
      <c r="B316" s="37" t="s">
        <v>288</v>
      </c>
      <c r="C316" s="83">
        <v>68.704344993194852</v>
      </c>
      <c r="D316" s="48">
        <v>34.352172496597383</v>
      </c>
      <c r="E316" s="48">
        <v>34.352172496597341</v>
      </c>
      <c r="F316" s="48">
        <v>17.176086248298684</v>
      </c>
      <c r="G316" s="48">
        <v>0.99999999999999989</v>
      </c>
      <c r="H316" s="86"/>
      <c r="I316" s="25"/>
      <c r="J316" s="25"/>
      <c r="K316" s="25"/>
      <c r="L316" s="25"/>
    </row>
    <row r="317" spans="2:12" ht="36" x14ac:dyDescent="0.25">
      <c r="B317" s="37" t="s">
        <v>289</v>
      </c>
      <c r="C317" s="83">
        <v>0</v>
      </c>
      <c r="D317" s="48">
        <v>0</v>
      </c>
      <c r="E317" s="48">
        <v>0</v>
      </c>
      <c r="F317" s="48">
        <v>15.68717523168025</v>
      </c>
      <c r="G317" s="48">
        <v>1</v>
      </c>
      <c r="H317" s="118" t="s">
        <v>289</v>
      </c>
      <c r="I317" s="25"/>
      <c r="J317" s="25"/>
      <c r="K317" s="25"/>
      <c r="L317" s="25"/>
    </row>
    <row r="318" spans="2:12" ht="24" x14ac:dyDescent="0.25">
      <c r="B318" s="37" t="s">
        <v>290</v>
      </c>
      <c r="C318" s="83">
        <v>0</v>
      </c>
      <c r="D318" s="48">
        <v>34.352172496597476</v>
      </c>
      <c r="E318" s="48">
        <v>0</v>
      </c>
      <c r="F318" s="48">
        <v>17.17608624829872</v>
      </c>
      <c r="G318" s="48">
        <v>1</v>
      </c>
      <c r="H318" s="86"/>
      <c r="I318" s="25"/>
      <c r="J318" s="25"/>
      <c r="K318" s="25"/>
      <c r="L318" s="25"/>
    </row>
    <row r="319" spans="2:12" ht="24" x14ac:dyDescent="0.25">
      <c r="B319" s="37" t="s">
        <v>291</v>
      </c>
      <c r="C319" s="83">
        <v>0</v>
      </c>
      <c r="D319" s="48">
        <v>0</v>
      </c>
      <c r="E319" s="48">
        <v>34.352172496597625</v>
      </c>
      <c r="F319" s="48">
        <v>17.176086248298773</v>
      </c>
      <c r="G319" s="48">
        <v>1</v>
      </c>
      <c r="H319" s="86"/>
      <c r="I319" s="25"/>
      <c r="J319" s="25"/>
      <c r="K319" s="25"/>
      <c r="L319" s="25"/>
    </row>
    <row r="320" spans="2:12" ht="48" x14ac:dyDescent="0.25">
      <c r="B320" s="37" t="s">
        <v>292</v>
      </c>
      <c r="C320" s="83">
        <v>0</v>
      </c>
      <c r="D320" s="48">
        <v>0</v>
      </c>
      <c r="E320" s="48">
        <v>0</v>
      </c>
      <c r="F320" s="48">
        <v>17.176086248298784</v>
      </c>
      <c r="G320" s="48">
        <v>1</v>
      </c>
      <c r="H320" s="86"/>
      <c r="I320" s="25"/>
      <c r="J320" s="25"/>
      <c r="K320" s="25"/>
      <c r="L320" s="25"/>
    </row>
    <row r="321" spans="2:12" ht="16.5" thickBot="1" x14ac:dyDescent="0.3">
      <c r="B321" s="38" t="s">
        <v>287</v>
      </c>
      <c r="C321" s="94">
        <v>0</v>
      </c>
      <c r="D321" s="114">
        <v>0</v>
      </c>
      <c r="E321" s="114">
        <v>0</v>
      </c>
      <c r="F321" s="114">
        <v>0</v>
      </c>
      <c r="G321" s="114">
        <v>1</v>
      </c>
      <c r="H321" s="97"/>
      <c r="I321" s="25"/>
      <c r="J321" s="25"/>
      <c r="K321" s="25"/>
      <c r="L321" s="25"/>
    </row>
    <row r="322" spans="2:12" x14ac:dyDescent="0.25">
      <c r="B322" s="25"/>
      <c r="C322" s="25"/>
      <c r="D322" s="25"/>
      <c r="E322" s="25"/>
      <c r="F322" s="25"/>
      <c r="G322" s="25"/>
      <c r="H322" s="25"/>
      <c r="I322" s="25"/>
      <c r="J322" s="25"/>
      <c r="K322" s="25"/>
      <c r="L322" s="25"/>
    </row>
    <row r="323" spans="2:12" x14ac:dyDescent="0.25">
      <c r="B323" s="25"/>
      <c r="C323" s="25"/>
      <c r="D323" s="25"/>
      <c r="E323" s="25"/>
      <c r="F323" s="25"/>
      <c r="G323" s="25"/>
      <c r="H323" s="25"/>
      <c r="I323" s="25"/>
      <c r="J323" s="25"/>
      <c r="K323" s="25"/>
      <c r="L323" s="25"/>
    </row>
    <row r="324" spans="2:12" x14ac:dyDescent="0.25">
      <c r="B324" s="25"/>
      <c r="C324" s="25"/>
      <c r="D324" s="25"/>
      <c r="E324" s="25"/>
      <c r="F324" s="25"/>
      <c r="G324" s="25"/>
      <c r="H324" s="25"/>
      <c r="I324" s="25"/>
      <c r="J324" s="25"/>
      <c r="K324" s="25"/>
      <c r="L324" s="25"/>
    </row>
    <row r="325" spans="2:12" x14ac:dyDescent="0.25">
      <c r="B325" s="25"/>
      <c r="C325" s="25"/>
      <c r="D325" s="25"/>
      <c r="E325" s="25"/>
      <c r="F325" s="25"/>
      <c r="G325" s="25"/>
      <c r="H325" s="25"/>
      <c r="I325" s="25"/>
      <c r="J325" s="25"/>
      <c r="K325" s="25"/>
      <c r="L325" s="25"/>
    </row>
    <row r="326" spans="2:12" x14ac:dyDescent="0.25">
      <c r="B326" s="26" t="s">
        <v>304</v>
      </c>
      <c r="C326" s="25"/>
      <c r="D326" s="25"/>
      <c r="E326" s="25"/>
      <c r="F326" s="25"/>
      <c r="G326" s="25"/>
      <c r="H326" s="25"/>
      <c r="I326" s="25"/>
      <c r="J326" s="25"/>
      <c r="K326" s="25"/>
      <c r="L326" s="25"/>
    </row>
    <row r="327" spans="2:12" x14ac:dyDescent="0.25">
      <c r="B327" s="26" t="s">
        <v>266</v>
      </c>
      <c r="C327" s="25"/>
      <c r="D327" s="25"/>
      <c r="E327" s="25"/>
      <c r="F327" s="25"/>
      <c r="G327" s="25"/>
      <c r="H327" s="25"/>
      <c r="I327" s="25"/>
      <c r="J327" s="25"/>
      <c r="K327" s="25"/>
      <c r="L327" s="25"/>
    </row>
    <row r="328" spans="2:12" x14ac:dyDescent="0.25">
      <c r="B328" s="26" t="s">
        <v>260</v>
      </c>
      <c r="C328" s="25"/>
      <c r="D328" s="25"/>
      <c r="E328" s="25"/>
      <c r="F328" s="25"/>
      <c r="G328" s="25"/>
      <c r="H328" s="25"/>
      <c r="I328" s="25"/>
      <c r="J328" s="25"/>
      <c r="K328" s="25"/>
      <c r="L328" s="25"/>
    </row>
    <row r="329" spans="2:12" x14ac:dyDescent="0.25">
      <c r="B329" s="26" t="s">
        <v>261</v>
      </c>
      <c r="C329" s="25"/>
      <c r="D329" s="25"/>
      <c r="E329" s="25"/>
      <c r="F329" s="25"/>
      <c r="G329" s="25"/>
      <c r="H329" s="25"/>
      <c r="I329" s="25"/>
      <c r="J329" s="25"/>
      <c r="K329" s="25"/>
      <c r="L329" s="25"/>
    </row>
    <row r="330" spans="2:12" x14ac:dyDescent="0.25">
      <c r="B330" s="26" t="s">
        <v>262</v>
      </c>
      <c r="C330" s="25"/>
      <c r="D330" s="25"/>
      <c r="E330" s="25"/>
      <c r="F330" s="25"/>
      <c r="G330" s="25"/>
      <c r="H330" s="25"/>
      <c r="I330" s="25"/>
      <c r="J330" s="25"/>
      <c r="K330" s="25"/>
      <c r="L330" s="25"/>
    </row>
    <row r="331" spans="2:12" x14ac:dyDescent="0.25">
      <c r="B331" s="26" t="s">
        <v>263</v>
      </c>
      <c r="C331" s="25"/>
      <c r="D331" s="25"/>
      <c r="E331" s="25"/>
      <c r="F331" s="25"/>
      <c r="G331" s="25"/>
      <c r="H331" s="25"/>
      <c r="I331" s="25"/>
      <c r="J331" s="25"/>
      <c r="K331" s="25"/>
      <c r="L331" s="25"/>
    </row>
    <row r="332" spans="2:12" x14ac:dyDescent="0.25">
      <c r="B332" s="26" t="s">
        <v>267</v>
      </c>
      <c r="C332" s="25"/>
      <c r="D332" s="25"/>
      <c r="E332" s="25"/>
      <c r="F332" s="25"/>
      <c r="G332" s="25"/>
      <c r="H332" s="25"/>
      <c r="I332" s="25"/>
      <c r="J332" s="25"/>
      <c r="K332" s="25"/>
      <c r="L332" s="25"/>
    </row>
    <row r="333" spans="2:12" x14ac:dyDescent="0.25">
      <c r="B333" s="25"/>
      <c r="C333" s="25"/>
      <c r="D333" s="25"/>
      <c r="E333" s="25"/>
      <c r="F333" s="25"/>
      <c r="G333" s="25"/>
      <c r="H333" s="25"/>
      <c r="I333" s="25"/>
      <c r="J333" s="25"/>
      <c r="K333" s="25"/>
      <c r="L333" s="25"/>
    </row>
    <row r="334" spans="2:12" x14ac:dyDescent="0.25">
      <c r="B334" s="25"/>
      <c r="C334" s="25"/>
      <c r="D334" s="25"/>
      <c r="E334" s="25"/>
      <c r="F334" s="25"/>
      <c r="G334" s="25"/>
      <c r="H334" s="25"/>
      <c r="I334" s="25"/>
      <c r="J334" s="25"/>
      <c r="K334" s="25"/>
      <c r="L334" s="25"/>
    </row>
    <row r="335" spans="2:12" ht="16.5" x14ac:dyDescent="0.25">
      <c r="B335" s="27" t="s">
        <v>268</v>
      </c>
      <c r="C335" s="25"/>
      <c r="D335" s="25"/>
      <c r="E335" s="25"/>
      <c r="F335" s="25"/>
      <c r="G335" s="25"/>
      <c r="H335" s="25"/>
      <c r="I335" s="25"/>
      <c r="J335" s="25"/>
      <c r="K335" s="25"/>
      <c r="L335" s="25"/>
    </row>
    <row r="336" spans="2:12" x14ac:dyDescent="0.25">
      <c r="B336" s="25"/>
      <c r="C336" s="25"/>
      <c r="D336" s="25"/>
      <c r="E336" s="25"/>
      <c r="F336" s="25"/>
      <c r="G336" s="25"/>
      <c r="H336" s="25"/>
      <c r="I336" s="25"/>
      <c r="J336" s="25"/>
      <c r="K336" s="25"/>
      <c r="L336" s="25"/>
    </row>
    <row r="337" spans="2:12" ht="16.5" thickBot="1" x14ac:dyDescent="0.3">
      <c r="B337" s="129" t="s">
        <v>15</v>
      </c>
      <c r="C337" s="130"/>
      <c r="D337" s="130"/>
      <c r="E337" s="25"/>
      <c r="F337" s="25"/>
      <c r="G337" s="25"/>
      <c r="H337" s="25"/>
      <c r="I337" s="25"/>
      <c r="J337" s="25"/>
      <c r="K337" s="25"/>
      <c r="L337" s="25"/>
    </row>
    <row r="338" spans="2:12" x14ac:dyDescent="0.25">
      <c r="B338" s="131" t="s">
        <v>189</v>
      </c>
      <c r="C338" s="132"/>
      <c r="D338" s="28" t="s">
        <v>305</v>
      </c>
      <c r="E338" s="25"/>
      <c r="F338" s="25"/>
      <c r="G338" s="25"/>
      <c r="H338" s="25"/>
      <c r="I338" s="25"/>
      <c r="J338" s="25"/>
      <c r="K338" s="25"/>
      <c r="L338" s="25"/>
    </row>
    <row r="339" spans="2:12" x14ac:dyDescent="0.25">
      <c r="B339" s="133" t="s">
        <v>191</v>
      </c>
      <c r="C339" s="134"/>
      <c r="D339" s="29" t="s">
        <v>192</v>
      </c>
      <c r="E339" s="25"/>
      <c r="F339" s="25"/>
      <c r="G339" s="25"/>
      <c r="H339" s="25"/>
      <c r="I339" s="25"/>
      <c r="J339" s="25"/>
      <c r="K339" s="25"/>
      <c r="L339" s="25"/>
    </row>
    <row r="340" spans="2:12" ht="96" x14ac:dyDescent="0.25">
      <c r="B340" s="135" t="s">
        <v>193</v>
      </c>
      <c r="C340" s="30" t="s">
        <v>270</v>
      </c>
      <c r="D340" s="29" t="s">
        <v>271</v>
      </c>
      <c r="E340" s="25"/>
      <c r="F340" s="25"/>
      <c r="G340" s="25"/>
      <c r="H340" s="25"/>
      <c r="I340" s="25"/>
      <c r="J340" s="25"/>
      <c r="K340" s="25"/>
      <c r="L340" s="25"/>
    </row>
    <row r="341" spans="2:12" ht="24" x14ac:dyDescent="0.25">
      <c r="B341" s="136"/>
      <c r="C341" s="30" t="s">
        <v>194</v>
      </c>
      <c r="D341" s="29" t="s">
        <v>195</v>
      </c>
      <c r="E341" s="25"/>
      <c r="F341" s="25"/>
      <c r="G341" s="25"/>
      <c r="H341" s="25"/>
      <c r="I341" s="25"/>
      <c r="J341" s="25"/>
      <c r="K341" s="25"/>
      <c r="L341" s="25"/>
    </row>
    <row r="342" spans="2:12" ht="24" x14ac:dyDescent="0.25">
      <c r="B342" s="136"/>
      <c r="C342" s="30" t="s">
        <v>196</v>
      </c>
      <c r="D342" s="29" t="s">
        <v>272</v>
      </c>
      <c r="E342" s="25"/>
      <c r="F342" s="25"/>
      <c r="G342" s="25"/>
      <c r="H342" s="25"/>
      <c r="I342" s="25"/>
      <c r="J342" s="25"/>
      <c r="K342" s="25"/>
      <c r="L342" s="25"/>
    </row>
    <row r="343" spans="2:12" x14ac:dyDescent="0.25">
      <c r="B343" s="136"/>
      <c r="C343" s="30" t="s">
        <v>198</v>
      </c>
      <c r="D343" s="29" t="s">
        <v>197</v>
      </c>
      <c r="E343" s="25"/>
      <c r="F343" s="25"/>
      <c r="G343" s="25"/>
      <c r="H343" s="25"/>
      <c r="I343" s="25"/>
      <c r="J343" s="25"/>
      <c r="K343" s="25"/>
      <c r="L343" s="25"/>
    </row>
    <row r="344" spans="2:12" x14ac:dyDescent="0.25">
      <c r="B344" s="136"/>
      <c r="C344" s="30" t="s">
        <v>199</v>
      </c>
      <c r="D344" s="29" t="s">
        <v>197</v>
      </c>
      <c r="E344" s="25"/>
      <c r="F344" s="25"/>
      <c r="G344" s="25"/>
      <c r="H344" s="25"/>
      <c r="I344" s="25"/>
      <c r="J344" s="25"/>
      <c r="K344" s="25"/>
      <c r="L344" s="25"/>
    </row>
    <row r="345" spans="2:12" ht="36" x14ac:dyDescent="0.25">
      <c r="B345" s="136"/>
      <c r="C345" s="30" t="s">
        <v>200</v>
      </c>
      <c r="D345" s="31">
        <v>336</v>
      </c>
      <c r="E345" s="25"/>
      <c r="F345" s="25"/>
      <c r="G345" s="25"/>
      <c r="H345" s="25"/>
      <c r="I345" s="25"/>
      <c r="J345" s="25"/>
      <c r="K345" s="25"/>
      <c r="L345" s="25"/>
    </row>
    <row r="346" spans="2:12" ht="36" x14ac:dyDescent="0.25">
      <c r="B346" s="135" t="s">
        <v>201</v>
      </c>
      <c r="C346" s="30" t="s">
        <v>202</v>
      </c>
      <c r="D346" s="29" t="s">
        <v>203</v>
      </c>
      <c r="E346" s="25"/>
      <c r="F346" s="25"/>
      <c r="G346" s="25"/>
      <c r="H346" s="25"/>
      <c r="I346" s="25"/>
      <c r="J346" s="25"/>
      <c r="K346" s="25"/>
      <c r="L346" s="25"/>
    </row>
    <row r="347" spans="2:12" ht="48" x14ac:dyDescent="0.25">
      <c r="B347" s="136"/>
      <c r="C347" s="30" t="s">
        <v>204</v>
      </c>
      <c r="D347" s="29" t="s">
        <v>273</v>
      </c>
      <c r="E347" s="25"/>
      <c r="F347" s="25"/>
      <c r="G347" s="25"/>
      <c r="H347" s="25"/>
      <c r="I347" s="25"/>
      <c r="J347" s="25"/>
      <c r="K347" s="25"/>
      <c r="L347" s="25"/>
    </row>
    <row r="348" spans="2:12" ht="324" x14ac:dyDescent="0.25">
      <c r="B348" s="133" t="s">
        <v>206</v>
      </c>
      <c r="C348" s="134"/>
      <c r="D348" s="29" t="s">
        <v>306</v>
      </c>
      <c r="E348" s="25"/>
      <c r="F348" s="25"/>
      <c r="G348" s="25"/>
      <c r="H348" s="25"/>
      <c r="I348" s="25"/>
      <c r="J348" s="25"/>
      <c r="K348" s="25"/>
      <c r="L348" s="25"/>
    </row>
    <row r="349" spans="2:12" ht="24.75" thickBot="1" x14ac:dyDescent="0.3">
      <c r="B349" s="148" t="s">
        <v>208</v>
      </c>
      <c r="C349" s="30" t="s">
        <v>209</v>
      </c>
      <c r="D349" s="32" t="s">
        <v>307</v>
      </c>
      <c r="E349" s="25"/>
      <c r="F349" s="25"/>
      <c r="G349" s="25"/>
      <c r="H349" s="25"/>
      <c r="I349" s="25"/>
      <c r="J349" s="25"/>
      <c r="K349" s="25"/>
      <c r="L349" s="25"/>
    </row>
    <row r="350" spans="2:12" ht="24.75" thickBot="1" x14ac:dyDescent="0.3">
      <c r="B350" s="143"/>
      <c r="C350" s="33" t="s">
        <v>211</v>
      </c>
      <c r="D350" s="34" t="s">
        <v>307</v>
      </c>
      <c r="E350" s="25"/>
      <c r="F350" s="25"/>
      <c r="G350" s="25"/>
      <c r="H350" s="25"/>
      <c r="I350" s="25"/>
      <c r="J350" s="25"/>
      <c r="K350" s="25"/>
      <c r="L350" s="25"/>
    </row>
    <row r="351" spans="2:12" x14ac:dyDescent="0.25">
      <c r="B351" s="25"/>
      <c r="C351" s="25"/>
      <c r="D351" s="25"/>
      <c r="E351" s="25"/>
      <c r="F351" s="25"/>
      <c r="G351" s="25"/>
      <c r="H351" s="25"/>
      <c r="I351" s="25"/>
      <c r="J351" s="25"/>
      <c r="K351" s="25"/>
      <c r="L351" s="25"/>
    </row>
    <row r="352" spans="2:12" x14ac:dyDescent="0.25">
      <c r="B352" s="25"/>
      <c r="C352" s="25"/>
      <c r="D352" s="25"/>
      <c r="E352" s="25"/>
      <c r="F352" s="25"/>
      <c r="G352" s="25"/>
      <c r="H352" s="25"/>
      <c r="I352" s="25"/>
      <c r="J352" s="25"/>
      <c r="K352" s="25"/>
      <c r="L352" s="25"/>
    </row>
    <row r="353" spans="2:12" x14ac:dyDescent="0.25">
      <c r="B353" s="26" t="s">
        <v>277</v>
      </c>
      <c r="C353" s="25"/>
      <c r="D353" s="25"/>
      <c r="E353" s="25"/>
      <c r="F353" s="25"/>
      <c r="G353" s="25"/>
      <c r="H353" s="25"/>
      <c r="I353" s="25"/>
      <c r="J353" s="25"/>
      <c r="K353" s="25"/>
      <c r="L353" s="25"/>
    </row>
    <row r="354" spans="2:12" x14ac:dyDescent="0.25">
      <c r="B354" s="25"/>
      <c r="C354" s="25"/>
      <c r="D354" s="25"/>
      <c r="E354" s="25"/>
      <c r="F354" s="25"/>
      <c r="G354" s="25"/>
      <c r="H354" s="25"/>
      <c r="I354" s="25"/>
      <c r="J354" s="25"/>
      <c r="K354" s="25"/>
      <c r="L354" s="25"/>
    </row>
    <row r="355" spans="2:12" ht="16.5" thickBot="1" x14ac:dyDescent="0.3">
      <c r="B355" s="144" t="s">
        <v>278</v>
      </c>
      <c r="C355" s="145"/>
      <c r="D355" s="145"/>
      <c r="E355" s="25"/>
      <c r="F355" s="25"/>
      <c r="G355" s="25"/>
      <c r="H355" s="25"/>
      <c r="I355" s="25"/>
      <c r="J355" s="25"/>
      <c r="K355" s="25"/>
      <c r="L355" s="25"/>
    </row>
    <row r="356" spans="2:12" ht="16.5" thickBot="1" x14ac:dyDescent="0.3">
      <c r="B356" s="146" t="s">
        <v>192</v>
      </c>
      <c r="C356" s="147"/>
      <c r="D356" s="101" t="s">
        <v>223</v>
      </c>
      <c r="E356" s="25"/>
      <c r="F356" s="25"/>
      <c r="G356" s="25"/>
      <c r="H356" s="25"/>
      <c r="I356" s="25"/>
      <c r="J356" s="25"/>
      <c r="K356" s="25"/>
      <c r="L356" s="25"/>
    </row>
    <row r="357" spans="2:12" x14ac:dyDescent="0.25">
      <c r="B357" s="159" t="s">
        <v>0</v>
      </c>
      <c r="C357" s="41" t="s">
        <v>232</v>
      </c>
      <c r="D357" s="102">
        <v>140</v>
      </c>
      <c r="E357" s="25"/>
      <c r="F357" s="25"/>
      <c r="G357" s="25"/>
      <c r="H357" s="25"/>
      <c r="I357" s="25"/>
      <c r="J357" s="25"/>
      <c r="K357" s="25"/>
      <c r="L357" s="25"/>
    </row>
    <row r="358" spans="2:12" x14ac:dyDescent="0.25">
      <c r="B358" s="136"/>
      <c r="C358" s="30" t="s">
        <v>215</v>
      </c>
      <c r="D358" s="31">
        <v>196</v>
      </c>
      <c r="E358" s="25"/>
      <c r="F358" s="25"/>
      <c r="G358" s="25"/>
      <c r="H358" s="25"/>
      <c r="I358" s="25"/>
      <c r="J358" s="25"/>
      <c r="K358" s="25"/>
      <c r="L358" s="25"/>
    </row>
    <row r="359" spans="2:12" x14ac:dyDescent="0.25">
      <c r="B359" s="135" t="s">
        <v>1</v>
      </c>
      <c r="C359" s="30" t="s">
        <v>232</v>
      </c>
      <c r="D359" s="31">
        <v>130</v>
      </c>
      <c r="E359" s="25"/>
      <c r="F359" s="25"/>
      <c r="G359" s="25"/>
      <c r="H359" s="25"/>
      <c r="I359" s="25"/>
      <c r="J359" s="25"/>
      <c r="K359" s="25"/>
      <c r="L359" s="25"/>
    </row>
    <row r="360" spans="2:12" x14ac:dyDescent="0.25">
      <c r="B360" s="136"/>
      <c r="C360" s="30" t="s">
        <v>215</v>
      </c>
      <c r="D360" s="31">
        <v>206</v>
      </c>
      <c r="E360" s="25"/>
      <c r="F360" s="25"/>
      <c r="G360" s="25"/>
      <c r="H360" s="25"/>
      <c r="I360" s="25"/>
      <c r="J360" s="25"/>
      <c r="K360" s="25"/>
      <c r="L360" s="25"/>
    </row>
    <row r="361" spans="2:12" ht="16.5" thickBot="1" x14ac:dyDescent="0.3">
      <c r="B361" s="148" t="s">
        <v>32</v>
      </c>
      <c r="C361" s="30" t="s">
        <v>50</v>
      </c>
      <c r="D361" s="31">
        <v>77</v>
      </c>
      <c r="E361" s="25"/>
      <c r="F361" s="25"/>
      <c r="G361" s="25"/>
      <c r="H361" s="25"/>
      <c r="I361" s="25"/>
      <c r="J361" s="25"/>
      <c r="K361" s="25"/>
      <c r="L361" s="25"/>
    </row>
    <row r="362" spans="2:12" x14ac:dyDescent="0.25">
      <c r="B362" s="136"/>
      <c r="C362" s="30" t="s">
        <v>16</v>
      </c>
      <c r="D362" s="31">
        <v>116</v>
      </c>
      <c r="E362" s="25"/>
      <c r="F362" s="25"/>
      <c r="G362" s="25"/>
      <c r="H362" s="25"/>
      <c r="I362" s="25"/>
      <c r="J362" s="25"/>
      <c r="K362" s="25"/>
      <c r="L362" s="25"/>
    </row>
    <row r="363" spans="2:12" x14ac:dyDescent="0.25">
      <c r="B363" s="136"/>
      <c r="C363" s="30" t="s">
        <v>126</v>
      </c>
      <c r="D363" s="31">
        <v>47</v>
      </c>
      <c r="E363" s="25"/>
      <c r="F363" s="25"/>
      <c r="G363" s="25"/>
      <c r="H363" s="25"/>
      <c r="I363" s="25"/>
      <c r="J363" s="25"/>
      <c r="K363" s="25"/>
      <c r="L363" s="25"/>
    </row>
    <row r="364" spans="2:12" ht="16.5" thickBot="1" x14ac:dyDescent="0.3">
      <c r="B364" s="143"/>
      <c r="C364" s="33" t="s">
        <v>130</v>
      </c>
      <c r="D364" s="103">
        <v>96</v>
      </c>
      <c r="E364" s="25"/>
      <c r="F364" s="25"/>
      <c r="G364" s="25"/>
      <c r="H364" s="25"/>
      <c r="I364" s="25"/>
      <c r="J364" s="25"/>
      <c r="K364" s="25"/>
      <c r="L364" s="25"/>
    </row>
    <row r="365" spans="2:12" x14ac:dyDescent="0.25">
      <c r="B365" s="25"/>
      <c r="C365" s="25"/>
      <c r="D365" s="25"/>
      <c r="E365" s="25"/>
      <c r="F365" s="25"/>
      <c r="G365" s="25"/>
      <c r="H365" s="25"/>
      <c r="I365" s="25"/>
      <c r="J365" s="25"/>
      <c r="K365" s="25"/>
      <c r="L365" s="25"/>
    </row>
    <row r="366" spans="2:12" x14ac:dyDescent="0.25">
      <c r="B366" s="144" t="s">
        <v>279</v>
      </c>
      <c r="C366" s="145"/>
      <c r="D366" s="145"/>
      <c r="E366" s="145"/>
      <c r="F366" s="145"/>
      <c r="G366" s="145"/>
      <c r="H366" s="25"/>
      <c r="I366" s="25"/>
      <c r="J366" s="25"/>
      <c r="K366" s="25"/>
      <c r="L366" s="25"/>
    </row>
    <row r="367" spans="2:12" ht="16.5" thickBot="1" x14ac:dyDescent="0.3">
      <c r="B367" s="160" t="s">
        <v>308</v>
      </c>
      <c r="C367" s="145"/>
      <c r="D367" s="145"/>
      <c r="E367" s="145"/>
      <c r="F367" s="145"/>
      <c r="G367" s="145"/>
      <c r="H367" s="25"/>
      <c r="I367" s="25"/>
      <c r="J367" s="25"/>
      <c r="K367" s="25"/>
      <c r="L367" s="25"/>
    </row>
    <row r="368" spans="2:12" ht="16.5" thickBot="1" x14ac:dyDescent="0.3">
      <c r="B368" s="104" t="s">
        <v>0</v>
      </c>
      <c r="C368" s="105" t="s">
        <v>1</v>
      </c>
      <c r="D368" s="106" t="s">
        <v>32</v>
      </c>
      <c r="E368" s="77" t="s">
        <v>224</v>
      </c>
      <c r="F368" s="78" t="s">
        <v>225</v>
      </c>
      <c r="G368" s="79" t="s">
        <v>223</v>
      </c>
      <c r="H368" s="25"/>
      <c r="I368" s="25"/>
      <c r="J368" s="25"/>
      <c r="K368" s="25"/>
      <c r="L368" s="25"/>
    </row>
    <row r="369" spans="2:12" x14ac:dyDescent="0.25">
      <c r="B369" s="139" t="s">
        <v>232</v>
      </c>
      <c r="C369" s="156" t="s">
        <v>232</v>
      </c>
      <c r="D369" s="41" t="s">
        <v>50</v>
      </c>
      <c r="E369" s="80">
        <v>6.5</v>
      </c>
      <c r="F369" s="44">
        <v>3.1167748898959182</v>
      </c>
      <c r="G369" s="107">
        <v>8</v>
      </c>
      <c r="H369" s="25"/>
      <c r="I369" s="25"/>
      <c r="J369" s="25"/>
      <c r="K369" s="25"/>
      <c r="L369" s="25"/>
    </row>
    <row r="370" spans="2:12" x14ac:dyDescent="0.25">
      <c r="B370" s="136"/>
      <c r="C370" s="145"/>
      <c r="D370" s="30" t="s">
        <v>16</v>
      </c>
      <c r="E370" s="83">
        <v>7.3333333333333313</v>
      </c>
      <c r="F370" s="49">
        <v>2.8901455285972335</v>
      </c>
      <c r="G370" s="108">
        <v>18</v>
      </c>
      <c r="H370" s="25"/>
      <c r="I370" s="25"/>
      <c r="J370" s="25"/>
      <c r="K370" s="25"/>
      <c r="L370" s="25"/>
    </row>
    <row r="371" spans="2:12" x14ac:dyDescent="0.25">
      <c r="B371" s="136"/>
      <c r="C371" s="145"/>
      <c r="D371" s="30" t="s">
        <v>126</v>
      </c>
      <c r="E371" s="83">
        <v>6.9285714285714279</v>
      </c>
      <c r="F371" s="49">
        <v>1.69382632493642</v>
      </c>
      <c r="G371" s="108">
        <v>7</v>
      </c>
      <c r="H371" s="25"/>
      <c r="I371" s="25"/>
      <c r="J371" s="25"/>
      <c r="K371" s="25"/>
      <c r="L371" s="25"/>
    </row>
    <row r="372" spans="2:12" x14ac:dyDescent="0.25">
      <c r="B372" s="136"/>
      <c r="C372" s="145"/>
      <c r="D372" s="30" t="s">
        <v>130</v>
      </c>
      <c r="E372" s="83">
        <v>13.565217391304348</v>
      </c>
      <c r="F372" s="49">
        <v>6.7861897660986443</v>
      </c>
      <c r="G372" s="108">
        <v>23</v>
      </c>
      <c r="H372" s="25"/>
      <c r="I372" s="25"/>
      <c r="J372" s="25"/>
      <c r="K372" s="25"/>
      <c r="L372" s="25"/>
    </row>
    <row r="373" spans="2:12" x14ac:dyDescent="0.25">
      <c r="B373" s="136"/>
      <c r="C373" s="157"/>
      <c r="D373" s="52" t="s">
        <v>233</v>
      </c>
      <c r="E373" s="87">
        <v>9.7232142857142829</v>
      </c>
      <c r="F373" s="55">
        <v>5.7531964576676407</v>
      </c>
      <c r="G373" s="109">
        <v>56</v>
      </c>
      <c r="H373" s="25"/>
      <c r="I373" s="25"/>
      <c r="J373" s="25"/>
      <c r="K373" s="25"/>
      <c r="L373" s="25"/>
    </row>
    <row r="374" spans="2:12" x14ac:dyDescent="0.25">
      <c r="B374" s="136"/>
      <c r="C374" s="158" t="s">
        <v>215</v>
      </c>
      <c r="D374" s="58" t="s">
        <v>50</v>
      </c>
      <c r="E374" s="91">
        <v>8.2999999999999989</v>
      </c>
      <c r="F374" s="61">
        <v>2.7100635498903789</v>
      </c>
      <c r="G374" s="110">
        <v>10</v>
      </c>
      <c r="H374" s="25"/>
      <c r="I374" s="25"/>
      <c r="J374" s="25"/>
      <c r="K374" s="25"/>
      <c r="L374" s="25"/>
    </row>
    <row r="375" spans="2:12" x14ac:dyDescent="0.25">
      <c r="B375" s="136"/>
      <c r="C375" s="145"/>
      <c r="D375" s="30" t="s">
        <v>16</v>
      </c>
      <c r="E375" s="83">
        <v>13</v>
      </c>
      <c r="F375" s="49">
        <v>4.3874821936960604</v>
      </c>
      <c r="G375" s="108">
        <v>41</v>
      </c>
      <c r="H375" s="25"/>
      <c r="I375" s="25"/>
      <c r="J375" s="25"/>
      <c r="K375" s="25"/>
      <c r="L375" s="25"/>
    </row>
    <row r="376" spans="2:12" x14ac:dyDescent="0.25">
      <c r="B376" s="136"/>
      <c r="C376" s="145"/>
      <c r="D376" s="30" t="s">
        <v>126</v>
      </c>
      <c r="E376" s="83">
        <v>8.7083333333333339</v>
      </c>
      <c r="F376" s="49">
        <v>4.1803562991542709</v>
      </c>
      <c r="G376" s="108">
        <v>12</v>
      </c>
      <c r="H376" s="25"/>
      <c r="I376" s="25"/>
      <c r="J376" s="25"/>
      <c r="K376" s="25"/>
      <c r="L376" s="25"/>
    </row>
    <row r="377" spans="2:12" x14ac:dyDescent="0.25">
      <c r="B377" s="136"/>
      <c r="C377" s="145"/>
      <c r="D377" s="30" t="s">
        <v>130</v>
      </c>
      <c r="E377" s="83">
        <v>11.738095238095239</v>
      </c>
      <c r="F377" s="49">
        <v>4.0516016821099523</v>
      </c>
      <c r="G377" s="108">
        <v>21</v>
      </c>
      <c r="H377" s="25"/>
      <c r="I377" s="25"/>
      <c r="J377" s="25"/>
      <c r="K377" s="25"/>
      <c r="L377" s="25"/>
    </row>
    <row r="378" spans="2:12" x14ac:dyDescent="0.25">
      <c r="B378" s="136"/>
      <c r="C378" s="157"/>
      <c r="D378" s="52" t="s">
        <v>233</v>
      </c>
      <c r="E378" s="87">
        <v>11.511904761904763</v>
      </c>
      <c r="F378" s="55">
        <v>4.4532215159745308</v>
      </c>
      <c r="G378" s="109">
        <v>84</v>
      </c>
      <c r="H378" s="25"/>
      <c r="I378" s="25"/>
      <c r="J378" s="25"/>
      <c r="K378" s="25"/>
      <c r="L378" s="25"/>
    </row>
    <row r="379" spans="2:12" x14ac:dyDescent="0.25">
      <c r="B379" s="136"/>
      <c r="C379" s="158" t="s">
        <v>233</v>
      </c>
      <c r="D379" s="58" t="s">
        <v>50</v>
      </c>
      <c r="E379" s="91">
        <v>7.5</v>
      </c>
      <c r="F379" s="61">
        <v>2.9555530984313338</v>
      </c>
      <c r="G379" s="110">
        <v>18</v>
      </c>
      <c r="H379" s="25"/>
      <c r="I379" s="25"/>
      <c r="J379" s="25"/>
      <c r="K379" s="25"/>
      <c r="L379" s="25"/>
    </row>
    <row r="380" spans="2:12" x14ac:dyDescent="0.25">
      <c r="B380" s="136"/>
      <c r="C380" s="145"/>
      <c r="D380" s="30" t="s">
        <v>16</v>
      </c>
      <c r="E380" s="83">
        <v>11.271186440677967</v>
      </c>
      <c r="F380" s="49">
        <v>4.7591310003438299</v>
      </c>
      <c r="G380" s="108">
        <v>59</v>
      </c>
      <c r="H380" s="25"/>
      <c r="I380" s="25"/>
      <c r="J380" s="25"/>
      <c r="K380" s="25"/>
      <c r="L380" s="25"/>
    </row>
    <row r="381" spans="2:12" x14ac:dyDescent="0.25">
      <c r="B381" s="136"/>
      <c r="C381" s="145"/>
      <c r="D381" s="30" t="s">
        <v>126</v>
      </c>
      <c r="E381" s="83">
        <v>8.0526315789473699</v>
      </c>
      <c r="F381" s="49">
        <v>3.5233141628385165</v>
      </c>
      <c r="G381" s="108">
        <v>19</v>
      </c>
      <c r="H381" s="25"/>
      <c r="I381" s="25"/>
      <c r="J381" s="25"/>
      <c r="K381" s="25"/>
      <c r="L381" s="25"/>
    </row>
    <row r="382" spans="2:12" x14ac:dyDescent="0.25">
      <c r="B382" s="136"/>
      <c r="C382" s="145"/>
      <c r="D382" s="30" t="s">
        <v>130</v>
      </c>
      <c r="E382" s="83">
        <v>12.69318181818182</v>
      </c>
      <c r="F382" s="49">
        <v>5.6611855824316075</v>
      </c>
      <c r="G382" s="108">
        <v>44</v>
      </c>
      <c r="H382" s="25"/>
      <c r="I382" s="25"/>
      <c r="J382" s="25"/>
      <c r="K382" s="25"/>
      <c r="L382" s="25"/>
    </row>
    <row r="383" spans="2:12" x14ac:dyDescent="0.25">
      <c r="B383" s="140"/>
      <c r="C383" s="157"/>
      <c r="D383" s="52" t="s">
        <v>233</v>
      </c>
      <c r="E383" s="87">
        <v>10.796428571428571</v>
      </c>
      <c r="F383" s="55">
        <v>5.0706861130158476</v>
      </c>
      <c r="G383" s="109">
        <v>140</v>
      </c>
      <c r="H383" s="25"/>
      <c r="I383" s="25"/>
      <c r="J383" s="25"/>
      <c r="K383" s="25"/>
      <c r="L383" s="25"/>
    </row>
    <row r="384" spans="2:12" x14ac:dyDescent="0.25">
      <c r="B384" s="141" t="s">
        <v>215</v>
      </c>
      <c r="C384" s="158" t="s">
        <v>232</v>
      </c>
      <c r="D384" s="58" t="s">
        <v>50</v>
      </c>
      <c r="E384" s="91">
        <v>7.481481481481481</v>
      </c>
      <c r="F384" s="61">
        <v>2.9005353666358586</v>
      </c>
      <c r="G384" s="110">
        <v>27</v>
      </c>
      <c r="H384" s="25"/>
      <c r="I384" s="25"/>
      <c r="J384" s="25"/>
      <c r="K384" s="25"/>
      <c r="L384" s="25"/>
    </row>
    <row r="385" spans="2:12" x14ac:dyDescent="0.25">
      <c r="B385" s="136"/>
      <c r="C385" s="145"/>
      <c r="D385" s="30" t="s">
        <v>16</v>
      </c>
      <c r="E385" s="83">
        <v>5.875</v>
      </c>
      <c r="F385" s="49">
        <v>2.8254793103707794</v>
      </c>
      <c r="G385" s="108">
        <v>16</v>
      </c>
      <c r="H385" s="25"/>
      <c r="I385" s="25"/>
      <c r="J385" s="25"/>
      <c r="K385" s="25"/>
      <c r="L385" s="25"/>
    </row>
    <row r="386" spans="2:12" x14ac:dyDescent="0.25">
      <c r="B386" s="136"/>
      <c r="C386" s="145"/>
      <c r="D386" s="30" t="s">
        <v>126</v>
      </c>
      <c r="E386" s="83">
        <v>8.1666666666666661</v>
      </c>
      <c r="F386" s="49">
        <v>1.4999999999999996</v>
      </c>
      <c r="G386" s="108">
        <v>9</v>
      </c>
      <c r="H386" s="25"/>
      <c r="I386" s="25"/>
      <c r="J386" s="25"/>
      <c r="K386" s="25"/>
      <c r="L386" s="25"/>
    </row>
    <row r="387" spans="2:12" x14ac:dyDescent="0.25">
      <c r="B387" s="136"/>
      <c r="C387" s="145"/>
      <c r="D387" s="30" t="s">
        <v>130</v>
      </c>
      <c r="E387" s="83">
        <v>9.2727272727272716</v>
      </c>
      <c r="F387" s="49">
        <v>2.2505410604863587</v>
      </c>
      <c r="G387" s="108">
        <v>22</v>
      </c>
      <c r="H387" s="25"/>
      <c r="I387" s="25"/>
      <c r="J387" s="25"/>
      <c r="K387" s="25"/>
      <c r="L387" s="25"/>
    </row>
    <row r="388" spans="2:12" x14ac:dyDescent="0.25">
      <c r="B388" s="136"/>
      <c r="C388" s="157"/>
      <c r="D388" s="52" t="s">
        <v>233</v>
      </c>
      <c r="E388" s="87">
        <v>7.75</v>
      </c>
      <c r="F388" s="55">
        <v>2.803190452382565</v>
      </c>
      <c r="G388" s="109">
        <v>74</v>
      </c>
      <c r="H388" s="25"/>
      <c r="I388" s="25"/>
      <c r="J388" s="25"/>
      <c r="K388" s="25"/>
      <c r="L388" s="25"/>
    </row>
    <row r="389" spans="2:12" x14ac:dyDescent="0.25">
      <c r="B389" s="136"/>
      <c r="C389" s="158" t="s">
        <v>215</v>
      </c>
      <c r="D389" s="58" t="s">
        <v>50</v>
      </c>
      <c r="E389" s="91">
        <v>10.078125</v>
      </c>
      <c r="F389" s="61">
        <v>3.3938021664736571</v>
      </c>
      <c r="G389" s="110">
        <v>32</v>
      </c>
      <c r="H389" s="25"/>
      <c r="I389" s="25"/>
      <c r="J389" s="25"/>
      <c r="K389" s="25"/>
      <c r="L389" s="25"/>
    </row>
    <row r="390" spans="2:12" x14ac:dyDescent="0.25">
      <c r="B390" s="136"/>
      <c r="C390" s="145"/>
      <c r="D390" s="30" t="s">
        <v>16</v>
      </c>
      <c r="E390" s="83">
        <v>10.536585365853661</v>
      </c>
      <c r="F390" s="49">
        <v>4.1236971334932555</v>
      </c>
      <c r="G390" s="108">
        <v>41</v>
      </c>
      <c r="H390" s="25"/>
      <c r="I390" s="25"/>
      <c r="J390" s="25"/>
      <c r="K390" s="25"/>
      <c r="L390" s="25"/>
    </row>
    <row r="391" spans="2:12" x14ac:dyDescent="0.25">
      <c r="B391" s="136"/>
      <c r="C391" s="145"/>
      <c r="D391" s="30" t="s">
        <v>126</v>
      </c>
      <c r="E391" s="83">
        <v>12.42105263157895</v>
      </c>
      <c r="F391" s="49">
        <v>4.4884517186229553</v>
      </c>
      <c r="G391" s="108">
        <v>19</v>
      </c>
      <c r="H391" s="25"/>
      <c r="I391" s="25"/>
      <c r="J391" s="25"/>
      <c r="K391" s="25"/>
      <c r="L391" s="25"/>
    </row>
    <row r="392" spans="2:12" x14ac:dyDescent="0.25">
      <c r="B392" s="136"/>
      <c r="C392" s="145"/>
      <c r="D392" s="30" t="s">
        <v>130</v>
      </c>
      <c r="E392" s="83">
        <v>17.100000000000001</v>
      </c>
      <c r="F392" s="49">
        <v>5.8566201857385281</v>
      </c>
      <c r="G392" s="108">
        <v>30</v>
      </c>
      <c r="H392" s="25"/>
      <c r="I392" s="25"/>
      <c r="J392" s="25"/>
      <c r="K392" s="25"/>
      <c r="L392" s="25"/>
    </row>
    <row r="393" spans="2:12" x14ac:dyDescent="0.25">
      <c r="B393" s="136"/>
      <c r="C393" s="157"/>
      <c r="D393" s="52" t="s">
        <v>233</v>
      </c>
      <c r="E393" s="87">
        <v>12.323770491803284</v>
      </c>
      <c r="F393" s="55">
        <v>5.2785712642265947</v>
      </c>
      <c r="G393" s="109">
        <v>122</v>
      </c>
      <c r="H393" s="25"/>
      <c r="I393" s="25"/>
      <c r="J393" s="25"/>
      <c r="K393" s="25"/>
      <c r="L393" s="25"/>
    </row>
    <row r="394" spans="2:12" x14ac:dyDescent="0.25">
      <c r="B394" s="136"/>
      <c r="C394" s="158" t="s">
        <v>233</v>
      </c>
      <c r="D394" s="58" t="s">
        <v>50</v>
      </c>
      <c r="E394" s="91">
        <v>8.8898305084745797</v>
      </c>
      <c r="F394" s="61">
        <v>3.4102631567612978</v>
      </c>
      <c r="G394" s="110">
        <v>59</v>
      </c>
      <c r="H394" s="25"/>
      <c r="I394" s="25"/>
      <c r="J394" s="25"/>
      <c r="K394" s="25"/>
      <c r="L394" s="25"/>
    </row>
    <row r="395" spans="2:12" x14ac:dyDescent="0.25">
      <c r="B395" s="136"/>
      <c r="C395" s="145"/>
      <c r="D395" s="30" t="s">
        <v>16</v>
      </c>
      <c r="E395" s="83">
        <v>9.2280701754385994</v>
      </c>
      <c r="F395" s="49">
        <v>4.3301993679755721</v>
      </c>
      <c r="G395" s="108">
        <v>57</v>
      </c>
      <c r="H395" s="25"/>
      <c r="I395" s="25"/>
      <c r="J395" s="25"/>
      <c r="K395" s="25"/>
      <c r="L395" s="25"/>
    </row>
    <row r="396" spans="2:12" x14ac:dyDescent="0.25">
      <c r="B396" s="136"/>
      <c r="C396" s="145"/>
      <c r="D396" s="30" t="s">
        <v>126</v>
      </c>
      <c r="E396" s="83">
        <v>11.053571428571429</v>
      </c>
      <c r="F396" s="49">
        <v>4.26514574826796</v>
      </c>
      <c r="G396" s="108">
        <v>28</v>
      </c>
      <c r="H396" s="25"/>
      <c r="I396" s="25"/>
      <c r="J396" s="25"/>
      <c r="K396" s="25"/>
      <c r="L396" s="25"/>
    </row>
    <row r="397" spans="2:12" x14ac:dyDescent="0.25">
      <c r="B397" s="136"/>
      <c r="C397" s="145"/>
      <c r="D397" s="30" t="s">
        <v>130</v>
      </c>
      <c r="E397" s="83">
        <v>13.788461538461535</v>
      </c>
      <c r="F397" s="49">
        <v>6.0693267335423364</v>
      </c>
      <c r="G397" s="108">
        <v>52</v>
      </c>
      <c r="H397" s="25"/>
      <c r="I397" s="25"/>
      <c r="J397" s="25"/>
      <c r="K397" s="25"/>
      <c r="L397" s="25"/>
    </row>
    <row r="398" spans="2:12" x14ac:dyDescent="0.25">
      <c r="B398" s="140"/>
      <c r="C398" s="157"/>
      <c r="D398" s="52" t="s">
        <v>233</v>
      </c>
      <c r="E398" s="87">
        <v>10.596938775510209</v>
      </c>
      <c r="F398" s="55">
        <v>5.0172309061336922</v>
      </c>
      <c r="G398" s="109">
        <v>196</v>
      </c>
      <c r="H398" s="25"/>
      <c r="I398" s="25"/>
      <c r="J398" s="25"/>
      <c r="K398" s="25"/>
      <c r="L398" s="25"/>
    </row>
    <row r="399" spans="2:12" ht="16.5" thickBot="1" x14ac:dyDescent="0.3">
      <c r="B399" s="142" t="s">
        <v>233</v>
      </c>
      <c r="C399" s="158" t="s">
        <v>232</v>
      </c>
      <c r="D399" s="58" t="s">
        <v>50</v>
      </c>
      <c r="E399" s="91">
        <v>7.2571428571428553</v>
      </c>
      <c r="F399" s="61">
        <v>2.9340080711110077</v>
      </c>
      <c r="G399" s="110">
        <v>35</v>
      </c>
      <c r="H399" s="25"/>
      <c r="I399" s="25"/>
      <c r="J399" s="25"/>
      <c r="K399" s="25"/>
      <c r="L399" s="25"/>
    </row>
    <row r="400" spans="2:12" x14ac:dyDescent="0.25">
      <c r="B400" s="136"/>
      <c r="C400" s="145"/>
      <c r="D400" s="30" t="s">
        <v>16</v>
      </c>
      <c r="E400" s="83">
        <v>6.6470588235294104</v>
      </c>
      <c r="F400" s="49">
        <v>2.9116521701726832</v>
      </c>
      <c r="G400" s="108">
        <v>34</v>
      </c>
      <c r="H400" s="25"/>
      <c r="I400" s="25"/>
      <c r="J400" s="25"/>
      <c r="K400" s="25"/>
      <c r="L400" s="25"/>
    </row>
    <row r="401" spans="2:12" x14ac:dyDescent="0.25">
      <c r="B401" s="136"/>
      <c r="C401" s="145"/>
      <c r="D401" s="30" t="s">
        <v>126</v>
      </c>
      <c r="E401" s="83">
        <v>7.6249999999999991</v>
      </c>
      <c r="F401" s="49">
        <v>1.6583123951777001</v>
      </c>
      <c r="G401" s="108">
        <v>16</v>
      </c>
      <c r="H401" s="25"/>
      <c r="I401" s="25"/>
      <c r="J401" s="25"/>
      <c r="K401" s="25"/>
      <c r="L401" s="25"/>
    </row>
    <row r="402" spans="2:12" x14ac:dyDescent="0.25">
      <c r="B402" s="136"/>
      <c r="C402" s="145"/>
      <c r="D402" s="30" t="s">
        <v>130</v>
      </c>
      <c r="E402" s="83">
        <v>11.466666666666667</v>
      </c>
      <c r="F402" s="49">
        <v>5.4911085153430292</v>
      </c>
      <c r="G402" s="108">
        <v>45</v>
      </c>
      <c r="H402" s="25"/>
      <c r="I402" s="25"/>
      <c r="J402" s="25"/>
      <c r="K402" s="25"/>
      <c r="L402" s="25"/>
    </row>
    <row r="403" spans="2:12" x14ac:dyDescent="0.25">
      <c r="B403" s="136"/>
      <c r="C403" s="157"/>
      <c r="D403" s="52" t="s">
        <v>233</v>
      </c>
      <c r="E403" s="87">
        <v>8.6000000000000014</v>
      </c>
      <c r="F403" s="55">
        <v>4.4182496797440205</v>
      </c>
      <c r="G403" s="109">
        <v>130</v>
      </c>
      <c r="H403" s="25"/>
      <c r="I403" s="25"/>
      <c r="J403" s="25"/>
      <c r="K403" s="25"/>
      <c r="L403" s="25"/>
    </row>
    <row r="404" spans="2:12" x14ac:dyDescent="0.25">
      <c r="B404" s="136"/>
      <c r="C404" s="158" t="s">
        <v>215</v>
      </c>
      <c r="D404" s="58" t="s">
        <v>50</v>
      </c>
      <c r="E404" s="91">
        <v>9.6547619047619051</v>
      </c>
      <c r="F404" s="61">
        <v>3.302785401042978</v>
      </c>
      <c r="G404" s="110">
        <v>42</v>
      </c>
      <c r="H404" s="25"/>
      <c r="I404" s="25"/>
      <c r="J404" s="25"/>
      <c r="K404" s="25"/>
      <c r="L404" s="25"/>
    </row>
    <row r="405" spans="2:12" x14ac:dyDescent="0.25">
      <c r="B405" s="136"/>
      <c r="C405" s="145"/>
      <c r="D405" s="30" t="s">
        <v>16</v>
      </c>
      <c r="E405" s="83">
        <v>11.768292682926829</v>
      </c>
      <c r="F405" s="49">
        <v>4.4090221207686495</v>
      </c>
      <c r="G405" s="108">
        <v>82</v>
      </c>
      <c r="H405" s="25"/>
      <c r="I405" s="25"/>
      <c r="J405" s="25"/>
      <c r="K405" s="25"/>
      <c r="L405" s="25"/>
    </row>
    <row r="406" spans="2:12" x14ac:dyDescent="0.25">
      <c r="B406" s="136"/>
      <c r="C406" s="145"/>
      <c r="D406" s="30" t="s">
        <v>126</v>
      </c>
      <c r="E406" s="83">
        <v>10.983870967741939</v>
      </c>
      <c r="F406" s="49">
        <v>4.6770429956111919</v>
      </c>
      <c r="G406" s="108">
        <v>31</v>
      </c>
      <c r="H406" s="25"/>
      <c r="I406" s="25"/>
      <c r="J406" s="25"/>
      <c r="K406" s="25"/>
      <c r="L406" s="25"/>
    </row>
    <row r="407" spans="2:12" x14ac:dyDescent="0.25">
      <c r="B407" s="136"/>
      <c r="C407" s="145"/>
      <c r="D407" s="30" t="s">
        <v>130</v>
      </c>
      <c r="E407" s="83">
        <v>14.892156862745098</v>
      </c>
      <c r="F407" s="49">
        <v>5.7933701120247756</v>
      </c>
      <c r="G407" s="108">
        <v>51</v>
      </c>
      <c r="H407" s="25"/>
      <c r="I407" s="25"/>
      <c r="J407" s="25"/>
      <c r="K407" s="25"/>
      <c r="L407" s="25"/>
    </row>
    <row r="408" spans="2:12" x14ac:dyDescent="0.25">
      <c r="B408" s="136"/>
      <c r="C408" s="157"/>
      <c r="D408" s="52" t="s">
        <v>233</v>
      </c>
      <c r="E408" s="87">
        <v>11.992718446601945</v>
      </c>
      <c r="F408" s="55">
        <v>4.9633972814997938</v>
      </c>
      <c r="G408" s="109">
        <v>206</v>
      </c>
      <c r="H408" s="25"/>
      <c r="I408" s="25"/>
      <c r="J408" s="25"/>
      <c r="K408" s="25"/>
      <c r="L408" s="25"/>
    </row>
    <row r="409" spans="2:12" ht="16.5" thickBot="1" x14ac:dyDescent="0.3">
      <c r="B409" s="136"/>
      <c r="C409" s="162" t="s">
        <v>233</v>
      </c>
      <c r="D409" s="58" t="s">
        <v>50</v>
      </c>
      <c r="E409" s="91">
        <v>8.5649350649350673</v>
      </c>
      <c r="F409" s="61">
        <v>3.3436415003062252</v>
      </c>
      <c r="G409" s="110">
        <v>77</v>
      </c>
      <c r="H409" s="25"/>
      <c r="I409" s="25"/>
      <c r="J409" s="25"/>
      <c r="K409" s="25"/>
      <c r="L409" s="25"/>
    </row>
    <row r="410" spans="2:12" x14ac:dyDescent="0.25">
      <c r="B410" s="136"/>
      <c r="C410" s="145"/>
      <c r="D410" s="30" t="s">
        <v>16</v>
      </c>
      <c r="E410" s="83">
        <v>10.267241379310343</v>
      </c>
      <c r="F410" s="49">
        <v>4.6482493359387966</v>
      </c>
      <c r="G410" s="108">
        <v>116</v>
      </c>
      <c r="H410" s="25"/>
      <c r="I410" s="25"/>
      <c r="J410" s="25"/>
      <c r="K410" s="25"/>
      <c r="L410" s="25"/>
    </row>
    <row r="411" spans="2:12" x14ac:dyDescent="0.25">
      <c r="B411" s="136"/>
      <c r="C411" s="145"/>
      <c r="D411" s="30" t="s">
        <v>126</v>
      </c>
      <c r="E411" s="83">
        <v>9.8404255319148977</v>
      </c>
      <c r="F411" s="49">
        <v>4.2132121162748577</v>
      </c>
      <c r="G411" s="108">
        <v>47</v>
      </c>
      <c r="H411" s="25"/>
      <c r="I411" s="25"/>
      <c r="J411" s="25"/>
      <c r="K411" s="25"/>
      <c r="L411" s="25"/>
    </row>
    <row r="412" spans="2:12" x14ac:dyDescent="0.25">
      <c r="B412" s="136"/>
      <c r="C412" s="145"/>
      <c r="D412" s="30" t="s">
        <v>130</v>
      </c>
      <c r="E412" s="83">
        <v>13.286458333333332</v>
      </c>
      <c r="F412" s="49">
        <v>5.8807199665144232</v>
      </c>
      <c r="G412" s="108">
        <v>96</v>
      </c>
      <c r="H412" s="25"/>
      <c r="I412" s="25"/>
      <c r="J412" s="25"/>
      <c r="K412" s="25"/>
      <c r="L412" s="25"/>
    </row>
    <row r="413" spans="2:12" ht="16.5" thickBot="1" x14ac:dyDescent="0.3">
      <c r="B413" s="143"/>
      <c r="C413" s="130"/>
      <c r="D413" s="33" t="s">
        <v>233</v>
      </c>
      <c r="E413" s="94">
        <v>10.680059523809529</v>
      </c>
      <c r="F413" s="111">
        <v>5.0329826766353953</v>
      </c>
      <c r="G413" s="112">
        <v>336</v>
      </c>
      <c r="H413" s="25"/>
      <c r="I413" s="25"/>
      <c r="J413" s="25"/>
      <c r="K413" s="25"/>
      <c r="L413" s="25"/>
    </row>
    <row r="414" spans="2:12" x14ac:dyDescent="0.25">
      <c r="B414" s="25"/>
      <c r="C414" s="25"/>
      <c r="D414" s="25"/>
      <c r="E414" s="25"/>
      <c r="F414" s="25"/>
      <c r="G414" s="25"/>
      <c r="H414" s="25"/>
      <c r="I414" s="25"/>
      <c r="J414" s="25"/>
      <c r="K414" s="25"/>
      <c r="L414" s="25"/>
    </row>
    <row r="415" spans="2:12" x14ac:dyDescent="0.25">
      <c r="B415" s="144" t="s">
        <v>281</v>
      </c>
      <c r="C415" s="145"/>
      <c r="D415" s="145"/>
      <c r="E415" s="145"/>
      <c r="F415" s="145"/>
      <c r="G415" s="145"/>
      <c r="H415" s="145"/>
      <c r="I415" s="145"/>
      <c r="J415" s="25"/>
      <c r="K415" s="25"/>
      <c r="L415" s="25"/>
    </row>
    <row r="416" spans="2:12" ht="16.5" thickBot="1" x14ac:dyDescent="0.3">
      <c r="B416" s="160" t="s">
        <v>308</v>
      </c>
      <c r="C416" s="145"/>
      <c r="D416" s="145"/>
      <c r="E416" s="145"/>
      <c r="F416" s="145"/>
      <c r="G416" s="145"/>
      <c r="H416" s="145"/>
      <c r="I416" s="145"/>
      <c r="J416" s="25"/>
      <c r="K416" s="25"/>
      <c r="L416" s="25"/>
    </row>
    <row r="417" spans="2:12" ht="25.5" thickBot="1" x14ac:dyDescent="0.3">
      <c r="B417" s="161" t="s">
        <v>282</v>
      </c>
      <c r="C417" s="147"/>
      <c r="D417" s="77" t="s">
        <v>283</v>
      </c>
      <c r="E417" s="78" t="s">
        <v>236</v>
      </c>
      <c r="F417" s="78" t="s">
        <v>237</v>
      </c>
      <c r="G417" s="78" t="s">
        <v>238</v>
      </c>
      <c r="H417" s="78" t="s">
        <v>239</v>
      </c>
      <c r="I417" s="79" t="s">
        <v>284</v>
      </c>
      <c r="J417" s="25"/>
      <c r="K417" s="25"/>
      <c r="L417" s="25"/>
    </row>
    <row r="418" spans="2:12" x14ac:dyDescent="0.25">
      <c r="B418" s="159" t="s">
        <v>285</v>
      </c>
      <c r="C418" s="41" t="s">
        <v>286</v>
      </c>
      <c r="D418" s="80">
        <v>24168.671453026927</v>
      </c>
      <c r="E418" s="81">
        <v>1</v>
      </c>
      <c r="F418" s="43">
        <v>24168.671453026927</v>
      </c>
      <c r="G418" s="43">
        <v>72.417415844346806</v>
      </c>
      <c r="H418" s="43">
        <v>3.2949310606219502E-3</v>
      </c>
      <c r="I418" s="82">
        <v>0.95988104843385613</v>
      </c>
      <c r="J418" s="25"/>
      <c r="K418" s="25"/>
      <c r="L418" s="25"/>
    </row>
    <row r="419" spans="2:12" x14ac:dyDescent="0.25">
      <c r="B419" s="136"/>
      <c r="C419" s="30" t="s">
        <v>287</v>
      </c>
      <c r="D419" s="83">
        <v>1010.1478313631359</v>
      </c>
      <c r="E419" s="48">
        <v>3.0267404524185215</v>
      </c>
      <c r="F419" s="48">
        <v>333.74114736398218</v>
      </c>
      <c r="G419" s="85"/>
      <c r="H419" s="85"/>
      <c r="I419" s="86"/>
      <c r="J419" s="25"/>
      <c r="K419" s="25"/>
      <c r="L419" s="25"/>
    </row>
    <row r="420" spans="2:12" x14ac:dyDescent="0.25">
      <c r="B420" s="135" t="s">
        <v>0</v>
      </c>
      <c r="C420" s="30" t="s">
        <v>286</v>
      </c>
      <c r="D420" s="83">
        <v>23.139579640976677</v>
      </c>
      <c r="E420" s="84">
        <v>1</v>
      </c>
      <c r="F420" s="48">
        <v>23.139579640976677</v>
      </c>
      <c r="G420" s="48">
        <v>0.39741452484622636</v>
      </c>
      <c r="H420" s="48">
        <v>0.57110313645691724</v>
      </c>
      <c r="I420" s="113">
        <v>0.11176979781845087</v>
      </c>
      <c r="J420" s="25"/>
      <c r="K420" s="25"/>
      <c r="L420" s="25"/>
    </row>
    <row r="421" spans="2:12" x14ac:dyDescent="0.25">
      <c r="B421" s="136"/>
      <c r="C421" s="30" t="s">
        <v>287</v>
      </c>
      <c r="D421" s="83">
        <v>183.88933239626792</v>
      </c>
      <c r="E421" s="48">
        <v>3.1582376513503516</v>
      </c>
      <c r="F421" s="48">
        <v>58.225299263861061</v>
      </c>
      <c r="G421" s="85"/>
      <c r="H421" s="85"/>
      <c r="I421" s="86"/>
      <c r="J421" s="25"/>
      <c r="K421" s="25"/>
      <c r="L421" s="25"/>
    </row>
    <row r="422" spans="2:12" x14ac:dyDescent="0.25">
      <c r="B422" s="135" t="s">
        <v>1</v>
      </c>
      <c r="C422" s="30" t="s">
        <v>286</v>
      </c>
      <c r="D422" s="83">
        <v>702.05449002693035</v>
      </c>
      <c r="E422" s="84">
        <v>1</v>
      </c>
      <c r="F422" s="48">
        <v>702.05449002693035</v>
      </c>
      <c r="G422" s="48">
        <v>22.559020279799476</v>
      </c>
      <c r="H422" s="48">
        <v>1.4163853730862307E-2</v>
      </c>
      <c r="I422" s="113">
        <v>0.87216758480371726</v>
      </c>
      <c r="J422" s="25"/>
      <c r="K422" s="25"/>
      <c r="L422" s="25"/>
    </row>
    <row r="423" spans="2:12" x14ac:dyDescent="0.25">
      <c r="B423" s="136"/>
      <c r="C423" s="30" t="s">
        <v>287</v>
      </c>
      <c r="D423" s="83">
        <v>102.89917055302446</v>
      </c>
      <c r="E423" s="48">
        <v>3.3064448817800174</v>
      </c>
      <c r="F423" s="48">
        <v>31.120788106901369</v>
      </c>
      <c r="G423" s="85"/>
      <c r="H423" s="85"/>
      <c r="I423" s="86"/>
      <c r="J423" s="25"/>
      <c r="K423" s="25"/>
      <c r="L423" s="25"/>
    </row>
    <row r="424" spans="2:12" x14ac:dyDescent="0.25">
      <c r="B424" s="135" t="s">
        <v>288</v>
      </c>
      <c r="C424" s="30" t="s">
        <v>286</v>
      </c>
      <c r="D424" s="83">
        <v>1091.3987959194249</v>
      </c>
      <c r="E424" s="84">
        <v>3</v>
      </c>
      <c r="F424" s="98" t="s">
        <v>243</v>
      </c>
      <c r="G424" s="98" t="s">
        <v>243</v>
      </c>
      <c r="H424" s="98" t="s">
        <v>243</v>
      </c>
      <c r="I424" s="119" t="s">
        <v>243</v>
      </c>
      <c r="J424" s="25"/>
      <c r="K424" s="25"/>
      <c r="L424" s="25"/>
    </row>
    <row r="425" spans="2:12" x14ac:dyDescent="0.25">
      <c r="B425" s="136"/>
      <c r="C425" s="30" t="s">
        <v>287</v>
      </c>
      <c r="D425" s="120" t="s">
        <v>243</v>
      </c>
      <c r="E425" s="121" t="s">
        <v>309</v>
      </c>
      <c r="F425" s="98" t="s">
        <v>243</v>
      </c>
      <c r="G425" s="85"/>
      <c r="H425" s="85"/>
      <c r="I425" s="86"/>
      <c r="J425" s="25"/>
      <c r="K425" s="25"/>
      <c r="L425" s="25"/>
    </row>
    <row r="426" spans="2:12" x14ac:dyDescent="0.25">
      <c r="B426" s="135" t="s">
        <v>289</v>
      </c>
      <c r="C426" s="30" t="s">
        <v>286</v>
      </c>
      <c r="D426" s="83">
        <v>139.32197519024879</v>
      </c>
      <c r="E426" s="84">
        <v>1</v>
      </c>
      <c r="F426" s="48">
        <v>139.32197519024879</v>
      </c>
      <c r="G426" s="48">
        <v>1.214896993881396</v>
      </c>
      <c r="H426" s="48">
        <v>0.34899104850263979</v>
      </c>
      <c r="I426" s="113">
        <v>0.28294750429992521</v>
      </c>
      <c r="J426" s="25"/>
      <c r="K426" s="25"/>
      <c r="L426" s="25"/>
    </row>
    <row r="427" spans="2:12" x14ac:dyDescent="0.25">
      <c r="B427" s="136"/>
      <c r="C427" s="30" t="s">
        <v>287</v>
      </c>
      <c r="D427" s="83">
        <v>353.07316197472534</v>
      </c>
      <c r="E427" s="48">
        <v>3.0788217186667857</v>
      </c>
      <c r="F427" s="48">
        <v>114.67801459046993</v>
      </c>
      <c r="G427" s="85"/>
      <c r="H427" s="85"/>
      <c r="I427" s="86"/>
      <c r="J427" s="25"/>
      <c r="K427" s="25"/>
      <c r="L427" s="25"/>
    </row>
    <row r="428" spans="2:12" x14ac:dyDescent="0.25">
      <c r="B428" s="135" t="s">
        <v>290</v>
      </c>
      <c r="C428" s="30" t="s">
        <v>286</v>
      </c>
      <c r="D428" s="83">
        <v>186.40145257669215</v>
      </c>
      <c r="E428" s="84">
        <v>3</v>
      </c>
      <c r="F428" s="48">
        <v>62.133817525564048</v>
      </c>
      <c r="G428" s="48">
        <v>0.50130310899211117</v>
      </c>
      <c r="H428" s="48">
        <v>0.70751381140116054</v>
      </c>
      <c r="I428" s="113">
        <v>0.3339119901834196</v>
      </c>
      <c r="J428" s="25"/>
      <c r="K428" s="25"/>
      <c r="L428" s="25"/>
    </row>
    <row r="429" spans="2:12" x14ac:dyDescent="0.25">
      <c r="B429" s="136"/>
      <c r="C429" s="30" t="s">
        <v>287</v>
      </c>
      <c r="D429" s="83">
        <v>371.83382515113323</v>
      </c>
      <c r="E429" s="84">
        <v>3</v>
      </c>
      <c r="F429" s="48">
        <v>123.94460838371107</v>
      </c>
      <c r="G429" s="85"/>
      <c r="H429" s="85"/>
      <c r="I429" s="86"/>
      <c r="J429" s="25"/>
      <c r="K429" s="25"/>
      <c r="L429" s="25"/>
    </row>
    <row r="430" spans="2:12" x14ac:dyDescent="0.25">
      <c r="B430" s="135" t="s">
        <v>291</v>
      </c>
      <c r="C430" s="30" t="s">
        <v>286</v>
      </c>
      <c r="D430" s="83">
        <v>97.370238006639283</v>
      </c>
      <c r="E430" s="84">
        <v>3</v>
      </c>
      <c r="F430" s="48">
        <v>32.456746002213094</v>
      </c>
      <c r="G430" s="48">
        <v>0.26186492841812548</v>
      </c>
      <c r="H430" s="48">
        <v>0.84990617228813981</v>
      </c>
      <c r="I430" s="113">
        <v>0.20752215432946494</v>
      </c>
      <c r="J430" s="25"/>
      <c r="K430" s="25"/>
      <c r="L430" s="25"/>
    </row>
    <row r="431" spans="2:12" x14ac:dyDescent="0.25">
      <c r="B431" s="136"/>
      <c r="C431" s="30" t="s">
        <v>287</v>
      </c>
      <c r="D431" s="83">
        <v>371.83382515113323</v>
      </c>
      <c r="E431" s="84">
        <v>3</v>
      </c>
      <c r="F431" s="48">
        <v>123.94460838371107</v>
      </c>
      <c r="G431" s="85"/>
      <c r="H431" s="85"/>
      <c r="I431" s="86"/>
      <c r="J431" s="25"/>
      <c r="K431" s="25"/>
      <c r="L431" s="25"/>
    </row>
    <row r="432" spans="2:12" ht="16.5" thickBot="1" x14ac:dyDescent="0.3">
      <c r="B432" s="148" t="s">
        <v>292</v>
      </c>
      <c r="C432" s="30" t="s">
        <v>286</v>
      </c>
      <c r="D432" s="83">
        <v>371.83382515113323</v>
      </c>
      <c r="E432" s="84">
        <v>3</v>
      </c>
      <c r="F432" s="48">
        <v>123.94460838371107</v>
      </c>
      <c r="G432" s="48">
        <v>7.2715563879891114</v>
      </c>
      <c r="H432" s="48">
        <v>9.8646203173523474E-5</v>
      </c>
      <c r="I432" s="113">
        <v>6.3820166692445002E-2</v>
      </c>
      <c r="J432" s="25"/>
      <c r="K432" s="25"/>
      <c r="L432" s="25"/>
    </row>
    <row r="433" spans="2:12" ht="16.5" thickBot="1" x14ac:dyDescent="0.3">
      <c r="B433" s="143"/>
      <c r="C433" s="33" t="s">
        <v>287</v>
      </c>
      <c r="D433" s="94">
        <v>5454.4409156064885</v>
      </c>
      <c r="E433" s="95">
        <v>320</v>
      </c>
      <c r="F433" s="114">
        <v>17.045127861270277</v>
      </c>
      <c r="G433" s="96"/>
      <c r="H433" s="96"/>
      <c r="I433" s="97"/>
      <c r="J433" s="25"/>
      <c r="K433" s="25"/>
      <c r="L433" s="25"/>
    </row>
    <row r="434" spans="2:12" x14ac:dyDescent="0.25">
      <c r="B434" s="25"/>
      <c r="C434" s="25"/>
      <c r="D434" s="25"/>
      <c r="E434" s="25"/>
      <c r="F434" s="25"/>
      <c r="G434" s="25"/>
      <c r="H434" s="25"/>
      <c r="I434" s="25"/>
      <c r="J434" s="25"/>
      <c r="K434" s="25"/>
      <c r="L434" s="25"/>
    </row>
    <row r="435" spans="2:12" x14ac:dyDescent="0.25">
      <c r="B435" s="25"/>
      <c r="C435" s="25"/>
      <c r="D435" s="25"/>
      <c r="E435" s="25"/>
      <c r="F435" s="25"/>
      <c r="G435" s="25"/>
      <c r="H435" s="25"/>
      <c r="I435" s="25"/>
      <c r="J435" s="25"/>
      <c r="K435" s="25"/>
      <c r="L435" s="25"/>
    </row>
    <row r="436" spans="2:12" x14ac:dyDescent="0.25">
      <c r="B436" s="25"/>
      <c r="C436" s="25"/>
      <c r="D436" s="25"/>
      <c r="E436" s="25"/>
      <c r="F436" s="25"/>
      <c r="G436" s="25"/>
      <c r="H436" s="25"/>
      <c r="I436" s="25"/>
      <c r="J436" s="25"/>
      <c r="K436" s="25"/>
      <c r="L436" s="25"/>
    </row>
    <row r="437" spans="2:12" x14ac:dyDescent="0.25">
      <c r="B437" s="25"/>
      <c r="C437" s="25"/>
      <c r="D437" s="25"/>
      <c r="E437" s="25"/>
      <c r="F437" s="25"/>
      <c r="G437" s="25"/>
      <c r="H437" s="25"/>
      <c r="I437" s="25"/>
      <c r="J437" s="25"/>
      <c r="K437" s="25"/>
      <c r="L437" s="25"/>
    </row>
    <row r="438" spans="2:12" x14ac:dyDescent="0.25">
      <c r="B438" s="25"/>
      <c r="C438" s="25"/>
      <c r="D438" s="25"/>
      <c r="E438" s="25"/>
      <c r="F438" s="25"/>
      <c r="G438" s="25"/>
      <c r="H438" s="25"/>
      <c r="I438" s="25"/>
      <c r="J438" s="25"/>
      <c r="K438" s="25"/>
      <c r="L438" s="25"/>
    </row>
    <row r="439" spans="2:12" x14ac:dyDescent="0.25">
      <c r="B439" s="25"/>
      <c r="C439" s="25"/>
      <c r="D439" s="25"/>
      <c r="E439" s="25"/>
      <c r="F439" s="25"/>
      <c r="G439" s="25"/>
      <c r="H439" s="25"/>
      <c r="I439" s="25"/>
      <c r="J439" s="25"/>
      <c r="K439" s="25"/>
      <c r="L439" s="25"/>
    </row>
    <row r="440" spans="2:12" x14ac:dyDescent="0.25">
      <c r="B440" s="25"/>
      <c r="C440" s="25"/>
      <c r="D440" s="25"/>
      <c r="E440" s="25"/>
      <c r="F440" s="25"/>
      <c r="G440" s="25"/>
      <c r="H440" s="25"/>
      <c r="I440" s="25"/>
      <c r="J440" s="25"/>
      <c r="K440" s="25"/>
      <c r="L440" s="25"/>
    </row>
    <row r="441" spans="2:12" x14ac:dyDescent="0.25">
      <c r="B441" s="25"/>
      <c r="C441" s="25"/>
      <c r="D441" s="25"/>
      <c r="E441" s="25"/>
      <c r="F441" s="25"/>
      <c r="G441" s="25"/>
      <c r="H441" s="25"/>
      <c r="I441" s="25"/>
      <c r="J441" s="25"/>
      <c r="K441" s="25"/>
      <c r="L441" s="25"/>
    </row>
    <row r="442" spans="2:12" ht="16.5" thickBot="1" x14ac:dyDescent="0.3">
      <c r="B442" s="144" t="s">
        <v>293</v>
      </c>
      <c r="C442" s="145"/>
      <c r="D442" s="145"/>
      <c r="E442" s="145"/>
      <c r="F442" s="145"/>
      <c r="G442" s="145"/>
      <c r="H442" s="145"/>
      <c r="I442" s="25"/>
      <c r="J442" s="25"/>
      <c r="K442" s="25"/>
      <c r="L442" s="25"/>
    </row>
    <row r="443" spans="2:12" ht="16.5" thickBot="1" x14ac:dyDescent="0.3">
      <c r="B443" s="161" t="s">
        <v>282</v>
      </c>
      <c r="C443" s="164" t="s">
        <v>294</v>
      </c>
      <c r="D443" s="165"/>
      <c r="E443" s="165"/>
      <c r="F443" s="165"/>
      <c r="G443" s="165"/>
      <c r="H443" s="132"/>
      <c r="I443" s="25"/>
      <c r="J443" s="25"/>
      <c r="K443" s="25"/>
      <c r="L443" s="25"/>
    </row>
    <row r="444" spans="2:12" ht="37.5" thickBot="1" x14ac:dyDescent="0.3">
      <c r="B444" s="163"/>
      <c r="C444" s="115" t="s">
        <v>295</v>
      </c>
      <c r="D444" s="40" t="s">
        <v>296</v>
      </c>
      <c r="E444" s="40" t="s">
        <v>297</v>
      </c>
      <c r="F444" s="40" t="s">
        <v>298</v>
      </c>
      <c r="G444" s="40" t="s">
        <v>299</v>
      </c>
      <c r="H444" s="116" t="s">
        <v>300</v>
      </c>
      <c r="I444" s="25"/>
      <c r="J444" s="25"/>
      <c r="K444" s="25"/>
      <c r="L444" s="25"/>
    </row>
    <row r="445" spans="2:12" ht="60" x14ac:dyDescent="0.25">
      <c r="B445" s="35" t="s">
        <v>285</v>
      </c>
      <c r="C445" s="80">
        <v>62.748700926720971</v>
      </c>
      <c r="D445" s="43">
        <v>31.374350463360429</v>
      </c>
      <c r="E445" s="43">
        <v>31.37435046336045</v>
      </c>
      <c r="F445" s="43">
        <v>15.687175231680232</v>
      </c>
      <c r="G445" s="43">
        <v>1</v>
      </c>
      <c r="H445" s="117" t="s">
        <v>301</v>
      </c>
      <c r="I445" s="25"/>
      <c r="J445" s="25"/>
      <c r="K445" s="25"/>
      <c r="L445" s="25"/>
    </row>
    <row r="446" spans="2:12" ht="36" x14ac:dyDescent="0.25">
      <c r="B446" s="37" t="s">
        <v>0</v>
      </c>
      <c r="C446" s="83">
        <v>0</v>
      </c>
      <c r="D446" s="48">
        <v>31.374350463360429</v>
      </c>
      <c r="E446" s="48">
        <v>0</v>
      </c>
      <c r="F446" s="48">
        <v>15.687175231680218</v>
      </c>
      <c r="G446" s="48">
        <v>1</v>
      </c>
      <c r="H446" s="118" t="s">
        <v>302</v>
      </c>
      <c r="I446" s="25"/>
      <c r="J446" s="25"/>
      <c r="K446" s="25"/>
      <c r="L446" s="25"/>
    </row>
    <row r="447" spans="2:12" ht="36" x14ac:dyDescent="0.25">
      <c r="B447" s="37" t="s">
        <v>1</v>
      </c>
      <c r="C447" s="83">
        <v>0</v>
      </c>
      <c r="D447" s="48">
        <v>0</v>
      </c>
      <c r="E447" s="48">
        <v>31.374350463360425</v>
      </c>
      <c r="F447" s="48">
        <v>15.687175231680243</v>
      </c>
      <c r="G447" s="48">
        <v>1</v>
      </c>
      <c r="H447" s="118" t="s">
        <v>303</v>
      </c>
      <c r="I447" s="25"/>
      <c r="J447" s="25"/>
      <c r="K447" s="25"/>
      <c r="L447" s="25"/>
    </row>
    <row r="448" spans="2:12" x14ac:dyDescent="0.25">
      <c r="B448" s="37" t="s">
        <v>288</v>
      </c>
      <c r="C448" s="83">
        <v>68.704344993194852</v>
      </c>
      <c r="D448" s="48">
        <v>34.352172496597383</v>
      </c>
      <c r="E448" s="48">
        <v>34.352172496597341</v>
      </c>
      <c r="F448" s="48">
        <v>17.176086248298684</v>
      </c>
      <c r="G448" s="48">
        <v>0.99999999999999989</v>
      </c>
      <c r="H448" s="86"/>
      <c r="I448" s="25"/>
      <c r="J448" s="25"/>
      <c r="K448" s="25"/>
      <c r="L448" s="25"/>
    </row>
    <row r="449" spans="2:12" ht="36" x14ac:dyDescent="0.25">
      <c r="B449" s="37" t="s">
        <v>289</v>
      </c>
      <c r="C449" s="83">
        <v>0</v>
      </c>
      <c r="D449" s="48">
        <v>0</v>
      </c>
      <c r="E449" s="48">
        <v>0</v>
      </c>
      <c r="F449" s="48">
        <v>15.68717523168025</v>
      </c>
      <c r="G449" s="48">
        <v>1</v>
      </c>
      <c r="H449" s="118" t="s">
        <v>289</v>
      </c>
      <c r="I449" s="25"/>
      <c r="J449" s="25"/>
      <c r="K449" s="25"/>
      <c r="L449" s="25"/>
    </row>
    <row r="450" spans="2:12" ht="24" x14ac:dyDescent="0.25">
      <c r="B450" s="37" t="s">
        <v>290</v>
      </c>
      <c r="C450" s="83">
        <v>0</v>
      </c>
      <c r="D450" s="48">
        <v>34.352172496597476</v>
      </c>
      <c r="E450" s="48">
        <v>0</v>
      </c>
      <c r="F450" s="48">
        <v>17.17608624829872</v>
      </c>
      <c r="G450" s="48">
        <v>1</v>
      </c>
      <c r="H450" s="86"/>
      <c r="I450" s="25"/>
      <c r="J450" s="25"/>
      <c r="K450" s="25"/>
      <c r="L450" s="25"/>
    </row>
    <row r="451" spans="2:12" ht="24" x14ac:dyDescent="0.25">
      <c r="B451" s="37" t="s">
        <v>291</v>
      </c>
      <c r="C451" s="83">
        <v>0</v>
      </c>
      <c r="D451" s="48">
        <v>0</v>
      </c>
      <c r="E451" s="48">
        <v>34.352172496597625</v>
      </c>
      <c r="F451" s="48">
        <v>17.176086248298773</v>
      </c>
      <c r="G451" s="48">
        <v>1</v>
      </c>
      <c r="H451" s="86"/>
      <c r="I451" s="25"/>
      <c r="J451" s="25"/>
      <c r="K451" s="25"/>
      <c r="L451" s="25"/>
    </row>
    <row r="452" spans="2:12" ht="48" x14ac:dyDescent="0.25">
      <c r="B452" s="37" t="s">
        <v>292</v>
      </c>
      <c r="C452" s="83">
        <v>0</v>
      </c>
      <c r="D452" s="48">
        <v>0</v>
      </c>
      <c r="E452" s="48">
        <v>0</v>
      </c>
      <c r="F452" s="48">
        <v>17.176086248298784</v>
      </c>
      <c r="G452" s="48">
        <v>1</v>
      </c>
      <c r="H452" s="86"/>
      <c r="I452" s="25"/>
      <c r="J452" s="25"/>
      <c r="K452" s="25"/>
      <c r="L452" s="25"/>
    </row>
    <row r="453" spans="2:12" ht="16.5" thickBot="1" x14ac:dyDescent="0.3">
      <c r="B453" s="38" t="s">
        <v>287</v>
      </c>
      <c r="C453" s="94">
        <v>0</v>
      </c>
      <c r="D453" s="114">
        <v>0</v>
      </c>
      <c r="E453" s="114">
        <v>0</v>
      </c>
      <c r="F453" s="114">
        <v>0</v>
      </c>
      <c r="G453" s="114">
        <v>1</v>
      </c>
      <c r="H453" s="97"/>
      <c r="I453" s="25"/>
      <c r="J453" s="25"/>
      <c r="K453" s="25"/>
      <c r="L453" s="25"/>
    </row>
    <row r="454" spans="2:12" x14ac:dyDescent="0.25">
      <c r="B454" s="25"/>
      <c r="C454" s="25"/>
      <c r="D454" s="25"/>
      <c r="E454" s="25"/>
      <c r="F454" s="25"/>
      <c r="G454" s="25"/>
      <c r="H454" s="25"/>
      <c r="I454" s="25"/>
      <c r="J454" s="25"/>
      <c r="K454" s="25"/>
      <c r="L454" s="25"/>
    </row>
    <row r="455" spans="2:12" x14ac:dyDescent="0.25">
      <c r="B455" s="25"/>
      <c r="C455" s="25"/>
      <c r="D455" s="25"/>
      <c r="E455" s="25"/>
      <c r="F455" s="25"/>
      <c r="G455" s="25"/>
      <c r="H455" s="25"/>
      <c r="I455" s="25"/>
      <c r="J455" s="25"/>
      <c r="K455" s="25"/>
      <c r="L455" s="25"/>
    </row>
    <row r="456" spans="2:12" x14ac:dyDescent="0.25">
      <c r="B456" s="25"/>
      <c r="C456" s="25"/>
      <c r="D456" s="25"/>
      <c r="E456" s="25"/>
      <c r="F456" s="25"/>
      <c r="G456" s="25"/>
      <c r="H456" s="25"/>
      <c r="I456" s="25"/>
      <c r="J456" s="25"/>
      <c r="K456" s="25"/>
      <c r="L456" s="25"/>
    </row>
    <row r="457" spans="2:12" x14ac:dyDescent="0.25">
      <c r="B457" s="25"/>
      <c r="C457" s="25"/>
      <c r="D457" s="25"/>
      <c r="E457" s="25"/>
      <c r="F457" s="25"/>
      <c r="G457" s="25"/>
      <c r="H457" s="25"/>
      <c r="I457" s="25"/>
      <c r="J457" s="25"/>
      <c r="K457" s="25"/>
      <c r="L457" s="25"/>
    </row>
    <row r="458" spans="2:12" x14ac:dyDescent="0.25">
      <c r="B458" s="26" t="s">
        <v>310</v>
      </c>
      <c r="C458" s="25"/>
      <c r="D458" s="25"/>
      <c r="E458" s="25"/>
      <c r="F458" s="25"/>
      <c r="G458" s="25"/>
      <c r="H458" s="25"/>
      <c r="I458" s="25"/>
      <c r="J458" s="25"/>
      <c r="K458" s="25"/>
      <c r="L458" s="25"/>
    </row>
    <row r="459" spans="2:12" x14ac:dyDescent="0.25">
      <c r="B459" s="26" t="s">
        <v>266</v>
      </c>
      <c r="C459" s="25"/>
      <c r="D459" s="25"/>
      <c r="E459" s="25"/>
      <c r="F459" s="25"/>
      <c r="G459" s="25"/>
      <c r="H459" s="25"/>
      <c r="I459" s="25"/>
      <c r="J459" s="25"/>
      <c r="K459" s="25"/>
      <c r="L459" s="25"/>
    </row>
    <row r="460" spans="2:12" x14ac:dyDescent="0.25">
      <c r="B460" s="26" t="s">
        <v>260</v>
      </c>
      <c r="C460" s="25"/>
      <c r="D460" s="25"/>
      <c r="E460" s="25"/>
      <c r="F460" s="25"/>
      <c r="G460" s="25"/>
      <c r="H460" s="25"/>
      <c r="I460" s="25"/>
      <c r="J460" s="25"/>
      <c r="K460" s="25"/>
      <c r="L460" s="25"/>
    </row>
    <row r="461" spans="2:12" x14ac:dyDescent="0.25">
      <c r="B461" s="26" t="s">
        <v>261</v>
      </c>
      <c r="C461" s="25"/>
      <c r="D461" s="25"/>
      <c r="E461" s="25"/>
      <c r="F461" s="25"/>
      <c r="G461" s="25"/>
      <c r="H461" s="25"/>
      <c r="I461" s="25"/>
      <c r="J461" s="25"/>
      <c r="K461" s="25"/>
      <c r="L461" s="25"/>
    </row>
    <row r="462" spans="2:12" x14ac:dyDescent="0.25">
      <c r="B462" s="26" t="s">
        <v>262</v>
      </c>
      <c r="C462" s="25"/>
      <c r="D462" s="25"/>
      <c r="E462" s="25"/>
      <c r="F462" s="25"/>
      <c r="G462" s="25"/>
      <c r="H462" s="25"/>
      <c r="I462" s="25"/>
      <c r="J462" s="25"/>
      <c r="K462" s="25"/>
      <c r="L462" s="25"/>
    </row>
    <row r="463" spans="2:12" x14ac:dyDescent="0.25">
      <c r="B463" s="26" t="s">
        <v>263</v>
      </c>
      <c r="C463" s="25"/>
      <c r="D463" s="25"/>
      <c r="E463" s="25"/>
      <c r="F463" s="25"/>
      <c r="G463" s="25"/>
      <c r="H463" s="25"/>
      <c r="I463" s="25"/>
      <c r="J463" s="25"/>
      <c r="K463" s="25"/>
      <c r="L463" s="25"/>
    </row>
    <row r="464" spans="2:12" x14ac:dyDescent="0.25">
      <c r="B464" s="26" t="s">
        <v>267</v>
      </c>
      <c r="C464" s="25"/>
      <c r="D464" s="25"/>
      <c r="E464" s="25"/>
      <c r="F464" s="25"/>
      <c r="G464" s="25"/>
      <c r="H464" s="25"/>
      <c r="I464" s="25"/>
      <c r="J464" s="25"/>
      <c r="K464" s="25"/>
      <c r="L464" s="25"/>
    </row>
    <row r="465" spans="2:12" x14ac:dyDescent="0.25">
      <c r="B465" s="25"/>
      <c r="C465" s="25"/>
      <c r="D465" s="25"/>
      <c r="E465" s="25"/>
      <c r="F465" s="25"/>
      <c r="G465" s="25"/>
      <c r="H465" s="25"/>
      <c r="I465" s="25"/>
      <c r="J465" s="25"/>
      <c r="K465" s="25"/>
      <c r="L465" s="25"/>
    </row>
    <row r="466" spans="2:12" x14ac:dyDescent="0.25">
      <c r="B466" s="25"/>
      <c r="C466" s="25"/>
      <c r="D466" s="25"/>
      <c r="E466" s="25"/>
      <c r="F466" s="25"/>
      <c r="G466" s="25"/>
      <c r="H466" s="25"/>
      <c r="I466" s="25"/>
      <c r="J466" s="25"/>
      <c r="K466" s="25"/>
      <c r="L466" s="25"/>
    </row>
    <row r="467" spans="2:12" ht="16.5" x14ac:dyDescent="0.25">
      <c r="B467" s="27" t="s">
        <v>268</v>
      </c>
      <c r="C467" s="25"/>
      <c r="D467" s="25"/>
      <c r="E467" s="25"/>
      <c r="F467" s="25"/>
      <c r="G467" s="25"/>
      <c r="H467" s="25"/>
      <c r="I467" s="25"/>
      <c r="J467" s="25"/>
      <c r="K467" s="25"/>
      <c r="L467" s="25"/>
    </row>
    <row r="468" spans="2:12" x14ac:dyDescent="0.25">
      <c r="B468" s="25"/>
      <c r="C468" s="25"/>
      <c r="D468" s="25"/>
      <c r="E468" s="25"/>
      <c r="F468" s="25"/>
      <c r="G468" s="25"/>
      <c r="H468" s="25"/>
      <c r="I468" s="25"/>
      <c r="J468" s="25"/>
      <c r="K468" s="25"/>
      <c r="L468" s="25"/>
    </row>
    <row r="469" spans="2:12" ht="16.5" thickBot="1" x14ac:dyDescent="0.3">
      <c r="B469" s="129" t="s">
        <v>15</v>
      </c>
      <c r="C469" s="130"/>
      <c r="D469" s="130"/>
      <c r="E469" s="25"/>
      <c r="F469" s="25"/>
      <c r="G469" s="25"/>
      <c r="H469" s="25"/>
      <c r="I469" s="25"/>
      <c r="J469" s="25"/>
      <c r="K469" s="25"/>
      <c r="L469" s="25"/>
    </row>
    <row r="470" spans="2:12" x14ac:dyDescent="0.25">
      <c r="B470" s="131" t="s">
        <v>189</v>
      </c>
      <c r="C470" s="132"/>
      <c r="D470" s="28" t="s">
        <v>311</v>
      </c>
      <c r="E470" s="25"/>
      <c r="F470" s="25"/>
      <c r="G470" s="25"/>
      <c r="H470" s="25"/>
      <c r="I470" s="25"/>
      <c r="J470" s="25"/>
      <c r="K470" s="25"/>
      <c r="L470" s="25"/>
    </row>
    <row r="471" spans="2:12" x14ac:dyDescent="0.25">
      <c r="B471" s="133" t="s">
        <v>191</v>
      </c>
      <c r="C471" s="134"/>
      <c r="D471" s="29" t="s">
        <v>192</v>
      </c>
      <c r="E471" s="25"/>
      <c r="F471" s="25"/>
      <c r="G471" s="25"/>
      <c r="H471" s="25"/>
      <c r="I471" s="25"/>
      <c r="J471" s="25"/>
      <c r="K471" s="25"/>
      <c r="L471" s="25"/>
    </row>
    <row r="472" spans="2:12" ht="96" x14ac:dyDescent="0.25">
      <c r="B472" s="135" t="s">
        <v>193</v>
      </c>
      <c r="C472" s="30" t="s">
        <v>270</v>
      </c>
      <c r="D472" s="29" t="s">
        <v>271</v>
      </c>
      <c r="E472" s="25"/>
      <c r="F472" s="25"/>
      <c r="G472" s="25"/>
      <c r="H472" s="25"/>
      <c r="I472" s="25"/>
      <c r="J472" s="25"/>
      <c r="K472" s="25"/>
      <c r="L472" s="25"/>
    </row>
    <row r="473" spans="2:12" ht="24" x14ac:dyDescent="0.25">
      <c r="B473" s="136"/>
      <c r="C473" s="30" t="s">
        <v>194</v>
      </c>
      <c r="D473" s="29" t="s">
        <v>195</v>
      </c>
      <c r="E473" s="25"/>
      <c r="F473" s="25"/>
      <c r="G473" s="25"/>
      <c r="H473" s="25"/>
      <c r="I473" s="25"/>
      <c r="J473" s="25"/>
      <c r="K473" s="25"/>
      <c r="L473" s="25"/>
    </row>
    <row r="474" spans="2:12" ht="24" x14ac:dyDescent="0.25">
      <c r="B474" s="136"/>
      <c r="C474" s="30" t="s">
        <v>196</v>
      </c>
      <c r="D474" s="29" t="s">
        <v>272</v>
      </c>
      <c r="E474" s="25"/>
      <c r="F474" s="25"/>
      <c r="G474" s="25"/>
      <c r="H474" s="25"/>
      <c r="I474" s="25"/>
      <c r="J474" s="25"/>
      <c r="K474" s="25"/>
      <c r="L474" s="25"/>
    </row>
    <row r="475" spans="2:12" x14ac:dyDescent="0.25">
      <c r="B475" s="136"/>
      <c r="C475" s="30" t="s">
        <v>198</v>
      </c>
      <c r="D475" s="29" t="s">
        <v>197</v>
      </c>
      <c r="E475" s="25"/>
      <c r="F475" s="25"/>
      <c r="G475" s="25"/>
      <c r="H475" s="25"/>
      <c r="I475" s="25"/>
      <c r="J475" s="25"/>
      <c r="K475" s="25"/>
      <c r="L475" s="25"/>
    </row>
    <row r="476" spans="2:12" x14ac:dyDescent="0.25">
      <c r="B476" s="136"/>
      <c r="C476" s="30" t="s">
        <v>199</v>
      </c>
      <c r="D476" s="29" t="s">
        <v>197</v>
      </c>
      <c r="E476" s="25"/>
      <c r="F476" s="25"/>
      <c r="G476" s="25"/>
      <c r="H476" s="25"/>
      <c r="I476" s="25"/>
      <c r="J476" s="25"/>
      <c r="K476" s="25"/>
      <c r="L476" s="25"/>
    </row>
    <row r="477" spans="2:12" ht="36" x14ac:dyDescent="0.25">
      <c r="B477" s="136"/>
      <c r="C477" s="30" t="s">
        <v>200</v>
      </c>
      <c r="D477" s="31">
        <v>336</v>
      </c>
      <c r="E477" s="25"/>
      <c r="F477" s="25"/>
      <c r="G477" s="25"/>
      <c r="H477" s="25"/>
      <c r="I477" s="25"/>
      <c r="J477" s="25"/>
      <c r="K477" s="25"/>
      <c r="L477" s="25"/>
    </row>
    <row r="478" spans="2:12" ht="36" x14ac:dyDescent="0.25">
      <c r="B478" s="135" t="s">
        <v>201</v>
      </c>
      <c r="C478" s="30" t="s">
        <v>202</v>
      </c>
      <c r="D478" s="29" t="s">
        <v>203</v>
      </c>
      <c r="E478" s="25"/>
      <c r="F478" s="25"/>
      <c r="G478" s="25"/>
      <c r="H478" s="25"/>
      <c r="I478" s="25"/>
      <c r="J478" s="25"/>
      <c r="K478" s="25"/>
      <c r="L478" s="25"/>
    </row>
    <row r="479" spans="2:12" ht="48" x14ac:dyDescent="0.25">
      <c r="B479" s="136"/>
      <c r="C479" s="30" t="s">
        <v>204</v>
      </c>
      <c r="D479" s="29" t="s">
        <v>273</v>
      </c>
      <c r="E479" s="25"/>
      <c r="F479" s="25"/>
      <c r="G479" s="25"/>
      <c r="H479" s="25"/>
      <c r="I479" s="25"/>
      <c r="J479" s="25"/>
      <c r="K479" s="25"/>
      <c r="L479" s="25"/>
    </row>
    <row r="480" spans="2:12" ht="324" x14ac:dyDescent="0.25">
      <c r="B480" s="133" t="s">
        <v>206</v>
      </c>
      <c r="C480" s="134"/>
      <c r="D480" s="29" t="s">
        <v>312</v>
      </c>
      <c r="E480" s="25"/>
      <c r="F480" s="25"/>
      <c r="G480" s="25"/>
      <c r="H480" s="25"/>
      <c r="I480" s="25"/>
      <c r="J480" s="25"/>
      <c r="K480" s="25"/>
      <c r="L480" s="25"/>
    </row>
    <row r="481" spans="2:12" ht="24.75" thickBot="1" x14ac:dyDescent="0.3">
      <c r="B481" s="148" t="s">
        <v>208</v>
      </c>
      <c r="C481" s="30" t="s">
        <v>209</v>
      </c>
      <c r="D481" s="32" t="s">
        <v>210</v>
      </c>
      <c r="E481" s="25"/>
      <c r="F481" s="25"/>
      <c r="G481" s="25"/>
      <c r="H481" s="25"/>
      <c r="I481" s="25"/>
      <c r="J481" s="25"/>
      <c r="K481" s="25"/>
      <c r="L481" s="25"/>
    </row>
    <row r="482" spans="2:12" ht="24.75" thickBot="1" x14ac:dyDescent="0.3">
      <c r="B482" s="143"/>
      <c r="C482" s="33" t="s">
        <v>211</v>
      </c>
      <c r="D482" s="34" t="s">
        <v>210</v>
      </c>
      <c r="E482" s="25"/>
      <c r="F482" s="25"/>
      <c r="G482" s="25"/>
      <c r="H482" s="25"/>
      <c r="I482" s="25"/>
      <c r="J482" s="25"/>
      <c r="K482" s="25"/>
      <c r="L482" s="25"/>
    </row>
    <row r="483" spans="2:12" x14ac:dyDescent="0.25">
      <c r="B483" s="25"/>
      <c r="C483" s="25"/>
      <c r="D483" s="25"/>
      <c r="E483" s="25"/>
      <c r="F483" s="25"/>
      <c r="G483" s="25"/>
      <c r="H483" s="25"/>
      <c r="I483" s="25"/>
      <c r="J483" s="25"/>
      <c r="K483" s="25"/>
      <c r="L483" s="25"/>
    </row>
    <row r="484" spans="2:12" x14ac:dyDescent="0.25">
      <c r="B484" s="25"/>
      <c r="C484" s="25"/>
      <c r="D484" s="25"/>
      <c r="E484" s="25"/>
      <c r="F484" s="25"/>
      <c r="G484" s="25"/>
      <c r="H484" s="25"/>
      <c r="I484" s="25"/>
      <c r="J484" s="25"/>
      <c r="K484" s="25"/>
      <c r="L484" s="25"/>
    </row>
    <row r="485" spans="2:12" x14ac:dyDescent="0.25">
      <c r="B485" s="26" t="s">
        <v>277</v>
      </c>
      <c r="C485" s="25"/>
      <c r="D485" s="25"/>
      <c r="E485" s="25"/>
      <c r="F485" s="25"/>
      <c r="G485" s="25"/>
      <c r="H485" s="25"/>
      <c r="I485" s="25"/>
      <c r="J485" s="25"/>
      <c r="K485" s="25"/>
      <c r="L485" s="25"/>
    </row>
    <row r="486" spans="2:12" x14ac:dyDescent="0.25">
      <c r="B486" s="25"/>
      <c r="C486" s="25"/>
      <c r="D486" s="25"/>
      <c r="E486" s="25"/>
      <c r="F486" s="25"/>
      <c r="G486" s="25"/>
      <c r="H486" s="25"/>
      <c r="I486" s="25"/>
      <c r="J486" s="25"/>
      <c r="K486" s="25"/>
      <c r="L486" s="25"/>
    </row>
    <row r="487" spans="2:12" ht="16.5" thickBot="1" x14ac:dyDescent="0.3">
      <c r="B487" s="144" t="s">
        <v>278</v>
      </c>
      <c r="C487" s="145"/>
      <c r="D487" s="145"/>
      <c r="E487" s="25"/>
      <c r="F487" s="25"/>
      <c r="G487" s="25"/>
      <c r="H487" s="25"/>
      <c r="I487" s="25"/>
      <c r="J487" s="25"/>
      <c r="K487" s="25"/>
      <c r="L487" s="25"/>
    </row>
    <row r="488" spans="2:12" ht="16.5" thickBot="1" x14ac:dyDescent="0.3">
      <c r="B488" s="146" t="s">
        <v>192</v>
      </c>
      <c r="C488" s="147"/>
      <c r="D488" s="101" t="s">
        <v>223</v>
      </c>
      <c r="E488" s="25"/>
      <c r="F488" s="25"/>
      <c r="G488" s="25"/>
      <c r="H488" s="25"/>
      <c r="I488" s="25"/>
      <c r="J488" s="25"/>
      <c r="K488" s="25"/>
      <c r="L488" s="25"/>
    </row>
    <row r="489" spans="2:12" x14ac:dyDescent="0.25">
      <c r="B489" s="159" t="s">
        <v>0</v>
      </c>
      <c r="C489" s="41" t="s">
        <v>232</v>
      </c>
      <c r="D489" s="102">
        <v>140</v>
      </c>
      <c r="E489" s="25"/>
      <c r="F489" s="25"/>
      <c r="G489" s="25"/>
      <c r="H489" s="25"/>
      <c r="I489" s="25"/>
      <c r="J489" s="25"/>
      <c r="K489" s="25"/>
      <c r="L489" s="25"/>
    </row>
    <row r="490" spans="2:12" x14ac:dyDescent="0.25">
      <c r="B490" s="136"/>
      <c r="C490" s="30" t="s">
        <v>215</v>
      </c>
      <c r="D490" s="31">
        <v>196</v>
      </c>
      <c r="E490" s="25"/>
      <c r="F490" s="25"/>
      <c r="G490" s="25"/>
      <c r="H490" s="25"/>
      <c r="I490" s="25"/>
      <c r="J490" s="25"/>
      <c r="K490" s="25"/>
      <c r="L490" s="25"/>
    </row>
    <row r="491" spans="2:12" x14ac:dyDescent="0.25">
      <c r="B491" s="135" t="s">
        <v>1</v>
      </c>
      <c r="C491" s="30" t="s">
        <v>232</v>
      </c>
      <c r="D491" s="31">
        <v>130</v>
      </c>
      <c r="E491" s="25"/>
      <c r="F491" s="25"/>
      <c r="G491" s="25"/>
      <c r="H491" s="25"/>
      <c r="I491" s="25"/>
      <c r="J491" s="25"/>
      <c r="K491" s="25"/>
      <c r="L491" s="25"/>
    </row>
    <row r="492" spans="2:12" x14ac:dyDescent="0.25">
      <c r="B492" s="136"/>
      <c r="C492" s="30" t="s">
        <v>215</v>
      </c>
      <c r="D492" s="31">
        <v>206</v>
      </c>
      <c r="E492" s="25"/>
      <c r="F492" s="25"/>
      <c r="G492" s="25"/>
      <c r="H492" s="25"/>
      <c r="I492" s="25"/>
      <c r="J492" s="25"/>
      <c r="K492" s="25"/>
      <c r="L492" s="25"/>
    </row>
    <row r="493" spans="2:12" ht="16.5" thickBot="1" x14ac:dyDescent="0.3">
      <c r="B493" s="148" t="s">
        <v>32</v>
      </c>
      <c r="C493" s="30" t="s">
        <v>50</v>
      </c>
      <c r="D493" s="31">
        <v>77</v>
      </c>
      <c r="E493" s="25"/>
      <c r="F493" s="25"/>
      <c r="G493" s="25"/>
      <c r="H493" s="25"/>
      <c r="I493" s="25"/>
      <c r="J493" s="25"/>
      <c r="K493" s="25"/>
      <c r="L493" s="25"/>
    </row>
    <row r="494" spans="2:12" x14ac:dyDescent="0.25">
      <c r="B494" s="136"/>
      <c r="C494" s="30" t="s">
        <v>16</v>
      </c>
      <c r="D494" s="31">
        <v>116</v>
      </c>
      <c r="E494" s="25"/>
      <c r="F494" s="25"/>
      <c r="G494" s="25"/>
      <c r="H494" s="25"/>
      <c r="I494" s="25"/>
      <c r="J494" s="25"/>
      <c r="K494" s="25"/>
      <c r="L494" s="25"/>
    </row>
    <row r="495" spans="2:12" x14ac:dyDescent="0.25">
      <c r="B495" s="136"/>
      <c r="C495" s="30" t="s">
        <v>126</v>
      </c>
      <c r="D495" s="31">
        <v>47</v>
      </c>
      <c r="E495" s="25"/>
      <c r="F495" s="25"/>
      <c r="G495" s="25"/>
      <c r="H495" s="25"/>
      <c r="I495" s="25"/>
      <c r="J495" s="25"/>
      <c r="K495" s="25"/>
      <c r="L495" s="25"/>
    </row>
    <row r="496" spans="2:12" ht="16.5" thickBot="1" x14ac:dyDescent="0.3">
      <c r="B496" s="143"/>
      <c r="C496" s="33" t="s">
        <v>130</v>
      </c>
      <c r="D496" s="103">
        <v>96</v>
      </c>
      <c r="E496" s="25"/>
      <c r="F496" s="25"/>
      <c r="G496" s="25"/>
      <c r="H496" s="25"/>
      <c r="I496" s="25"/>
      <c r="J496" s="25"/>
      <c r="K496" s="25"/>
      <c r="L496" s="25"/>
    </row>
    <row r="497" spans="2:12" x14ac:dyDescent="0.25">
      <c r="B497" s="25"/>
      <c r="C497" s="25"/>
      <c r="D497" s="25"/>
      <c r="E497" s="25"/>
      <c r="F497" s="25"/>
      <c r="G497" s="25"/>
      <c r="H497" s="25"/>
      <c r="I497" s="25"/>
      <c r="J497" s="25"/>
      <c r="K497" s="25"/>
      <c r="L497" s="25"/>
    </row>
    <row r="498" spans="2:12" x14ac:dyDescent="0.25">
      <c r="B498" s="144" t="s">
        <v>279</v>
      </c>
      <c r="C498" s="145"/>
      <c r="D498" s="145"/>
      <c r="E498" s="145"/>
      <c r="F498" s="145"/>
      <c r="G498" s="145"/>
      <c r="H498" s="25"/>
      <c r="I498" s="25"/>
      <c r="J498" s="25"/>
      <c r="K498" s="25"/>
      <c r="L498" s="25"/>
    </row>
    <row r="499" spans="2:12" ht="16.5" thickBot="1" x14ac:dyDescent="0.3">
      <c r="B499" s="160" t="s">
        <v>313</v>
      </c>
      <c r="C499" s="145"/>
      <c r="D499" s="145"/>
      <c r="E499" s="145"/>
      <c r="F499" s="145"/>
      <c r="G499" s="145"/>
      <c r="H499" s="25"/>
      <c r="I499" s="25"/>
      <c r="J499" s="25"/>
      <c r="K499" s="25"/>
      <c r="L499" s="25"/>
    </row>
    <row r="500" spans="2:12" ht="16.5" thickBot="1" x14ac:dyDescent="0.3">
      <c r="B500" s="104" t="s">
        <v>0</v>
      </c>
      <c r="C500" s="105" t="s">
        <v>1</v>
      </c>
      <c r="D500" s="106" t="s">
        <v>32</v>
      </c>
      <c r="E500" s="77" t="s">
        <v>224</v>
      </c>
      <c r="F500" s="78" t="s">
        <v>225</v>
      </c>
      <c r="G500" s="79" t="s">
        <v>223</v>
      </c>
      <c r="H500" s="25"/>
      <c r="I500" s="25"/>
      <c r="J500" s="25"/>
      <c r="K500" s="25"/>
      <c r="L500" s="25"/>
    </row>
    <row r="501" spans="2:12" x14ac:dyDescent="0.25">
      <c r="B501" s="139" t="s">
        <v>232</v>
      </c>
      <c r="C501" s="156" t="s">
        <v>232</v>
      </c>
      <c r="D501" s="41" t="s">
        <v>50</v>
      </c>
      <c r="E501" s="122">
        <v>8.4811547049999998</v>
      </c>
      <c r="F501" s="123">
        <v>9.4015592079536976</v>
      </c>
      <c r="G501" s="107">
        <v>8</v>
      </c>
      <c r="H501" s="25"/>
      <c r="I501" s="25"/>
      <c r="J501" s="25"/>
      <c r="K501" s="25"/>
      <c r="L501" s="25"/>
    </row>
    <row r="502" spans="2:12" x14ac:dyDescent="0.25">
      <c r="B502" s="136"/>
      <c r="C502" s="145"/>
      <c r="D502" s="30" t="s">
        <v>16</v>
      </c>
      <c r="E502" s="124">
        <v>9.5468054261111135</v>
      </c>
      <c r="F502" s="69">
        <v>7.3704480788177662</v>
      </c>
      <c r="G502" s="108">
        <v>18</v>
      </c>
      <c r="H502" s="25"/>
      <c r="I502" s="25"/>
      <c r="J502" s="25"/>
      <c r="K502" s="25"/>
      <c r="L502" s="25"/>
    </row>
    <row r="503" spans="2:12" x14ac:dyDescent="0.25">
      <c r="B503" s="136"/>
      <c r="C503" s="145"/>
      <c r="D503" s="30" t="s">
        <v>126</v>
      </c>
      <c r="E503" s="124">
        <v>8.0754825857142869</v>
      </c>
      <c r="F503" s="69">
        <v>5.9277486066279801</v>
      </c>
      <c r="G503" s="108">
        <v>7</v>
      </c>
      <c r="H503" s="25"/>
      <c r="I503" s="25"/>
      <c r="J503" s="25"/>
      <c r="K503" s="25"/>
      <c r="L503" s="25"/>
    </row>
    <row r="504" spans="2:12" x14ac:dyDescent="0.25">
      <c r="B504" s="136"/>
      <c r="C504" s="145"/>
      <c r="D504" s="30" t="s">
        <v>130</v>
      </c>
      <c r="E504" s="124">
        <v>44.919994686956521</v>
      </c>
      <c r="F504" s="69">
        <v>54.795242005130596</v>
      </c>
      <c r="G504" s="108">
        <v>23</v>
      </c>
      <c r="H504" s="25"/>
      <c r="I504" s="25"/>
      <c r="J504" s="25"/>
      <c r="K504" s="25"/>
      <c r="L504" s="25"/>
    </row>
    <row r="505" spans="2:12" x14ac:dyDescent="0.25">
      <c r="B505" s="136"/>
      <c r="C505" s="157"/>
      <c r="D505" s="52" t="s">
        <v>233</v>
      </c>
      <c r="E505" s="125">
        <v>23.738928414464286</v>
      </c>
      <c r="F505" s="126">
        <v>39.389066898325659</v>
      </c>
      <c r="G505" s="109">
        <v>56</v>
      </c>
      <c r="H505" s="25"/>
      <c r="I505" s="25"/>
      <c r="J505" s="25"/>
      <c r="K505" s="25"/>
      <c r="L505" s="25"/>
    </row>
    <row r="506" spans="2:12" x14ac:dyDescent="0.25">
      <c r="B506" s="136"/>
      <c r="C506" s="158" t="s">
        <v>215</v>
      </c>
      <c r="D506" s="58" t="s">
        <v>50</v>
      </c>
      <c r="E506" s="127">
        <v>16.673479800000003</v>
      </c>
      <c r="F506" s="65">
        <v>13.424916975791412</v>
      </c>
      <c r="G506" s="110">
        <v>10</v>
      </c>
      <c r="H506" s="25"/>
      <c r="I506" s="25"/>
      <c r="J506" s="25"/>
      <c r="K506" s="25"/>
      <c r="L506" s="25"/>
    </row>
    <row r="507" spans="2:12" x14ac:dyDescent="0.25">
      <c r="B507" s="136"/>
      <c r="C507" s="145"/>
      <c r="D507" s="30" t="s">
        <v>16</v>
      </c>
      <c r="E507" s="124">
        <v>56.227835451219505</v>
      </c>
      <c r="F507" s="69">
        <v>43.798616538059022</v>
      </c>
      <c r="G507" s="108">
        <v>41</v>
      </c>
      <c r="H507" s="25"/>
      <c r="I507" s="25"/>
      <c r="J507" s="25"/>
      <c r="K507" s="25"/>
      <c r="L507" s="25"/>
    </row>
    <row r="508" spans="2:12" x14ac:dyDescent="0.25">
      <c r="B508" s="136"/>
      <c r="C508" s="145"/>
      <c r="D508" s="30" t="s">
        <v>126</v>
      </c>
      <c r="E508" s="124">
        <v>24.11734090833334</v>
      </c>
      <c r="F508" s="69">
        <v>26.527449083954206</v>
      </c>
      <c r="G508" s="108">
        <v>12</v>
      </c>
      <c r="H508" s="25"/>
      <c r="I508" s="25"/>
      <c r="J508" s="25"/>
      <c r="K508" s="25"/>
      <c r="L508" s="25"/>
    </row>
    <row r="509" spans="2:12" x14ac:dyDescent="0.25">
      <c r="B509" s="136"/>
      <c r="C509" s="145"/>
      <c r="D509" s="30" t="s">
        <v>130</v>
      </c>
      <c r="E509" s="124">
        <v>47.523757533333331</v>
      </c>
      <c r="F509" s="69">
        <v>42.63258498372678</v>
      </c>
      <c r="G509" s="108">
        <v>21</v>
      </c>
      <c r="H509" s="25"/>
      <c r="I509" s="25"/>
      <c r="J509" s="25"/>
      <c r="K509" s="25"/>
      <c r="L509" s="25"/>
    </row>
    <row r="510" spans="2:12" x14ac:dyDescent="0.25">
      <c r="B510" s="136"/>
      <c r="C510" s="157"/>
      <c r="D510" s="52" t="s">
        <v>233</v>
      </c>
      <c r="E510" s="125">
        <v>44.755750602380949</v>
      </c>
      <c r="F510" s="126">
        <v>41.216536481677203</v>
      </c>
      <c r="G510" s="109">
        <v>84</v>
      </c>
      <c r="H510" s="25"/>
      <c r="I510" s="25"/>
      <c r="J510" s="25"/>
      <c r="K510" s="25"/>
      <c r="L510" s="25"/>
    </row>
    <row r="511" spans="2:12" x14ac:dyDescent="0.25">
      <c r="B511" s="136"/>
      <c r="C511" s="158" t="s">
        <v>233</v>
      </c>
      <c r="D511" s="58" t="s">
        <v>50</v>
      </c>
      <c r="E511" s="127">
        <v>13.032446424444444</v>
      </c>
      <c r="F511" s="65">
        <v>12.221163086051153</v>
      </c>
      <c r="G511" s="110">
        <v>18</v>
      </c>
      <c r="H511" s="25"/>
      <c r="I511" s="25"/>
      <c r="J511" s="25"/>
      <c r="K511" s="25"/>
      <c r="L511" s="25"/>
    </row>
    <row r="512" spans="2:12" x14ac:dyDescent="0.25">
      <c r="B512" s="136"/>
      <c r="C512" s="145"/>
      <c r="D512" s="30" t="s">
        <v>16</v>
      </c>
      <c r="E512" s="124">
        <v>41.986165274067808</v>
      </c>
      <c r="F512" s="69">
        <v>42.530658549909312</v>
      </c>
      <c r="G512" s="108">
        <v>59</v>
      </c>
      <c r="H512" s="25"/>
      <c r="I512" s="25"/>
      <c r="J512" s="25"/>
      <c r="K512" s="25"/>
      <c r="L512" s="25"/>
    </row>
    <row r="513" spans="2:12" x14ac:dyDescent="0.25">
      <c r="B513" s="136"/>
      <c r="C513" s="145"/>
      <c r="D513" s="30" t="s">
        <v>126</v>
      </c>
      <c r="E513" s="124">
        <v>18.207182578947375</v>
      </c>
      <c r="F513" s="69">
        <v>22.471351386192165</v>
      </c>
      <c r="G513" s="108">
        <v>19</v>
      </c>
      <c r="H513" s="25"/>
      <c r="I513" s="25"/>
      <c r="J513" s="25"/>
      <c r="K513" s="25"/>
      <c r="L513" s="25"/>
    </row>
    <row r="514" spans="2:12" x14ac:dyDescent="0.25">
      <c r="B514" s="136"/>
      <c r="C514" s="145"/>
      <c r="D514" s="30" t="s">
        <v>130</v>
      </c>
      <c r="E514" s="124">
        <v>46.162699681818182</v>
      </c>
      <c r="F514" s="69">
        <v>48.818738152830349</v>
      </c>
      <c r="G514" s="108">
        <v>44</v>
      </c>
      <c r="H514" s="25"/>
      <c r="I514" s="25"/>
      <c r="J514" s="25"/>
      <c r="K514" s="25"/>
      <c r="L514" s="25"/>
    </row>
    <row r="515" spans="2:12" x14ac:dyDescent="0.25">
      <c r="B515" s="140"/>
      <c r="C515" s="157"/>
      <c r="D515" s="52" t="s">
        <v>233</v>
      </c>
      <c r="E515" s="125">
        <v>36.3490217272143</v>
      </c>
      <c r="F515" s="126">
        <v>41.654143868221169</v>
      </c>
      <c r="G515" s="109">
        <v>140</v>
      </c>
      <c r="H515" s="25"/>
      <c r="I515" s="25"/>
      <c r="J515" s="25"/>
      <c r="K515" s="25"/>
      <c r="L515" s="25"/>
    </row>
    <row r="516" spans="2:12" x14ac:dyDescent="0.25">
      <c r="B516" s="141" t="s">
        <v>215</v>
      </c>
      <c r="C516" s="158" t="s">
        <v>232</v>
      </c>
      <c r="D516" s="58" t="s">
        <v>50</v>
      </c>
      <c r="E516" s="127">
        <v>9.6023167555555542</v>
      </c>
      <c r="F516" s="65">
        <v>9.9311291932255301</v>
      </c>
      <c r="G516" s="110">
        <v>27</v>
      </c>
      <c r="H516" s="25"/>
      <c r="I516" s="25"/>
      <c r="J516" s="25"/>
      <c r="K516" s="25"/>
      <c r="L516" s="25"/>
    </row>
    <row r="517" spans="2:12" x14ac:dyDescent="0.25">
      <c r="B517" s="136"/>
      <c r="C517" s="145"/>
      <c r="D517" s="30" t="s">
        <v>16</v>
      </c>
      <c r="E517" s="124">
        <v>5.5954711062500007</v>
      </c>
      <c r="F517" s="69">
        <v>6.0895924439721432</v>
      </c>
      <c r="G517" s="108">
        <v>16</v>
      </c>
      <c r="H517" s="25"/>
      <c r="I517" s="25"/>
      <c r="J517" s="25"/>
      <c r="K517" s="25"/>
      <c r="L517" s="25"/>
    </row>
    <row r="518" spans="2:12" x14ac:dyDescent="0.25">
      <c r="B518" s="136"/>
      <c r="C518" s="145"/>
      <c r="D518" s="30" t="s">
        <v>126</v>
      </c>
      <c r="E518" s="124">
        <v>10.57058671111111</v>
      </c>
      <c r="F518" s="69">
        <v>6.342160386480403</v>
      </c>
      <c r="G518" s="108">
        <v>9</v>
      </c>
      <c r="H518" s="25"/>
      <c r="I518" s="25"/>
      <c r="J518" s="25"/>
      <c r="K518" s="25"/>
      <c r="L518" s="25"/>
    </row>
    <row r="519" spans="2:12" x14ac:dyDescent="0.25">
      <c r="B519" s="136"/>
      <c r="C519" s="145"/>
      <c r="D519" s="30" t="s">
        <v>130</v>
      </c>
      <c r="E519" s="124">
        <v>14.97278305909091</v>
      </c>
      <c r="F519" s="69">
        <v>11.217376099702014</v>
      </c>
      <c r="G519" s="108">
        <v>22</v>
      </c>
      <c r="H519" s="25"/>
      <c r="I519" s="25"/>
      <c r="J519" s="25"/>
      <c r="K519" s="25"/>
      <c r="L519" s="25"/>
    </row>
    <row r="520" spans="2:12" x14ac:dyDescent="0.25">
      <c r="B520" s="136"/>
      <c r="C520" s="157"/>
      <c r="D520" s="52" t="s">
        <v>233</v>
      </c>
      <c r="E520" s="125">
        <v>10.450359429729735</v>
      </c>
      <c r="F520" s="126">
        <v>9.7442497511035118</v>
      </c>
      <c r="G520" s="109">
        <v>74</v>
      </c>
      <c r="H520" s="25"/>
      <c r="I520" s="25"/>
      <c r="J520" s="25"/>
      <c r="K520" s="25"/>
      <c r="L520" s="25"/>
    </row>
    <row r="521" spans="2:12" x14ac:dyDescent="0.25">
      <c r="B521" s="136"/>
      <c r="C521" s="158" t="s">
        <v>215</v>
      </c>
      <c r="D521" s="58" t="s">
        <v>50</v>
      </c>
      <c r="E521" s="127">
        <v>26.809362242812497</v>
      </c>
      <c r="F521" s="65">
        <v>22.99913284034572</v>
      </c>
      <c r="G521" s="110">
        <v>32</v>
      </c>
      <c r="H521" s="25"/>
      <c r="I521" s="25"/>
      <c r="J521" s="25"/>
      <c r="K521" s="25"/>
      <c r="L521" s="25"/>
    </row>
    <row r="522" spans="2:12" x14ac:dyDescent="0.25">
      <c r="B522" s="136"/>
      <c r="C522" s="145"/>
      <c r="D522" s="30" t="s">
        <v>16</v>
      </c>
      <c r="E522" s="124">
        <v>34.99657572439024</v>
      </c>
      <c r="F522" s="69">
        <v>40.102172986109586</v>
      </c>
      <c r="G522" s="108">
        <v>41</v>
      </c>
      <c r="H522" s="25"/>
      <c r="I522" s="25"/>
      <c r="J522" s="25"/>
      <c r="K522" s="25"/>
      <c r="L522" s="25"/>
    </row>
    <row r="523" spans="2:12" x14ac:dyDescent="0.25">
      <c r="B523" s="136"/>
      <c r="C523" s="145"/>
      <c r="D523" s="30" t="s">
        <v>126</v>
      </c>
      <c r="E523" s="124">
        <v>47.443559957894735</v>
      </c>
      <c r="F523" s="69">
        <v>42.955470213668278</v>
      </c>
      <c r="G523" s="108">
        <v>19</v>
      </c>
      <c r="H523" s="25"/>
      <c r="I523" s="25"/>
      <c r="J523" s="25"/>
      <c r="K523" s="25"/>
      <c r="L523" s="25"/>
    </row>
    <row r="524" spans="2:12" x14ac:dyDescent="0.25">
      <c r="B524" s="136"/>
      <c r="C524" s="145"/>
      <c r="D524" s="30" t="s">
        <v>130</v>
      </c>
      <c r="E524" s="124">
        <v>130.79357803333329</v>
      </c>
      <c r="F524" s="69">
        <v>115.38160516834066</v>
      </c>
      <c r="G524" s="108">
        <v>30</v>
      </c>
      <c r="H524" s="25"/>
      <c r="I524" s="25"/>
      <c r="J524" s="25"/>
      <c r="K524" s="25"/>
      <c r="L524" s="25"/>
    </row>
    <row r="525" spans="2:12" x14ac:dyDescent="0.25">
      <c r="B525" s="136"/>
      <c r="C525" s="157"/>
      <c r="D525" s="52" t="s">
        <v>233</v>
      </c>
      <c r="E525" s="125">
        <v>58.344214562868849</v>
      </c>
      <c r="F525" s="126">
        <v>76.811976070687123</v>
      </c>
      <c r="G525" s="109">
        <v>122</v>
      </c>
      <c r="H525" s="25"/>
      <c r="I525" s="25"/>
      <c r="J525" s="25"/>
      <c r="K525" s="25"/>
      <c r="L525" s="25"/>
    </row>
    <row r="526" spans="2:12" x14ac:dyDescent="0.25">
      <c r="B526" s="136"/>
      <c r="C526" s="158" t="s">
        <v>233</v>
      </c>
      <c r="D526" s="58" t="s">
        <v>50</v>
      </c>
      <c r="E526" s="127">
        <v>18.934951596101694</v>
      </c>
      <c r="F526" s="65">
        <v>20.04216456531995</v>
      </c>
      <c r="G526" s="110">
        <v>59</v>
      </c>
      <c r="H526" s="25"/>
      <c r="I526" s="25"/>
      <c r="J526" s="25"/>
      <c r="K526" s="25"/>
      <c r="L526" s="25"/>
    </row>
    <row r="527" spans="2:12" x14ac:dyDescent="0.25">
      <c r="B527" s="136"/>
      <c r="C527" s="145"/>
      <c r="D527" s="30" t="s">
        <v>16</v>
      </c>
      <c r="E527" s="124">
        <v>26.743634077192979</v>
      </c>
      <c r="F527" s="69">
        <v>36.555263399153205</v>
      </c>
      <c r="G527" s="108">
        <v>57</v>
      </c>
      <c r="H527" s="25"/>
      <c r="I527" s="25"/>
      <c r="J527" s="25"/>
      <c r="K527" s="25"/>
      <c r="L527" s="25"/>
    </row>
    <row r="528" spans="2:12" x14ac:dyDescent="0.25">
      <c r="B528" s="136"/>
      <c r="C528" s="145"/>
      <c r="D528" s="30" t="s">
        <v>126</v>
      </c>
      <c r="E528" s="124">
        <v>35.591532842857141</v>
      </c>
      <c r="F528" s="69">
        <v>39.364515730992814</v>
      </c>
      <c r="G528" s="108">
        <v>28</v>
      </c>
      <c r="H528" s="25"/>
      <c r="I528" s="25"/>
      <c r="J528" s="25"/>
      <c r="K528" s="25"/>
      <c r="L528" s="25"/>
    </row>
    <row r="529" spans="2:12" x14ac:dyDescent="0.25">
      <c r="B529" s="136"/>
      <c r="C529" s="145"/>
      <c r="D529" s="30" t="s">
        <v>130</v>
      </c>
      <c r="E529" s="124">
        <v>81.792472467307675</v>
      </c>
      <c r="F529" s="69">
        <v>104.69164429282303</v>
      </c>
      <c r="G529" s="108">
        <v>52</v>
      </c>
      <c r="H529" s="25"/>
      <c r="I529" s="25"/>
      <c r="J529" s="25"/>
      <c r="K529" s="25"/>
      <c r="L529" s="25"/>
    </row>
    <row r="530" spans="2:12" x14ac:dyDescent="0.25">
      <c r="B530" s="140"/>
      <c r="C530" s="157"/>
      <c r="D530" s="52" t="s">
        <v>233</v>
      </c>
      <c r="E530" s="125">
        <v>40.261840686071423</v>
      </c>
      <c r="F530" s="126">
        <v>65.103359235417173</v>
      </c>
      <c r="G530" s="109">
        <v>196</v>
      </c>
      <c r="H530" s="25"/>
      <c r="I530" s="25"/>
      <c r="J530" s="25"/>
      <c r="K530" s="25"/>
      <c r="L530" s="25"/>
    </row>
    <row r="531" spans="2:12" ht="16.5" thickBot="1" x14ac:dyDescent="0.3">
      <c r="B531" s="142" t="s">
        <v>233</v>
      </c>
      <c r="C531" s="158" t="s">
        <v>232</v>
      </c>
      <c r="D531" s="58" t="s">
        <v>50</v>
      </c>
      <c r="E531" s="127">
        <v>9.3460511439999987</v>
      </c>
      <c r="F531" s="65">
        <v>9.6874588798688546</v>
      </c>
      <c r="G531" s="110">
        <v>35</v>
      </c>
      <c r="H531" s="25"/>
      <c r="I531" s="25"/>
      <c r="J531" s="25"/>
      <c r="K531" s="25"/>
      <c r="L531" s="25"/>
    </row>
    <row r="532" spans="2:12" x14ac:dyDescent="0.25">
      <c r="B532" s="136"/>
      <c r="C532" s="145"/>
      <c r="D532" s="30" t="s">
        <v>16</v>
      </c>
      <c r="E532" s="124">
        <v>7.6873539814705882</v>
      </c>
      <c r="F532" s="69">
        <v>6.9891653868931307</v>
      </c>
      <c r="G532" s="108">
        <v>34</v>
      </c>
      <c r="H532" s="25"/>
      <c r="I532" s="25"/>
      <c r="J532" s="25"/>
      <c r="K532" s="25"/>
      <c r="L532" s="25"/>
    </row>
    <row r="533" spans="2:12" x14ac:dyDescent="0.25">
      <c r="B533" s="136"/>
      <c r="C533" s="145"/>
      <c r="D533" s="30" t="s">
        <v>126</v>
      </c>
      <c r="E533" s="124">
        <v>9.4789786562500016</v>
      </c>
      <c r="F533" s="69">
        <v>6.0944033891870175</v>
      </c>
      <c r="G533" s="108">
        <v>16</v>
      </c>
      <c r="H533" s="25"/>
      <c r="I533" s="25"/>
      <c r="J533" s="25"/>
      <c r="K533" s="25"/>
      <c r="L533" s="25"/>
    </row>
    <row r="534" spans="2:12" x14ac:dyDescent="0.25">
      <c r="B534" s="136"/>
      <c r="C534" s="145"/>
      <c r="D534" s="30" t="s">
        <v>130</v>
      </c>
      <c r="E534" s="124">
        <v>30.279135668888891</v>
      </c>
      <c r="F534" s="69">
        <v>42.314365940450436</v>
      </c>
      <c r="G534" s="108">
        <v>45</v>
      </c>
      <c r="H534" s="25"/>
      <c r="I534" s="25"/>
      <c r="J534" s="25"/>
      <c r="K534" s="25"/>
      <c r="L534" s="25"/>
    </row>
    <row r="535" spans="2:12" x14ac:dyDescent="0.25">
      <c r="B535" s="136"/>
      <c r="C535" s="157"/>
      <c r="D535" s="52" t="s">
        <v>233</v>
      </c>
      <c r="E535" s="125">
        <v>16.174666069307694</v>
      </c>
      <c r="F535" s="126">
        <v>27.547397122033775</v>
      </c>
      <c r="G535" s="109">
        <v>130</v>
      </c>
      <c r="H535" s="25"/>
      <c r="I535" s="25"/>
      <c r="J535" s="25"/>
      <c r="K535" s="25"/>
      <c r="L535" s="25"/>
    </row>
    <row r="536" spans="2:12" x14ac:dyDescent="0.25">
      <c r="B536" s="136"/>
      <c r="C536" s="158" t="s">
        <v>215</v>
      </c>
      <c r="D536" s="58" t="s">
        <v>50</v>
      </c>
      <c r="E536" s="127">
        <v>24.396056899285711</v>
      </c>
      <c r="F536" s="65">
        <v>21.414931166922472</v>
      </c>
      <c r="G536" s="110">
        <v>42</v>
      </c>
      <c r="H536" s="25"/>
      <c r="I536" s="25"/>
      <c r="J536" s="25"/>
      <c r="K536" s="25"/>
      <c r="L536" s="25"/>
    </row>
    <row r="537" spans="2:12" x14ac:dyDescent="0.25">
      <c r="B537" s="136"/>
      <c r="C537" s="145"/>
      <c r="D537" s="30" t="s">
        <v>16</v>
      </c>
      <c r="E537" s="124">
        <v>45.612205587804894</v>
      </c>
      <c r="F537" s="69">
        <v>43.0762795344287</v>
      </c>
      <c r="G537" s="108">
        <v>82</v>
      </c>
      <c r="H537" s="25"/>
      <c r="I537" s="25"/>
      <c r="J537" s="25"/>
      <c r="K537" s="25"/>
      <c r="L537" s="25"/>
    </row>
    <row r="538" spans="2:12" x14ac:dyDescent="0.25">
      <c r="B538" s="136"/>
      <c r="C538" s="145"/>
      <c r="D538" s="30" t="s">
        <v>126</v>
      </c>
      <c r="E538" s="124">
        <v>38.414055809677421</v>
      </c>
      <c r="F538" s="69">
        <v>38.710775557823844</v>
      </c>
      <c r="G538" s="108">
        <v>31</v>
      </c>
      <c r="H538" s="25"/>
      <c r="I538" s="25"/>
      <c r="J538" s="25"/>
      <c r="K538" s="25"/>
      <c r="L538" s="25"/>
    </row>
    <row r="539" spans="2:12" x14ac:dyDescent="0.25">
      <c r="B539" s="136"/>
      <c r="C539" s="145"/>
      <c r="D539" s="30" t="s">
        <v>130</v>
      </c>
      <c r="E539" s="124">
        <v>96.506004886274468</v>
      </c>
      <c r="F539" s="69">
        <v>100.80465042977359</v>
      </c>
      <c r="G539" s="108">
        <v>51</v>
      </c>
      <c r="H539" s="25"/>
      <c r="I539" s="25"/>
      <c r="J539" s="25"/>
      <c r="K539" s="25"/>
      <c r="L539" s="25"/>
    </row>
    <row r="540" spans="2:12" x14ac:dyDescent="0.25">
      <c r="B540" s="136"/>
      <c r="C540" s="157"/>
      <c r="D540" s="52" t="s">
        <v>233</v>
      </c>
      <c r="E540" s="125">
        <v>52.80328751101942</v>
      </c>
      <c r="F540" s="126">
        <v>64.923819774673376</v>
      </c>
      <c r="G540" s="109">
        <v>206</v>
      </c>
      <c r="H540" s="25"/>
      <c r="I540" s="25"/>
      <c r="J540" s="25"/>
      <c r="K540" s="25"/>
      <c r="L540" s="25"/>
    </row>
    <row r="541" spans="2:12" ht="16.5" thickBot="1" x14ac:dyDescent="0.3">
      <c r="B541" s="136"/>
      <c r="C541" s="162" t="s">
        <v>233</v>
      </c>
      <c r="D541" s="58" t="s">
        <v>50</v>
      </c>
      <c r="E541" s="127">
        <v>17.555145192337665</v>
      </c>
      <c r="F541" s="65">
        <v>18.608679893391063</v>
      </c>
      <c r="G541" s="110">
        <v>77</v>
      </c>
      <c r="H541" s="25"/>
      <c r="I541" s="25"/>
      <c r="J541" s="25"/>
      <c r="K541" s="25"/>
      <c r="L541" s="25"/>
    </row>
    <row r="542" spans="2:12" x14ac:dyDescent="0.25">
      <c r="B542" s="136"/>
      <c r="C542" s="145"/>
      <c r="D542" s="30" t="s">
        <v>16</v>
      </c>
      <c r="E542" s="124">
        <v>34.496300806637947</v>
      </c>
      <c r="F542" s="69">
        <v>40.268824282469616</v>
      </c>
      <c r="G542" s="108">
        <v>116</v>
      </c>
      <c r="H542" s="25"/>
      <c r="I542" s="25"/>
      <c r="J542" s="25"/>
      <c r="K542" s="25"/>
      <c r="L542" s="25"/>
    </row>
    <row r="543" spans="2:12" x14ac:dyDescent="0.25">
      <c r="B543" s="136"/>
      <c r="C543" s="145"/>
      <c r="D543" s="30" t="s">
        <v>126</v>
      </c>
      <c r="E543" s="124">
        <v>28.56381677872341</v>
      </c>
      <c r="F543" s="69">
        <v>34.372761851326857</v>
      </c>
      <c r="G543" s="108">
        <v>47</v>
      </c>
      <c r="H543" s="25"/>
      <c r="I543" s="25"/>
      <c r="J543" s="25"/>
      <c r="K543" s="25"/>
      <c r="L543" s="25"/>
    </row>
    <row r="544" spans="2:12" x14ac:dyDescent="0.25">
      <c r="B544" s="136"/>
      <c r="C544" s="145"/>
      <c r="D544" s="30" t="s">
        <v>130</v>
      </c>
      <c r="E544" s="124">
        <v>65.462159940624971</v>
      </c>
      <c r="F544" s="69">
        <v>85.329941181346371</v>
      </c>
      <c r="G544" s="108">
        <v>96</v>
      </c>
      <c r="H544" s="25"/>
      <c r="I544" s="25"/>
      <c r="J544" s="25"/>
      <c r="K544" s="25"/>
      <c r="L544" s="25"/>
    </row>
    <row r="545" spans="2:12" ht="16.5" thickBot="1" x14ac:dyDescent="0.3">
      <c r="B545" s="143"/>
      <c r="C545" s="130"/>
      <c r="D545" s="33" t="s">
        <v>233</v>
      </c>
      <c r="E545" s="128">
        <v>38.631499453214275</v>
      </c>
      <c r="F545" s="74">
        <v>56.487271830588391</v>
      </c>
      <c r="G545" s="112">
        <v>336</v>
      </c>
      <c r="H545" s="25"/>
      <c r="I545" s="25"/>
      <c r="J545" s="25"/>
      <c r="K545" s="25"/>
      <c r="L545" s="25"/>
    </row>
    <row r="546" spans="2:12" x14ac:dyDescent="0.25">
      <c r="B546" s="25"/>
      <c r="C546" s="25"/>
      <c r="D546" s="25"/>
      <c r="E546" s="25"/>
      <c r="F546" s="25"/>
      <c r="G546" s="25"/>
      <c r="H546" s="25"/>
      <c r="I546" s="25"/>
      <c r="J546" s="25"/>
      <c r="K546" s="25"/>
      <c r="L546" s="25"/>
    </row>
    <row r="547" spans="2:12" x14ac:dyDescent="0.25">
      <c r="B547" s="144" t="s">
        <v>281</v>
      </c>
      <c r="C547" s="145"/>
      <c r="D547" s="145"/>
      <c r="E547" s="145"/>
      <c r="F547" s="145"/>
      <c r="G547" s="145"/>
      <c r="H547" s="145"/>
      <c r="I547" s="145"/>
      <c r="J547" s="25"/>
      <c r="K547" s="25"/>
      <c r="L547" s="25"/>
    </row>
    <row r="548" spans="2:12" ht="16.5" thickBot="1" x14ac:dyDescent="0.3">
      <c r="B548" s="160" t="s">
        <v>313</v>
      </c>
      <c r="C548" s="145"/>
      <c r="D548" s="145"/>
      <c r="E548" s="145"/>
      <c r="F548" s="145"/>
      <c r="G548" s="145"/>
      <c r="H548" s="145"/>
      <c r="I548" s="145"/>
      <c r="J548" s="25"/>
      <c r="K548" s="25"/>
      <c r="L548" s="25"/>
    </row>
    <row r="549" spans="2:12" ht="25.5" thickBot="1" x14ac:dyDescent="0.3">
      <c r="B549" s="161" t="s">
        <v>282</v>
      </c>
      <c r="C549" s="147"/>
      <c r="D549" s="77" t="s">
        <v>283</v>
      </c>
      <c r="E549" s="78" t="s">
        <v>236</v>
      </c>
      <c r="F549" s="78" t="s">
        <v>237</v>
      </c>
      <c r="G549" s="78" t="s">
        <v>238</v>
      </c>
      <c r="H549" s="78" t="s">
        <v>239</v>
      </c>
      <c r="I549" s="79" t="s">
        <v>284</v>
      </c>
      <c r="J549" s="25"/>
      <c r="K549" s="25"/>
      <c r="L549" s="25"/>
    </row>
    <row r="550" spans="2:12" x14ac:dyDescent="0.25">
      <c r="B550" s="159" t="s">
        <v>285</v>
      </c>
      <c r="C550" s="41" t="s">
        <v>286</v>
      </c>
      <c r="D550" s="80">
        <v>241546.6205949978</v>
      </c>
      <c r="E550" s="81">
        <v>1</v>
      </c>
      <c r="F550" s="43">
        <v>241546.6205949978</v>
      </c>
      <c r="G550" s="43">
        <v>8.6722362948803422</v>
      </c>
      <c r="H550" s="43">
        <v>5.9268186496448133E-2</v>
      </c>
      <c r="I550" s="82">
        <v>0.74037597741070771</v>
      </c>
      <c r="J550" s="25"/>
      <c r="K550" s="25"/>
      <c r="L550" s="25"/>
    </row>
    <row r="551" spans="2:12" x14ac:dyDescent="0.25">
      <c r="B551" s="136"/>
      <c r="C551" s="30" t="s">
        <v>287</v>
      </c>
      <c r="D551" s="83">
        <v>84701.971964353943</v>
      </c>
      <c r="E551" s="48">
        <v>3.0410506829190531</v>
      </c>
      <c r="F551" s="48">
        <v>27852.864288026252</v>
      </c>
      <c r="G551" s="85"/>
      <c r="H551" s="85"/>
      <c r="I551" s="86"/>
      <c r="J551" s="25"/>
      <c r="K551" s="25"/>
      <c r="L551" s="25"/>
    </row>
    <row r="552" spans="2:12" x14ac:dyDescent="0.25">
      <c r="B552" s="135" t="s">
        <v>0</v>
      </c>
      <c r="C552" s="30" t="s">
        <v>286</v>
      </c>
      <c r="D552" s="83">
        <v>4170.2761292322539</v>
      </c>
      <c r="E552" s="84">
        <v>1</v>
      </c>
      <c r="F552" s="48">
        <v>4170.2761292322539</v>
      </c>
      <c r="G552" s="48">
        <v>0.71010430413052927</v>
      </c>
      <c r="H552" s="48">
        <v>0.45770335856186262</v>
      </c>
      <c r="I552" s="113">
        <v>0.1814966149757497</v>
      </c>
      <c r="J552" s="25"/>
      <c r="K552" s="25"/>
      <c r="L552" s="25"/>
    </row>
    <row r="553" spans="2:12" x14ac:dyDescent="0.25">
      <c r="B553" s="136"/>
      <c r="C553" s="30" t="s">
        <v>287</v>
      </c>
      <c r="D553" s="83">
        <v>18806.880385722347</v>
      </c>
      <c r="E553" s="48">
        <v>3.2023890733652904</v>
      </c>
      <c r="F553" s="48">
        <v>5872.7655993276248</v>
      </c>
      <c r="G553" s="85"/>
      <c r="H553" s="85"/>
      <c r="I553" s="86"/>
      <c r="J553" s="25"/>
      <c r="K553" s="25"/>
      <c r="L553" s="25"/>
    </row>
    <row r="554" spans="2:12" x14ac:dyDescent="0.25">
      <c r="B554" s="135" t="s">
        <v>1</v>
      </c>
      <c r="C554" s="30" t="s">
        <v>286</v>
      </c>
      <c r="D554" s="83">
        <v>72975.994565234869</v>
      </c>
      <c r="E554" s="84">
        <v>1</v>
      </c>
      <c r="F554" s="48">
        <v>72975.994565234869</v>
      </c>
      <c r="G554" s="48">
        <v>11.258188649891396</v>
      </c>
      <c r="H554" s="48">
        <v>4.0183314394209975E-2</v>
      </c>
      <c r="I554" s="113">
        <v>0.77961524871520249</v>
      </c>
      <c r="J554" s="25"/>
      <c r="K554" s="25"/>
      <c r="L554" s="25"/>
    </row>
    <row r="555" spans="2:12" x14ac:dyDescent="0.25">
      <c r="B555" s="136"/>
      <c r="C555" s="30" t="s">
        <v>287</v>
      </c>
      <c r="D555" s="83">
        <v>20629.145515719843</v>
      </c>
      <c r="E555" s="48">
        <v>3.1825097182392565</v>
      </c>
      <c r="F555" s="48">
        <v>6482.0369274891164</v>
      </c>
      <c r="G555" s="85"/>
      <c r="H555" s="85"/>
      <c r="I555" s="86"/>
      <c r="J555" s="25"/>
      <c r="K555" s="25"/>
      <c r="L555" s="25"/>
    </row>
    <row r="556" spans="2:12" x14ac:dyDescent="0.25">
      <c r="B556" s="135" t="s">
        <v>288</v>
      </c>
      <c r="C556" s="30" t="s">
        <v>286</v>
      </c>
      <c r="D556" s="83">
        <v>90869.740071091466</v>
      </c>
      <c r="E556" s="84">
        <v>3</v>
      </c>
      <c r="F556" s="98" t="s">
        <v>243</v>
      </c>
      <c r="G556" s="98" t="s">
        <v>243</v>
      </c>
      <c r="H556" s="98" t="s">
        <v>243</v>
      </c>
      <c r="I556" s="119" t="s">
        <v>243</v>
      </c>
      <c r="J556" s="25"/>
      <c r="K556" s="25"/>
      <c r="L556" s="25"/>
    </row>
    <row r="557" spans="2:12" x14ac:dyDescent="0.25">
      <c r="B557" s="136"/>
      <c r="C557" s="30" t="s">
        <v>287</v>
      </c>
      <c r="D557" s="120" t="s">
        <v>243</v>
      </c>
      <c r="E557" s="121" t="s">
        <v>309</v>
      </c>
      <c r="F557" s="98" t="s">
        <v>243</v>
      </c>
      <c r="G557" s="85"/>
      <c r="H557" s="85"/>
      <c r="I557" s="86"/>
      <c r="J557" s="25"/>
      <c r="K557" s="25"/>
      <c r="L557" s="25"/>
    </row>
    <row r="558" spans="2:12" x14ac:dyDescent="0.25">
      <c r="B558" s="135" t="s">
        <v>289</v>
      </c>
      <c r="C558" s="30" t="s">
        <v>286</v>
      </c>
      <c r="D558" s="83">
        <v>15512.016652476776</v>
      </c>
      <c r="E558" s="84">
        <v>1</v>
      </c>
      <c r="F558" s="48">
        <v>15512.016652476776</v>
      </c>
      <c r="G558" s="48">
        <v>0.91307126258299043</v>
      </c>
      <c r="H558" s="48">
        <v>0.40838065159192194</v>
      </c>
      <c r="I558" s="113">
        <v>0.22936792741547846</v>
      </c>
      <c r="J558" s="25"/>
      <c r="K558" s="25"/>
      <c r="L558" s="25"/>
    </row>
    <row r="559" spans="2:12" x14ac:dyDescent="0.25">
      <c r="B559" s="136"/>
      <c r="C559" s="30" t="s">
        <v>287</v>
      </c>
      <c r="D559" s="83">
        <v>52117.38919892726</v>
      </c>
      <c r="E559" s="48">
        <v>3.0677436354347587</v>
      </c>
      <c r="F559" s="48">
        <v>16988.834593911957</v>
      </c>
      <c r="G559" s="85"/>
      <c r="H559" s="85"/>
      <c r="I559" s="86"/>
      <c r="J559" s="25"/>
      <c r="K559" s="25"/>
      <c r="L559" s="25"/>
    </row>
    <row r="560" spans="2:12" x14ac:dyDescent="0.25">
      <c r="B560" s="135" t="s">
        <v>290</v>
      </c>
      <c r="C560" s="30" t="s">
        <v>286</v>
      </c>
      <c r="D560" s="83">
        <v>18670.877258471315</v>
      </c>
      <c r="E560" s="84">
        <v>3</v>
      </c>
      <c r="F560" s="48">
        <v>6223.625752823772</v>
      </c>
      <c r="G560" s="48">
        <v>0.33833706530922414</v>
      </c>
      <c r="H560" s="48">
        <v>0.80140120287821404</v>
      </c>
      <c r="I560" s="113">
        <v>0.25280407610249589</v>
      </c>
      <c r="J560" s="25"/>
      <c r="K560" s="25"/>
      <c r="L560" s="25"/>
    </row>
    <row r="561" spans="2:12" x14ac:dyDescent="0.25">
      <c r="B561" s="136"/>
      <c r="C561" s="30" t="s">
        <v>287</v>
      </c>
      <c r="D561" s="83">
        <v>55184.250183783486</v>
      </c>
      <c r="E561" s="84">
        <v>3</v>
      </c>
      <c r="F561" s="48">
        <v>18394.750061261162</v>
      </c>
      <c r="G561" s="85"/>
      <c r="H561" s="85"/>
      <c r="I561" s="86"/>
      <c r="J561" s="25"/>
      <c r="K561" s="25"/>
      <c r="L561" s="25"/>
    </row>
    <row r="562" spans="2:12" x14ac:dyDescent="0.25">
      <c r="B562" s="135" t="s">
        <v>291</v>
      </c>
      <c r="C562" s="30" t="s">
        <v>286</v>
      </c>
      <c r="D562" s="83">
        <v>20672.173870493072</v>
      </c>
      <c r="E562" s="84">
        <v>3</v>
      </c>
      <c r="F562" s="48">
        <v>6890.724623497691</v>
      </c>
      <c r="G562" s="48">
        <v>0.37460278615089027</v>
      </c>
      <c r="H562" s="48">
        <v>0.77931210366491976</v>
      </c>
      <c r="I562" s="113">
        <v>0.27251711543509854</v>
      </c>
      <c r="J562" s="25"/>
      <c r="K562" s="25"/>
      <c r="L562" s="25"/>
    </row>
    <row r="563" spans="2:12" x14ac:dyDescent="0.25">
      <c r="B563" s="136"/>
      <c r="C563" s="30" t="s">
        <v>287</v>
      </c>
      <c r="D563" s="83">
        <v>55184.250183783486</v>
      </c>
      <c r="E563" s="84">
        <v>3</v>
      </c>
      <c r="F563" s="48">
        <v>18394.750061261162</v>
      </c>
      <c r="G563" s="85"/>
      <c r="H563" s="85"/>
      <c r="I563" s="86"/>
      <c r="J563" s="25"/>
      <c r="K563" s="25"/>
      <c r="L563" s="25"/>
    </row>
    <row r="564" spans="2:12" ht="16.5" thickBot="1" x14ac:dyDescent="0.3">
      <c r="B564" s="148" t="s">
        <v>292</v>
      </c>
      <c r="C564" s="30" t="s">
        <v>286</v>
      </c>
      <c r="D564" s="83">
        <v>55184.250183783486</v>
      </c>
      <c r="E564" s="84">
        <v>3</v>
      </c>
      <c r="F564" s="48">
        <v>18394.750061261162</v>
      </c>
      <c r="G564" s="48">
        <v>8.4530775083877732</v>
      </c>
      <c r="H564" s="48">
        <v>2.0193302660192645E-5</v>
      </c>
      <c r="I564" s="113">
        <v>7.3428564048351061E-2</v>
      </c>
      <c r="J564" s="25"/>
      <c r="K564" s="25"/>
      <c r="L564" s="25"/>
    </row>
    <row r="565" spans="2:12" ht="16.5" thickBot="1" x14ac:dyDescent="0.3">
      <c r="B565" s="143"/>
      <c r="C565" s="33" t="s">
        <v>287</v>
      </c>
      <c r="D565" s="94">
        <v>696352.30645439203</v>
      </c>
      <c r="E565" s="95">
        <v>320</v>
      </c>
      <c r="F565" s="114">
        <v>2176.1009576699753</v>
      </c>
      <c r="G565" s="96"/>
      <c r="H565" s="96"/>
      <c r="I565" s="97"/>
      <c r="J565" s="25"/>
      <c r="K565" s="25"/>
      <c r="L565" s="25"/>
    </row>
    <row r="566" spans="2:12" x14ac:dyDescent="0.25">
      <c r="B566" s="25"/>
      <c r="C566" s="25"/>
      <c r="D566" s="25"/>
      <c r="E566" s="25"/>
      <c r="F566" s="25"/>
      <c r="G566" s="25"/>
      <c r="H566" s="25"/>
      <c r="I566" s="25"/>
      <c r="J566" s="25"/>
      <c r="K566" s="25"/>
      <c r="L566" s="25"/>
    </row>
    <row r="567" spans="2:12" x14ac:dyDescent="0.25">
      <c r="B567" s="25"/>
      <c r="C567" s="25"/>
      <c r="D567" s="25"/>
      <c r="E567" s="25"/>
      <c r="F567" s="25"/>
      <c r="G567" s="25"/>
      <c r="H567" s="25"/>
      <c r="I567" s="25"/>
      <c r="J567" s="25"/>
      <c r="K567" s="25"/>
      <c r="L567" s="25"/>
    </row>
    <row r="568" spans="2:12" x14ac:dyDescent="0.25">
      <c r="B568" s="25"/>
      <c r="C568" s="25"/>
      <c r="D568" s="25"/>
      <c r="E568" s="25"/>
      <c r="F568" s="25"/>
      <c r="G568" s="25"/>
      <c r="H568" s="25"/>
      <c r="I568" s="25"/>
      <c r="J568" s="25"/>
      <c r="K568" s="25"/>
      <c r="L568" s="25"/>
    </row>
    <row r="569" spans="2:12" x14ac:dyDescent="0.25">
      <c r="B569" s="25"/>
      <c r="C569" s="25"/>
      <c r="D569" s="25"/>
      <c r="E569" s="25"/>
      <c r="F569" s="25"/>
      <c r="G569" s="25"/>
      <c r="H569" s="25"/>
      <c r="I569" s="25"/>
      <c r="J569" s="25"/>
      <c r="K569" s="25"/>
      <c r="L569" s="25"/>
    </row>
    <row r="570" spans="2:12" x14ac:dyDescent="0.25">
      <c r="B570" s="25"/>
      <c r="C570" s="25"/>
      <c r="D570" s="25"/>
      <c r="E570" s="25"/>
      <c r="F570" s="25"/>
      <c r="G570" s="25"/>
      <c r="H570" s="25"/>
      <c r="I570" s="25"/>
      <c r="J570" s="25"/>
      <c r="K570" s="25"/>
      <c r="L570" s="25"/>
    </row>
    <row r="571" spans="2:12" x14ac:dyDescent="0.25">
      <c r="B571" s="25"/>
      <c r="C571" s="25"/>
      <c r="D571" s="25"/>
      <c r="E571" s="25"/>
      <c r="F571" s="25"/>
      <c r="G571" s="25"/>
      <c r="H571" s="25"/>
      <c r="I571" s="25"/>
      <c r="J571" s="25"/>
      <c r="K571" s="25"/>
      <c r="L571" s="25"/>
    </row>
    <row r="572" spans="2:12" x14ac:dyDescent="0.25">
      <c r="B572" s="25"/>
      <c r="C572" s="25"/>
      <c r="D572" s="25"/>
      <c r="E572" s="25"/>
      <c r="F572" s="25"/>
      <c r="G572" s="25"/>
      <c r="H572" s="25"/>
      <c r="I572" s="25"/>
      <c r="J572" s="25"/>
      <c r="K572" s="25"/>
      <c r="L572" s="25"/>
    </row>
    <row r="573" spans="2:12" x14ac:dyDescent="0.25">
      <c r="B573" s="25"/>
      <c r="C573" s="25"/>
      <c r="D573" s="25"/>
      <c r="E573" s="25"/>
      <c r="F573" s="25"/>
      <c r="G573" s="25"/>
      <c r="H573" s="25"/>
      <c r="I573" s="25"/>
      <c r="J573" s="25"/>
      <c r="K573" s="25"/>
      <c r="L573" s="25"/>
    </row>
    <row r="574" spans="2:12" ht="16.5" thickBot="1" x14ac:dyDescent="0.3">
      <c r="B574" s="144" t="s">
        <v>293</v>
      </c>
      <c r="C574" s="145"/>
      <c r="D574" s="145"/>
      <c r="E574" s="145"/>
      <c r="F574" s="145"/>
      <c r="G574" s="145"/>
      <c r="H574" s="145"/>
      <c r="I574" s="25"/>
      <c r="J574" s="25"/>
      <c r="K574" s="25"/>
      <c r="L574" s="25"/>
    </row>
    <row r="575" spans="2:12" ht="16.5" thickBot="1" x14ac:dyDescent="0.3">
      <c r="B575" s="161" t="s">
        <v>282</v>
      </c>
      <c r="C575" s="164" t="s">
        <v>294</v>
      </c>
      <c r="D575" s="165"/>
      <c r="E575" s="165"/>
      <c r="F575" s="165"/>
      <c r="G575" s="165"/>
      <c r="H575" s="132"/>
      <c r="I575" s="25"/>
      <c r="J575" s="25"/>
      <c r="K575" s="25"/>
      <c r="L575" s="25"/>
    </row>
    <row r="576" spans="2:12" ht="37.5" thickBot="1" x14ac:dyDescent="0.3">
      <c r="B576" s="163"/>
      <c r="C576" s="115" t="s">
        <v>295</v>
      </c>
      <c r="D576" s="40" t="s">
        <v>296</v>
      </c>
      <c r="E576" s="40" t="s">
        <v>297</v>
      </c>
      <c r="F576" s="40" t="s">
        <v>298</v>
      </c>
      <c r="G576" s="40" t="s">
        <v>299</v>
      </c>
      <c r="H576" s="116" t="s">
        <v>300</v>
      </c>
      <c r="I576" s="25"/>
      <c r="J576" s="25"/>
      <c r="K576" s="25"/>
      <c r="L576" s="25"/>
    </row>
    <row r="577" spans="2:12" ht="60" x14ac:dyDescent="0.25">
      <c r="B577" s="35" t="s">
        <v>285</v>
      </c>
      <c r="C577" s="80">
        <v>62.748700926720971</v>
      </c>
      <c r="D577" s="43">
        <v>31.374350463360429</v>
      </c>
      <c r="E577" s="43">
        <v>31.37435046336045</v>
      </c>
      <c r="F577" s="43">
        <v>15.687175231680232</v>
      </c>
      <c r="G577" s="43">
        <v>1</v>
      </c>
      <c r="H577" s="117" t="s">
        <v>301</v>
      </c>
      <c r="I577" s="25"/>
      <c r="J577" s="25"/>
      <c r="K577" s="25"/>
      <c r="L577" s="25"/>
    </row>
    <row r="578" spans="2:12" ht="36" x14ac:dyDescent="0.25">
      <c r="B578" s="37" t="s">
        <v>0</v>
      </c>
      <c r="C578" s="83">
        <v>0</v>
      </c>
      <c r="D578" s="48">
        <v>31.374350463360429</v>
      </c>
      <c r="E578" s="48">
        <v>0</v>
      </c>
      <c r="F578" s="48">
        <v>15.687175231680218</v>
      </c>
      <c r="G578" s="48">
        <v>1</v>
      </c>
      <c r="H578" s="118" t="s">
        <v>302</v>
      </c>
      <c r="I578" s="25"/>
      <c r="J578" s="25"/>
      <c r="K578" s="25"/>
      <c r="L578" s="25"/>
    </row>
    <row r="579" spans="2:12" ht="36" x14ac:dyDescent="0.25">
      <c r="B579" s="37" t="s">
        <v>1</v>
      </c>
      <c r="C579" s="83">
        <v>0</v>
      </c>
      <c r="D579" s="48">
        <v>0</v>
      </c>
      <c r="E579" s="48">
        <v>31.374350463360425</v>
      </c>
      <c r="F579" s="48">
        <v>15.687175231680243</v>
      </c>
      <c r="G579" s="48">
        <v>1</v>
      </c>
      <c r="H579" s="118" t="s">
        <v>303</v>
      </c>
      <c r="I579" s="25"/>
      <c r="J579" s="25"/>
      <c r="K579" s="25"/>
      <c r="L579" s="25"/>
    </row>
    <row r="580" spans="2:12" x14ac:dyDescent="0.25">
      <c r="B580" s="37" t="s">
        <v>288</v>
      </c>
      <c r="C580" s="83">
        <v>68.704344993194852</v>
      </c>
      <c r="D580" s="48">
        <v>34.352172496597383</v>
      </c>
      <c r="E580" s="48">
        <v>34.352172496597341</v>
      </c>
      <c r="F580" s="48">
        <v>17.176086248298684</v>
      </c>
      <c r="G580" s="48">
        <v>0.99999999999999989</v>
      </c>
      <c r="H580" s="86"/>
      <c r="I580" s="25"/>
      <c r="J580" s="25"/>
      <c r="K580" s="25"/>
      <c r="L580" s="25"/>
    </row>
    <row r="581" spans="2:12" ht="36" x14ac:dyDescent="0.25">
      <c r="B581" s="37" t="s">
        <v>289</v>
      </c>
      <c r="C581" s="83">
        <v>0</v>
      </c>
      <c r="D581" s="48">
        <v>0</v>
      </c>
      <c r="E581" s="48">
        <v>0</v>
      </c>
      <c r="F581" s="48">
        <v>15.68717523168025</v>
      </c>
      <c r="G581" s="48">
        <v>1</v>
      </c>
      <c r="H581" s="118" t="s">
        <v>289</v>
      </c>
      <c r="I581" s="25"/>
      <c r="J581" s="25"/>
      <c r="K581" s="25"/>
      <c r="L581" s="25"/>
    </row>
    <row r="582" spans="2:12" ht="24" x14ac:dyDescent="0.25">
      <c r="B582" s="37" t="s">
        <v>290</v>
      </c>
      <c r="C582" s="83">
        <v>0</v>
      </c>
      <c r="D582" s="48">
        <v>34.352172496597476</v>
      </c>
      <c r="E582" s="48">
        <v>0</v>
      </c>
      <c r="F582" s="48">
        <v>17.17608624829872</v>
      </c>
      <c r="G582" s="48">
        <v>1</v>
      </c>
      <c r="H582" s="86"/>
      <c r="I582" s="25"/>
      <c r="J582" s="25"/>
      <c r="K582" s="25"/>
      <c r="L582" s="25"/>
    </row>
    <row r="583" spans="2:12" ht="24" x14ac:dyDescent="0.25">
      <c r="B583" s="37" t="s">
        <v>291</v>
      </c>
      <c r="C583" s="83">
        <v>0</v>
      </c>
      <c r="D583" s="48">
        <v>0</v>
      </c>
      <c r="E583" s="48">
        <v>34.352172496597625</v>
      </c>
      <c r="F583" s="48">
        <v>17.176086248298773</v>
      </c>
      <c r="G583" s="48">
        <v>1</v>
      </c>
      <c r="H583" s="86"/>
      <c r="I583" s="25"/>
      <c r="J583" s="25"/>
      <c r="K583" s="25"/>
      <c r="L583" s="25"/>
    </row>
    <row r="584" spans="2:12" ht="48" x14ac:dyDescent="0.25">
      <c r="B584" s="37" t="s">
        <v>292</v>
      </c>
      <c r="C584" s="83">
        <v>0</v>
      </c>
      <c r="D584" s="48">
        <v>0</v>
      </c>
      <c r="E584" s="48">
        <v>0</v>
      </c>
      <c r="F584" s="48">
        <v>17.176086248298784</v>
      </c>
      <c r="G584" s="48">
        <v>1</v>
      </c>
      <c r="H584" s="86"/>
      <c r="I584" s="25"/>
      <c r="J584" s="25"/>
      <c r="K584" s="25"/>
      <c r="L584" s="25"/>
    </row>
    <row r="585" spans="2:12" ht="16.5" thickBot="1" x14ac:dyDescent="0.3">
      <c r="B585" s="38" t="s">
        <v>287</v>
      </c>
      <c r="C585" s="94">
        <v>0</v>
      </c>
      <c r="D585" s="114">
        <v>0</v>
      </c>
      <c r="E585" s="114">
        <v>0</v>
      </c>
      <c r="F585" s="114">
        <v>0</v>
      </c>
      <c r="G585" s="114">
        <v>1</v>
      </c>
      <c r="H585" s="97"/>
      <c r="I585" s="25"/>
      <c r="J585" s="25"/>
      <c r="K585" s="25"/>
      <c r="L585" s="25"/>
    </row>
    <row r="586" spans="2:12" x14ac:dyDescent="0.25">
      <c r="B586" s="25"/>
      <c r="C586" s="25"/>
      <c r="D586" s="25"/>
      <c r="E586" s="25"/>
      <c r="F586" s="25"/>
      <c r="G586" s="25"/>
      <c r="H586" s="25"/>
      <c r="I586" s="25"/>
      <c r="J586" s="25"/>
      <c r="K586" s="25"/>
      <c r="L586" s="25"/>
    </row>
    <row r="587" spans="2:12" x14ac:dyDescent="0.25">
      <c r="B587" s="25"/>
      <c r="C587" s="25"/>
      <c r="D587" s="25"/>
      <c r="E587" s="25"/>
      <c r="F587" s="25"/>
      <c r="G587" s="25"/>
      <c r="H587" s="25"/>
      <c r="I587" s="25"/>
      <c r="J587" s="25"/>
      <c r="K587" s="25"/>
      <c r="L587" s="25"/>
    </row>
    <row r="588" spans="2:12" x14ac:dyDescent="0.25">
      <c r="B588" s="25"/>
      <c r="C588" s="25"/>
      <c r="D588" s="25"/>
      <c r="E588" s="25"/>
      <c r="F588" s="25"/>
      <c r="G588" s="25"/>
      <c r="H588" s="25"/>
      <c r="I588" s="25"/>
      <c r="J588" s="25"/>
      <c r="K588" s="25"/>
      <c r="L588" s="25"/>
    </row>
    <row r="589" spans="2:12" x14ac:dyDescent="0.25">
      <c r="B589" s="25"/>
      <c r="C589" s="25"/>
      <c r="D589" s="25"/>
      <c r="E589" s="25"/>
      <c r="F589" s="25"/>
      <c r="G589" s="25"/>
      <c r="H589" s="25"/>
      <c r="I589" s="25"/>
      <c r="J589" s="25"/>
      <c r="K589" s="25"/>
      <c r="L589" s="25"/>
    </row>
    <row r="590" spans="2:12" x14ac:dyDescent="0.25">
      <c r="B590" s="26" t="s">
        <v>310</v>
      </c>
      <c r="C590" s="25"/>
      <c r="D590" s="25"/>
      <c r="E590" s="25"/>
      <c r="F590" s="25"/>
      <c r="G590" s="25"/>
      <c r="H590" s="25"/>
      <c r="I590" s="25"/>
      <c r="J590" s="25"/>
      <c r="K590" s="25"/>
      <c r="L590" s="25"/>
    </row>
    <row r="591" spans="2:12" x14ac:dyDescent="0.25">
      <c r="B591" s="26" t="s">
        <v>266</v>
      </c>
      <c r="C591" s="25"/>
      <c r="D591" s="25"/>
      <c r="E591" s="25"/>
      <c r="F591" s="25"/>
      <c r="G591" s="25"/>
      <c r="H591" s="25"/>
      <c r="I591" s="25"/>
      <c r="J591" s="25"/>
      <c r="K591" s="25"/>
      <c r="L591" s="25"/>
    </row>
    <row r="592" spans="2:12" x14ac:dyDescent="0.25">
      <c r="B592" s="26" t="s">
        <v>260</v>
      </c>
      <c r="C592" s="25"/>
      <c r="D592" s="25"/>
      <c r="E592" s="25"/>
      <c r="F592" s="25"/>
      <c r="G592" s="25"/>
      <c r="H592" s="25"/>
      <c r="I592" s="25"/>
      <c r="J592" s="25"/>
      <c r="K592" s="25"/>
      <c r="L592" s="25"/>
    </row>
    <row r="593" spans="2:12" x14ac:dyDescent="0.25">
      <c r="B593" s="26" t="s">
        <v>261</v>
      </c>
      <c r="C593" s="25"/>
      <c r="D593" s="25"/>
      <c r="E593" s="25"/>
      <c r="F593" s="25"/>
      <c r="G593" s="25"/>
      <c r="H593" s="25"/>
      <c r="I593" s="25"/>
      <c r="J593" s="25"/>
      <c r="K593" s="25"/>
      <c r="L593" s="25"/>
    </row>
    <row r="594" spans="2:12" x14ac:dyDescent="0.25">
      <c r="B594" s="26" t="s">
        <v>314</v>
      </c>
      <c r="C594" s="25"/>
      <c r="D594" s="25"/>
      <c r="E594" s="25"/>
      <c r="F594" s="25"/>
      <c r="G594" s="25"/>
      <c r="H594" s="25"/>
      <c r="I594" s="25"/>
      <c r="J594" s="25"/>
      <c r="K594" s="25"/>
      <c r="L594" s="25"/>
    </row>
    <row r="595" spans="2:12" x14ac:dyDescent="0.25">
      <c r="B595" s="26" t="s">
        <v>263</v>
      </c>
      <c r="C595" s="25"/>
      <c r="D595" s="25"/>
      <c r="E595" s="25"/>
      <c r="F595" s="25"/>
      <c r="G595" s="25"/>
      <c r="H595" s="25"/>
      <c r="I595" s="25"/>
      <c r="J595" s="25"/>
      <c r="K595" s="25"/>
      <c r="L595" s="25"/>
    </row>
    <row r="596" spans="2:12" x14ac:dyDescent="0.25">
      <c r="B596" s="26" t="s">
        <v>267</v>
      </c>
      <c r="C596" s="25"/>
      <c r="D596" s="25"/>
      <c r="E596" s="25"/>
      <c r="F596" s="25"/>
      <c r="G596" s="25"/>
      <c r="H596" s="25"/>
      <c r="I596" s="25"/>
      <c r="J596" s="25"/>
      <c r="K596" s="25"/>
      <c r="L596" s="25"/>
    </row>
    <row r="597" spans="2:12" x14ac:dyDescent="0.25">
      <c r="B597" s="25"/>
      <c r="C597" s="25"/>
      <c r="D597" s="25"/>
      <c r="E597" s="25"/>
      <c r="F597" s="25"/>
      <c r="G597" s="25"/>
      <c r="H597" s="25"/>
      <c r="I597" s="25"/>
      <c r="J597" s="25"/>
      <c r="K597" s="25"/>
      <c r="L597" s="25"/>
    </row>
    <row r="598" spans="2:12" x14ac:dyDescent="0.25">
      <c r="B598" s="25"/>
      <c r="C598" s="25"/>
      <c r="D598" s="25"/>
      <c r="E598" s="25"/>
      <c r="F598" s="25"/>
      <c r="G598" s="25"/>
      <c r="H598" s="25"/>
      <c r="I598" s="25"/>
      <c r="J598" s="25"/>
      <c r="K598" s="25"/>
      <c r="L598" s="25"/>
    </row>
    <row r="599" spans="2:12" ht="16.5" x14ac:dyDescent="0.25">
      <c r="B599" s="27" t="s">
        <v>268</v>
      </c>
      <c r="C599" s="25"/>
      <c r="D599" s="25"/>
      <c r="E599" s="25"/>
      <c r="F599" s="25"/>
      <c r="G599" s="25"/>
      <c r="H599" s="25"/>
      <c r="I599" s="25"/>
      <c r="J599" s="25"/>
      <c r="K599" s="25"/>
      <c r="L599" s="25"/>
    </row>
    <row r="600" spans="2:12" x14ac:dyDescent="0.25">
      <c r="B600" s="25"/>
      <c r="C600" s="25"/>
      <c r="D600" s="25"/>
      <c r="E600" s="25"/>
      <c r="F600" s="25"/>
      <c r="G600" s="25"/>
      <c r="H600" s="25"/>
      <c r="I600" s="25"/>
      <c r="J600" s="25"/>
      <c r="K600" s="25"/>
      <c r="L600" s="25"/>
    </row>
    <row r="601" spans="2:12" ht="16.5" thickBot="1" x14ac:dyDescent="0.3">
      <c r="B601" s="129" t="s">
        <v>15</v>
      </c>
      <c r="C601" s="130"/>
      <c r="D601" s="130"/>
      <c r="E601" s="25"/>
      <c r="F601" s="25"/>
      <c r="G601" s="25"/>
      <c r="H601" s="25"/>
      <c r="I601" s="25"/>
      <c r="J601" s="25"/>
      <c r="K601" s="25"/>
      <c r="L601" s="25"/>
    </row>
    <row r="602" spans="2:12" x14ac:dyDescent="0.25">
      <c r="B602" s="131" t="s">
        <v>189</v>
      </c>
      <c r="C602" s="132"/>
      <c r="D602" s="28" t="s">
        <v>315</v>
      </c>
      <c r="E602" s="25"/>
      <c r="F602" s="25"/>
      <c r="G602" s="25"/>
      <c r="H602" s="25"/>
      <c r="I602" s="25"/>
      <c r="J602" s="25"/>
      <c r="K602" s="25"/>
      <c r="L602" s="25"/>
    </row>
    <row r="603" spans="2:12" x14ac:dyDescent="0.25">
      <c r="B603" s="133" t="s">
        <v>191</v>
      </c>
      <c r="C603" s="134"/>
      <c r="D603" s="29" t="s">
        <v>192</v>
      </c>
      <c r="E603" s="25"/>
      <c r="F603" s="25"/>
      <c r="G603" s="25"/>
      <c r="H603" s="25"/>
      <c r="I603" s="25"/>
      <c r="J603" s="25"/>
      <c r="K603" s="25"/>
      <c r="L603" s="25"/>
    </row>
    <row r="604" spans="2:12" ht="96" x14ac:dyDescent="0.25">
      <c r="B604" s="135" t="s">
        <v>193</v>
      </c>
      <c r="C604" s="30" t="s">
        <v>270</v>
      </c>
      <c r="D604" s="29" t="s">
        <v>271</v>
      </c>
      <c r="E604" s="25"/>
      <c r="F604" s="25"/>
      <c r="G604" s="25"/>
      <c r="H604" s="25"/>
      <c r="I604" s="25"/>
      <c r="J604" s="25"/>
      <c r="K604" s="25"/>
      <c r="L604" s="25"/>
    </row>
    <row r="605" spans="2:12" ht="24" x14ac:dyDescent="0.25">
      <c r="B605" s="136"/>
      <c r="C605" s="30" t="s">
        <v>194</v>
      </c>
      <c r="D605" s="29" t="s">
        <v>195</v>
      </c>
      <c r="E605" s="25"/>
      <c r="F605" s="25"/>
      <c r="G605" s="25"/>
      <c r="H605" s="25"/>
      <c r="I605" s="25"/>
      <c r="J605" s="25"/>
      <c r="K605" s="25"/>
      <c r="L605" s="25"/>
    </row>
    <row r="606" spans="2:12" ht="24" x14ac:dyDescent="0.25">
      <c r="B606" s="136"/>
      <c r="C606" s="30" t="s">
        <v>196</v>
      </c>
      <c r="D606" s="29" t="s">
        <v>272</v>
      </c>
      <c r="E606" s="25"/>
      <c r="F606" s="25"/>
      <c r="G606" s="25"/>
      <c r="H606" s="25"/>
      <c r="I606" s="25"/>
      <c r="J606" s="25"/>
      <c r="K606" s="25"/>
      <c r="L606" s="25"/>
    </row>
    <row r="607" spans="2:12" x14ac:dyDescent="0.25">
      <c r="B607" s="136"/>
      <c r="C607" s="30" t="s">
        <v>198</v>
      </c>
      <c r="D607" s="29" t="s">
        <v>197</v>
      </c>
      <c r="E607" s="25"/>
      <c r="F607" s="25"/>
      <c r="G607" s="25"/>
      <c r="H607" s="25"/>
      <c r="I607" s="25"/>
      <c r="J607" s="25"/>
      <c r="K607" s="25"/>
      <c r="L607" s="25"/>
    </row>
    <row r="608" spans="2:12" x14ac:dyDescent="0.25">
      <c r="B608" s="136"/>
      <c r="C608" s="30" t="s">
        <v>199</v>
      </c>
      <c r="D608" s="29" t="s">
        <v>197</v>
      </c>
      <c r="E608" s="25"/>
      <c r="F608" s="25"/>
      <c r="G608" s="25"/>
      <c r="H608" s="25"/>
      <c r="I608" s="25"/>
      <c r="J608" s="25"/>
      <c r="K608" s="25"/>
      <c r="L608" s="25"/>
    </row>
    <row r="609" spans="2:12" ht="36" x14ac:dyDescent="0.25">
      <c r="B609" s="136"/>
      <c r="C609" s="30" t="s">
        <v>200</v>
      </c>
      <c r="D609" s="31">
        <v>336</v>
      </c>
      <c r="E609" s="25"/>
      <c r="F609" s="25"/>
      <c r="G609" s="25"/>
      <c r="H609" s="25"/>
      <c r="I609" s="25"/>
      <c r="J609" s="25"/>
      <c r="K609" s="25"/>
      <c r="L609" s="25"/>
    </row>
    <row r="610" spans="2:12" ht="36" x14ac:dyDescent="0.25">
      <c r="B610" s="135" t="s">
        <v>201</v>
      </c>
      <c r="C610" s="30" t="s">
        <v>202</v>
      </c>
      <c r="D610" s="29" t="s">
        <v>203</v>
      </c>
      <c r="E610" s="25"/>
      <c r="F610" s="25"/>
      <c r="G610" s="25"/>
      <c r="H610" s="25"/>
      <c r="I610" s="25"/>
      <c r="J610" s="25"/>
      <c r="K610" s="25"/>
      <c r="L610" s="25"/>
    </row>
    <row r="611" spans="2:12" ht="48" x14ac:dyDescent="0.25">
      <c r="B611" s="136"/>
      <c r="C611" s="30" t="s">
        <v>204</v>
      </c>
      <c r="D611" s="29" t="s">
        <v>273</v>
      </c>
      <c r="E611" s="25"/>
      <c r="F611" s="25"/>
      <c r="G611" s="25"/>
      <c r="H611" s="25"/>
      <c r="I611" s="25"/>
      <c r="J611" s="25"/>
      <c r="K611" s="25"/>
      <c r="L611" s="25"/>
    </row>
    <row r="612" spans="2:12" ht="336" x14ac:dyDescent="0.25">
      <c r="B612" s="133" t="s">
        <v>206</v>
      </c>
      <c r="C612" s="134"/>
      <c r="D612" s="29" t="s">
        <v>316</v>
      </c>
      <c r="E612" s="25"/>
      <c r="F612" s="25"/>
      <c r="G612" s="25"/>
      <c r="H612" s="25"/>
      <c r="I612" s="25"/>
      <c r="J612" s="25"/>
      <c r="K612" s="25"/>
      <c r="L612" s="25"/>
    </row>
    <row r="613" spans="2:12" ht="24.75" thickBot="1" x14ac:dyDescent="0.3">
      <c r="B613" s="148" t="s">
        <v>208</v>
      </c>
      <c r="C613" s="30" t="s">
        <v>209</v>
      </c>
      <c r="D613" s="32" t="s">
        <v>275</v>
      </c>
      <c r="E613" s="25"/>
      <c r="F613" s="25"/>
      <c r="G613" s="25"/>
      <c r="H613" s="25"/>
      <c r="I613" s="25"/>
      <c r="J613" s="25"/>
      <c r="K613" s="25"/>
      <c r="L613" s="25"/>
    </row>
    <row r="614" spans="2:12" ht="24.75" thickBot="1" x14ac:dyDescent="0.3">
      <c r="B614" s="143"/>
      <c r="C614" s="33" t="s">
        <v>211</v>
      </c>
      <c r="D614" s="34" t="s">
        <v>317</v>
      </c>
      <c r="E614" s="25"/>
      <c r="F614" s="25"/>
      <c r="G614" s="25"/>
      <c r="H614" s="25"/>
      <c r="I614" s="25"/>
      <c r="J614" s="25"/>
      <c r="K614" s="25"/>
      <c r="L614" s="25"/>
    </row>
    <row r="615" spans="2:12" x14ac:dyDescent="0.25">
      <c r="B615" s="25"/>
      <c r="C615" s="25"/>
      <c r="D615" s="25"/>
      <c r="E615" s="25"/>
      <c r="F615" s="25"/>
      <c r="G615" s="25"/>
      <c r="H615" s="25"/>
      <c r="I615" s="25"/>
      <c r="J615" s="25"/>
      <c r="K615" s="25"/>
      <c r="L615" s="25"/>
    </row>
    <row r="616" spans="2:12" x14ac:dyDescent="0.25">
      <c r="B616" s="25"/>
      <c r="C616" s="25"/>
      <c r="D616" s="25"/>
      <c r="E616" s="25"/>
      <c r="F616" s="25"/>
      <c r="G616" s="25"/>
      <c r="H616" s="25"/>
      <c r="I616" s="25"/>
      <c r="J616" s="25"/>
      <c r="K616" s="25"/>
      <c r="L616" s="25"/>
    </row>
    <row r="617" spans="2:12" x14ac:dyDescent="0.25">
      <c r="B617" s="26" t="s">
        <v>277</v>
      </c>
      <c r="C617" s="25"/>
      <c r="D617" s="25"/>
      <c r="E617" s="25"/>
      <c r="F617" s="25"/>
      <c r="G617" s="25"/>
      <c r="H617" s="25"/>
      <c r="I617" s="25"/>
      <c r="J617" s="25"/>
      <c r="K617" s="25"/>
      <c r="L617" s="25"/>
    </row>
    <row r="618" spans="2:12" x14ac:dyDescent="0.25">
      <c r="B618" s="25"/>
      <c r="C618" s="25"/>
      <c r="D618" s="25"/>
      <c r="E618" s="25"/>
      <c r="F618" s="25"/>
      <c r="G618" s="25"/>
      <c r="H618" s="25"/>
      <c r="I618" s="25"/>
      <c r="J618" s="25"/>
      <c r="K618" s="25"/>
      <c r="L618" s="25"/>
    </row>
    <row r="619" spans="2:12" ht="16.5" thickBot="1" x14ac:dyDescent="0.3">
      <c r="B619" s="144" t="s">
        <v>278</v>
      </c>
      <c r="C619" s="145"/>
      <c r="D619" s="145"/>
      <c r="E619" s="25"/>
      <c r="F619" s="25"/>
      <c r="G619" s="25"/>
      <c r="H619" s="25"/>
      <c r="I619" s="25"/>
      <c r="J619" s="25"/>
      <c r="K619" s="25"/>
      <c r="L619" s="25"/>
    </row>
    <row r="620" spans="2:12" ht="16.5" thickBot="1" x14ac:dyDescent="0.3">
      <c r="B620" s="146" t="s">
        <v>192</v>
      </c>
      <c r="C620" s="147"/>
      <c r="D620" s="101" t="s">
        <v>223</v>
      </c>
      <c r="E620" s="25"/>
      <c r="F620" s="25"/>
      <c r="G620" s="25"/>
      <c r="H620" s="25"/>
      <c r="I620" s="25"/>
      <c r="J620" s="25"/>
      <c r="K620" s="25"/>
      <c r="L620" s="25"/>
    </row>
    <row r="621" spans="2:12" x14ac:dyDescent="0.25">
      <c r="B621" s="159" t="s">
        <v>0</v>
      </c>
      <c r="C621" s="41" t="s">
        <v>232</v>
      </c>
      <c r="D621" s="102">
        <v>140</v>
      </c>
      <c r="E621" s="25"/>
      <c r="F621" s="25"/>
      <c r="G621" s="25"/>
      <c r="H621" s="25"/>
      <c r="I621" s="25"/>
      <c r="J621" s="25"/>
      <c r="K621" s="25"/>
      <c r="L621" s="25"/>
    </row>
    <row r="622" spans="2:12" x14ac:dyDescent="0.25">
      <c r="B622" s="136"/>
      <c r="C622" s="30" t="s">
        <v>215</v>
      </c>
      <c r="D622" s="31">
        <v>196</v>
      </c>
      <c r="E622" s="25"/>
      <c r="F622" s="25"/>
      <c r="G622" s="25"/>
      <c r="H622" s="25"/>
      <c r="I622" s="25"/>
      <c r="J622" s="25"/>
      <c r="K622" s="25"/>
      <c r="L622" s="25"/>
    </row>
    <row r="623" spans="2:12" x14ac:dyDescent="0.25">
      <c r="B623" s="135" t="s">
        <v>1</v>
      </c>
      <c r="C623" s="30" t="s">
        <v>232</v>
      </c>
      <c r="D623" s="31">
        <v>130</v>
      </c>
      <c r="E623" s="25"/>
      <c r="F623" s="25"/>
      <c r="G623" s="25"/>
      <c r="H623" s="25"/>
      <c r="I623" s="25"/>
      <c r="J623" s="25"/>
      <c r="K623" s="25"/>
      <c r="L623" s="25"/>
    </row>
    <row r="624" spans="2:12" x14ac:dyDescent="0.25">
      <c r="B624" s="136"/>
      <c r="C624" s="30" t="s">
        <v>215</v>
      </c>
      <c r="D624" s="31">
        <v>206</v>
      </c>
      <c r="E624" s="25"/>
      <c r="F624" s="25"/>
      <c r="G624" s="25"/>
      <c r="H624" s="25"/>
      <c r="I624" s="25"/>
      <c r="J624" s="25"/>
      <c r="K624" s="25"/>
      <c r="L624" s="25"/>
    </row>
    <row r="625" spans="2:12" ht="16.5" thickBot="1" x14ac:dyDescent="0.3">
      <c r="B625" s="148" t="s">
        <v>32</v>
      </c>
      <c r="C625" s="30" t="s">
        <v>50</v>
      </c>
      <c r="D625" s="31">
        <v>77</v>
      </c>
      <c r="E625" s="25"/>
      <c r="F625" s="25"/>
      <c r="G625" s="25"/>
      <c r="H625" s="25"/>
      <c r="I625" s="25"/>
      <c r="J625" s="25"/>
      <c r="K625" s="25"/>
      <c r="L625" s="25"/>
    </row>
    <row r="626" spans="2:12" x14ac:dyDescent="0.25">
      <c r="B626" s="136"/>
      <c r="C626" s="30" t="s">
        <v>16</v>
      </c>
      <c r="D626" s="31">
        <v>116</v>
      </c>
      <c r="E626" s="25"/>
      <c r="F626" s="25"/>
      <c r="G626" s="25"/>
      <c r="H626" s="25"/>
      <c r="I626" s="25"/>
      <c r="J626" s="25"/>
      <c r="K626" s="25"/>
      <c r="L626" s="25"/>
    </row>
    <row r="627" spans="2:12" x14ac:dyDescent="0.25">
      <c r="B627" s="136"/>
      <c r="C627" s="30" t="s">
        <v>126</v>
      </c>
      <c r="D627" s="31">
        <v>47</v>
      </c>
      <c r="E627" s="25"/>
      <c r="F627" s="25"/>
      <c r="G627" s="25"/>
      <c r="H627" s="25"/>
      <c r="I627" s="25"/>
      <c r="J627" s="25"/>
      <c r="K627" s="25"/>
      <c r="L627" s="25"/>
    </row>
    <row r="628" spans="2:12" ht="16.5" thickBot="1" x14ac:dyDescent="0.3">
      <c r="B628" s="143"/>
      <c r="C628" s="33" t="s">
        <v>130</v>
      </c>
      <c r="D628" s="103">
        <v>96</v>
      </c>
      <c r="E628" s="25"/>
      <c r="F628" s="25"/>
      <c r="G628" s="25"/>
      <c r="H628" s="25"/>
      <c r="I628" s="25"/>
      <c r="J628" s="25"/>
      <c r="K628" s="25"/>
      <c r="L628" s="25"/>
    </row>
    <row r="629" spans="2:12" x14ac:dyDescent="0.25">
      <c r="B629" s="25"/>
      <c r="C629" s="25"/>
      <c r="D629" s="25"/>
      <c r="E629" s="25"/>
      <c r="F629" s="25"/>
      <c r="G629" s="25"/>
      <c r="H629" s="25"/>
      <c r="I629" s="25"/>
      <c r="J629" s="25"/>
      <c r="K629" s="25"/>
      <c r="L629" s="25"/>
    </row>
    <row r="630" spans="2:12" x14ac:dyDescent="0.25">
      <c r="B630" s="144" t="s">
        <v>279</v>
      </c>
      <c r="C630" s="145"/>
      <c r="D630" s="145"/>
      <c r="E630" s="145"/>
      <c r="F630" s="145"/>
      <c r="G630" s="145"/>
      <c r="H630" s="25"/>
      <c r="I630" s="25"/>
      <c r="J630" s="25"/>
      <c r="K630" s="25"/>
      <c r="L630" s="25"/>
    </row>
    <row r="631" spans="2:12" ht="16.5" thickBot="1" x14ac:dyDescent="0.3">
      <c r="B631" s="160" t="s">
        <v>313</v>
      </c>
      <c r="C631" s="145"/>
      <c r="D631" s="145"/>
      <c r="E631" s="145"/>
      <c r="F631" s="145"/>
      <c r="G631" s="145"/>
      <c r="H631" s="25"/>
      <c r="I631" s="25"/>
      <c r="J631" s="25"/>
      <c r="K631" s="25"/>
      <c r="L631" s="25"/>
    </row>
    <row r="632" spans="2:12" ht="16.5" thickBot="1" x14ac:dyDescent="0.3">
      <c r="B632" s="104" t="s">
        <v>0</v>
      </c>
      <c r="C632" s="105" t="s">
        <v>1</v>
      </c>
      <c r="D632" s="106" t="s">
        <v>32</v>
      </c>
      <c r="E632" s="77" t="s">
        <v>224</v>
      </c>
      <c r="F632" s="78" t="s">
        <v>225</v>
      </c>
      <c r="G632" s="79" t="s">
        <v>223</v>
      </c>
      <c r="H632" s="25"/>
      <c r="I632" s="25"/>
      <c r="J632" s="25"/>
      <c r="K632" s="25"/>
      <c r="L632" s="25"/>
    </row>
    <row r="633" spans="2:12" x14ac:dyDescent="0.25">
      <c r="B633" s="139" t="s">
        <v>232</v>
      </c>
      <c r="C633" s="156" t="s">
        <v>232</v>
      </c>
      <c r="D633" s="41" t="s">
        <v>50</v>
      </c>
      <c r="E633" s="122">
        <v>8.4811547049999998</v>
      </c>
      <c r="F633" s="123">
        <v>9.4015592079536976</v>
      </c>
      <c r="G633" s="107">
        <v>8</v>
      </c>
      <c r="H633" s="25"/>
      <c r="I633" s="25"/>
      <c r="J633" s="25"/>
      <c r="K633" s="25"/>
      <c r="L633" s="25"/>
    </row>
    <row r="634" spans="2:12" x14ac:dyDescent="0.25">
      <c r="B634" s="136"/>
      <c r="C634" s="145"/>
      <c r="D634" s="30" t="s">
        <v>16</v>
      </c>
      <c r="E634" s="124">
        <v>9.5468054261111135</v>
      </c>
      <c r="F634" s="69">
        <v>7.3704480788177662</v>
      </c>
      <c r="G634" s="108">
        <v>18</v>
      </c>
      <c r="H634" s="25"/>
      <c r="I634" s="25"/>
      <c r="J634" s="25"/>
      <c r="K634" s="25"/>
      <c r="L634" s="25"/>
    </row>
    <row r="635" spans="2:12" x14ac:dyDescent="0.25">
      <c r="B635" s="136"/>
      <c r="C635" s="145"/>
      <c r="D635" s="30" t="s">
        <v>126</v>
      </c>
      <c r="E635" s="124">
        <v>8.0754825857142869</v>
      </c>
      <c r="F635" s="69">
        <v>5.9277486066279801</v>
      </c>
      <c r="G635" s="108">
        <v>7</v>
      </c>
      <c r="H635" s="25"/>
      <c r="I635" s="25"/>
      <c r="J635" s="25"/>
      <c r="K635" s="25"/>
      <c r="L635" s="25"/>
    </row>
    <row r="636" spans="2:12" x14ac:dyDescent="0.25">
      <c r="B636" s="136"/>
      <c r="C636" s="145"/>
      <c r="D636" s="30" t="s">
        <v>130</v>
      </c>
      <c r="E636" s="124">
        <v>44.919994686956521</v>
      </c>
      <c r="F636" s="69">
        <v>54.795242005130596</v>
      </c>
      <c r="G636" s="108">
        <v>23</v>
      </c>
      <c r="H636" s="25"/>
      <c r="I636" s="25"/>
      <c r="J636" s="25"/>
      <c r="K636" s="25"/>
      <c r="L636" s="25"/>
    </row>
    <row r="637" spans="2:12" x14ac:dyDescent="0.25">
      <c r="B637" s="136"/>
      <c r="C637" s="157"/>
      <c r="D637" s="52" t="s">
        <v>233</v>
      </c>
      <c r="E637" s="125">
        <v>23.738928414464286</v>
      </c>
      <c r="F637" s="126">
        <v>39.389066898325659</v>
      </c>
      <c r="G637" s="109">
        <v>56</v>
      </c>
      <c r="H637" s="25"/>
      <c r="I637" s="25"/>
      <c r="J637" s="25"/>
      <c r="K637" s="25"/>
      <c r="L637" s="25"/>
    </row>
    <row r="638" spans="2:12" x14ac:dyDescent="0.25">
      <c r="B638" s="136"/>
      <c r="C638" s="158" t="s">
        <v>215</v>
      </c>
      <c r="D638" s="58" t="s">
        <v>50</v>
      </c>
      <c r="E638" s="127">
        <v>16.673479800000003</v>
      </c>
      <c r="F638" s="65">
        <v>13.424916975791412</v>
      </c>
      <c r="G638" s="110">
        <v>10</v>
      </c>
      <c r="H638" s="25"/>
      <c r="I638" s="25"/>
      <c r="J638" s="25"/>
      <c r="K638" s="25"/>
      <c r="L638" s="25"/>
    </row>
    <row r="639" spans="2:12" x14ac:dyDescent="0.25">
      <c r="B639" s="136"/>
      <c r="C639" s="145"/>
      <c r="D639" s="30" t="s">
        <v>16</v>
      </c>
      <c r="E639" s="124">
        <v>56.227835451219505</v>
      </c>
      <c r="F639" s="69">
        <v>43.798616538059022</v>
      </c>
      <c r="G639" s="108">
        <v>41</v>
      </c>
      <c r="H639" s="25"/>
      <c r="I639" s="25"/>
      <c r="J639" s="25"/>
      <c r="K639" s="25"/>
      <c r="L639" s="25"/>
    </row>
    <row r="640" spans="2:12" x14ac:dyDescent="0.25">
      <c r="B640" s="136"/>
      <c r="C640" s="145"/>
      <c r="D640" s="30" t="s">
        <v>126</v>
      </c>
      <c r="E640" s="124">
        <v>24.11734090833334</v>
      </c>
      <c r="F640" s="69">
        <v>26.527449083954206</v>
      </c>
      <c r="G640" s="108">
        <v>12</v>
      </c>
      <c r="H640" s="25"/>
      <c r="I640" s="25"/>
      <c r="J640" s="25"/>
      <c r="K640" s="25"/>
      <c r="L640" s="25"/>
    </row>
    <row r="641" spans="2:12" x14ac:dyDescent="0.25">
      <c r="B641" s="136"/>
      <c r="C641" s="145"/>
      <c r="D641" s="30" t="s">
        <v>130</v>
      </c>
      <c r="E641" s="124">
        <v>47.523757533333331</v>
      </c>
      <c r="F641" s="69">
        <v>42.63258498372678</v>
      </c>
      <c r="G641" s="108">
        <v>21</v>
      </c>
      <c r="H641" s="25"/>
      <c r="I641" s="25"/>
      <c r="J641" s="25"/>
      <c r="K641" s="25"/>
      <c r="L641" s="25"/>
    </row>
    <row r="642" spans="2:12" x14ac:dyDescent="0.25">
      <c r="B642" s="136"/>
      <c r="C642" s="157"/>
      <c r="D642" s="52" t="s">
        <v>233</v>
      </c>
      <c r="E642" s="125">
        <v>44.755750602380949</v>
      </c>
      <c r="F642" s="126">
        <v>41.216536481677203</v>
      </c>
      <c r="G642" s="109">
        <v>84</v>
      </c>
      <c r="H642" s="25"/>
      <c r="I642" s="25"/>
      <c r="J642" s="25"/>
      <c r="K642" s="25"/>
      <c r="L642" s="25"/>
    </row>
    <row r="643" spans="2:12" x14ac:dyDescent="0.25">
      <c r="B643" s="136"/>
      <c r="C643" s="158" t="s">
        <v>233</v>
      </c>
      <c r="D643" s="58" t="s">
        <v>50</v>
      </c>
      <c r="E643" s="127">
        <v>13.032446424444444</v>
      </c>
      <c r="F643" s="65">
        <v>12.221163086051153</v>
      </c>
      <c r="G643" s="110">
        <v>18</v>
      </c>
      <c r="H643" s="25"/>
      <c r="I643" s="25"/>
      <c r="J643" s="25"/>
      <c r="K643" s="25"/>
      <c r="L643" s="25"/>
    </row>
    <row r="644" spans="2:12" x14ac:dyDescent="0.25">
      <c r="B644" s="136"/>
      <c r="C644" s="145"/>
      <c r="D644" s="30" t="s">
        <v>16</v>
      </c>
      <c r="E644" s="124">
        <v>41.986165274067808</v>
      </c>
      <c r="F644" s="69">
        <v>42.530658549909312</v>
      </c>
      <c r="G644" s="108">
        <v>59</v>
      </c>
      <c r="H644" s="25"/>
      <c r="I644" s="25"/>
      <c r="J644" s="25"/>
      <c r="K644" s="25"/>
      <c r="L644" s="25"/>
    </row>
    <row r="645" spans="2:12" x14ac:dyDescent="0.25">
      <c r="B645" s="136"/>
      <c r="C645" s="145"/>
      <c r="D645" s="30" t="s">
        <v>126</v>
      </c>
      <c r="E645" s="124">
        <v>18.207182578947375</v>
      </c>
      <c r="F645" s="69">
        <v>22.471351386192165</v>
      </c>
      <c r="G645" s="108">
        <v>19</v>
      </c>
      <c r="H645" s="25"/>
      <c r="I645" s="25"/>
      <c r="J645" s="25"/>
      <c r="K645" s="25"/>
      <c r="L645" s="25"/>
    </row>
    <row r="646" spans="2:12" x14ac:dyDescent="0.25">
      <c r="B646" s="136"/>
      <c r="C646" s="145"/>
      <c r="D646" s="30" t="s">
        <v>130</v>
      </c>
      <c r="E646" s="124">
        <v>46.162699681818182</v>
      </c>
      <c r="F646" s="69">
        <v>48.818738152830349</v>
      </c>
      <c r="G646" s="108">
        <v>44</v>
      </c>
      <c r="H646" s="25"/>
      <c r="I646" s="25"/>
      <c r="J646" s="25"/>
      <c r="K646" s="25"/>
      <c r="L646" s="25"/>
    </row>
    <row r="647" spans="2:12" x14ac:dyDescent="0.25">
      <c r="B647" s="140"/>
      <c r="C647" s="157"/>
      <c r="D647" s="52" t="s">
        <v>233</v>
      </c>
      <c r="E647" s="125">
        <v>36.3490217272143</v>
      </c>
      <c r="F647" s="126">
        <v>41.654143868221169</v>
      </c>
      <c r="G647" s="109">
        <v>140</v>
      </c>
      <c r="H647" s="25"/>
      <c r="I647" s="25"/>
      <c r="J647" s="25"/>
      <c r="K647" s="25"/>
      <c r="L647" s="25"/>
    </row>
    <row r="648" spans="2:12" x14ac:dyDescent="0.25">
      <c r="B648" s="141" t="s">
        <v>215</v>
      </c>
      <c r="C648" s="158" t="s">
        <v>232</v>
      </c>
      <c r="D648" s="58" t="s">
        <v>50</v>
      </c>
      <c r="E648" s="127">
        <v>9.6023167555555542</v>
      </c>
      <c r="F648" s="65">
        <v>9.9311291932255301</v>
      </c>
      <c r="G648" s="110">
        <v>27</v>
      </c>
      <c r="H648" s="25"/>
      <c r="I648" s="25"/>
      <c r="J648" s="25"/>
      <c r="K648" s="25"/>
      <c r="L648" s="25"/>
    </row>
    <row r="649" spans="2:12" x14ac:dyDescent="0.25">
      <c r="B649" s="136"/>
      <c r="C649" s="145"/>
      <c r="D649" s="30" t="s">
        <v>16</v>
      </c>
      <c r="E649" s="124">
        <v>5.5954711062500007</v>
      </c>
      <c r="F649" s="69">
        <v>6.0895924439721432</v>
      </c>
      <c r="G649" s="108">
        <v>16</v>
      </c>
      <c r="H649" s="25"/>
      <c r="I649" s="25"/>
      <c r="J649" s="25"/>
      <c r="K649" s="25"/>
      <c r="L649" s="25"/>
    </row>
    <row r="650" spans="2:12" x14ac:dyDescent="0.25">
      <c r="B650" s="136"/>
      <c r="C650" s="145"/>
      <c r="D650" s="30" t="s">
        <v>126</v>
      </c>
      <c r="E650" s="124">
        <v>10.57058671111111</v>
      </c>
      <c r="F650" s="69">
        <v>6.342160386480403</v>
      </c>
      <c r="G650" s="108">
        <v>9</v>
      </c>
      <c r="H650" s="25"/>
      <c r="I650" s="25"/>
      <c r="J650" s="25"/>
      <c r="K650" s="25"/>
      <c r="L650" s="25"/>
    </row>
    <row r="651" spans="2:12" x14ac:dyDescent="0.25">
      <c r="B651" s="136"/>
      <c r="C651" s="145"/>
      <c r="D651" s="30" t="s">
        <v>130</v>
      </c>
      <c r="E651" s="124">
        <v>14.97278305909091</v>
      </c>
      <c r="F651" s="69">
        <v>11.217376099702014</v>
      </c>
      <c r="G651" s="108">
        <v>22</v>
      </c>
      <c r="H651" s="25"/>
      <c r="I651" s="25"/>
      <c r="J651" s="25"/>
      <c r="K651" s="25"/>
      <c r="L651" s="25"/>
    </row>
    <row r="652" spans="2:12" x14ac:dyDescent="0.25">
      <c r="B652" s="136"/>
      <c r="C652" s="157"/>
      <c r="D652" s="52" t="s">
        <v>233</v>
      </c>
      <c r="E652" s="125">
        <v>10.450359429729735</v>
      </c>
      <c r="F652" s="126">
        <v>9.7442497511035118</v>
      </c>
      <c r="G652" s="109">
        <v>74</v>
      </c>
      <c r="H652" s="25"/>
      <c r="I652" s="25"/>
      <c r="J652" s="25"/>
      <c r="K652" s="25"/>
      <c r="L652" s="25"/>
    </row>
    <row r="653" spans="2:12" x14ac:dyDescent="0.25">
      <c r="B653" s="136"/>
      <c r="C653" s="158" t="s">
        <v>215</v>
      </c>
      <c r="D653" s="58" t="s">
        <v>50</v>
      </c>
      <c r="E653" s="127">
        <v>26.809362242812497</v>
      </c>
      <c r="F653" s="65">
        <v>22.99913284034572</v>
      </c>
      <c r="G653" s="110">
        <v>32</v>
      </c>
      <c r="H653" s="25"/>
      <c r="I653" s="25"/>
      <c r="J653" s="25"/>
      <c r="K653" s="25"/>
      <c r="L653" s="25"/>
    </row>
    <row r="654" spans="2:12" x14ac:dyDescent="0.25">
      <c r="B654" s="136"/>
      <c r="C654" s="145"/>
      <c r="D654" s="30" t="s">
        <v>16</v>
      </c>
      <c r="E654" s="124">
        <v>34.99657572439024</v>
      </c>
      <c r="F654" s="69">
        <v>40.102172986109586</v>
      </c>
      <c r="G654" s="108">
        <v>41</v>
      </c>
      <c r="H654" s="25"/>
      <c r="I654" s="25"/>
      <c r="J654" s="25"/>
      <c r="K654" s="25"/>
      <c r="L654" s="25"/>
    </row>
    <row r="655" spans="2:12" x14ac:dyDescent="0.25">
      <c r="B655" s="136"/>
      <c r="C655" s="145"/>
      <c r="D655" s="30" t="s">
        <v>126</v>
      </c>
      <c r="E655" s="124">
        <v>47.443559957894735</v>
      </c>
      <c r="F655" s="69">
        <v>42.955470213668278</v>
      </c>
      <c r="G655" s="108">
        <v>19</v>
      </c>
      <c r="H655" s="25"/>
      <c r="I655" s="25"/>
      <c r="J655" s="25"/>
      <c r="K655" s="25"/>
      <c r="L655" s="25"/>
    </row>
    <row r="656" spans="2:12" x14ac:dyDescent="0.25">
      <c r="B656" s="136"/>
      <c r="C656" s="145"/>
      <c r="D656" s="30" t="s">
        <v>130</v>
      </c>
      <c r="E656" s="124">
        <v>130.79357803333329</v>
      </c>
      <c r="F656" s="69">
        <v>115.38160516834066</v>
      </c>
      <c r="G656" s="108">
        <v>30</v>
      </c>
      <c r="H656" s="25"/>
      <c r="I656" s="25"/>
      <c r="J656" s="25"/>
      <c r="K656" s="25"/>
      <c r="L656" s="25"/>
    </row>
    <row r="657" spans="2:12" x14ac:dyDescent="0.25">
      <c r="B657" s="136"/>
      <c r="C657" s="157"/>
      <c r="D657" s="52" t="s">
        <v>233</v>
      </c>
      <c r="E657" s="125">
        <v>58.344214562868849</v>
      </c>
      <c r="F657" s="126">
        <v>76.811976070687123</v>
      </c>
      <c r="G657" s="109">
        <v>122</v>
      </c>
      <c r="H657" s="25"/>
      <c r="I657" s="25"/>
      <c r="J657" s="25"/>
      <c r="K657" s="25"/>
      <c r="L657" s="25"/>
    </row>
    <row r="658" spans="2:12" x14ac:dyDescent="0.25">
      <c r="B658" s="136"/>
      <c r="C658" s="158" t="s">
        <v>233</v>
      </c>
      <c r="D658" s="58" t="s">
        <v>50</v>
      </c>
      <c r="E658" s="127">
        <v>18.934951596101694</v>
      </c>
      <c r="F658" s="65">
        <v>20.04216456531995</v>
      </c>
      <c r="G658" s="110">
        <v>59</v>
      </c>
      <c r="H658" s="25"/>
      <c r="I658" s="25"/>
      <c r="J658" s="25"/>
      <c r="K658" s="25"/>
      <c r="L658" s="25"/>
    </row>
    <row r="659" spans="2:12" x14ac:dyDescent="0.25">
      <c r="B659" s="136"/>
      <c r="C659" s="145"/>
      <c r="D659" s="30" t="s">
        <v>16</v>
      </c>
      <c r="E659" s="124">
        <v>26.743634077192979</v>
      </c>
      <c r="F659" s="69">
        <v>36.555263399153205</v>
      </c>
      <c r="G659" s="108">
        <v>57</v>
      </c>
      <c r="H659" s="25"/>
      <c r="I659" s="25"/>
      <c r="J659" s="25"/>
      <c r="K659" s="25"/>
      <c r="L659" s="25"/>
    </row>
    <row r="660" spans="2:12" x14ac:dyDescent="0.25">
      <c r="B660" s="136"/>
      <c r="C660" s="145"/>
      <c r="D660" s="30" t="s">
        <v>126</v>
      </c>
      <c r="E660" s="124">
        <v>35.591532842857141</v>
      </c>
      <c r="F660" s="69">
        <v>39.364515730992814</v>
      </c>
      <c r="G660" s="108">
        <v>28</v>
      </c>
      <c r="H660" s="25"/>
      <c r="I660" s="25"/>
      <c r="J660" s="25"/>
      <c r="K660" s="25"/>
      <c r="L660" s="25"/>
    </row>
    <row r="661" spans="2:12" x14ac:dyDescent="0.25">
      <c r="B661" s="136"/>
      <c r="C661" s="145"/>
      <c r="D661" s="30" t="s">
        <v>130</v>
      </c>
      <c r="E661" s="124">
        <v>81.792472467307675</v>
      </c>
      <c r="F661" s="69">
        <v>104.69164429282303</v>
      </c>
      <c r="G661" s="108">
        <v>52</v>
      </c>
      <c r="H661" s="25"/>
      <c r="I661" s="25"/>
      <c r="J661" s="25"/>
      <c r="K661" s="25"/>
      <c r="L661" s="25"/>
    </row>
    <row r="662" spans="2:12" x14ac:dyDescent="0.25">
      <c r="B662" s="140"/>
      <c r="C662" s="157"/>
      <c r="D662" s="52" t="s">
        <v>233</v>
      </c>
      <c r="E662" s="125">
        <v>40.261840686071423</v>
      </c>
      <c r="F662" s="126">
        <v>65.103359235417173</v>
      </c>
      <c r="G662" s="109">
        <v>196</v>
      </c>
      <c r="H662" s="25"/>
      <c r="I662" s="25"/>
      <c r="J662" s="25"/>
      <c r="K662" s="25"/>
      <c r="L662" s="25"/>
    </row>
    <row r="663" spans="2:12" ht="16.5" thickBot="1" x14ac:dyDescent="0.3">
      <c r="B663" s="142" t="s">
        <v>233</v>
      </c>
      <c r="C663" s="158" t="s">
        <v>232</v>
      </c>
      <c r="D663" s="58" t="s">
        <v>50</v>
      </c>
      <c r="E663" s="127">
        <v>9.3460511439999987</v>
      </c>
      <c r="F663" s="65">
        <v>9.6874588798688546</v>
      </c>
      <c r="G663" s="110">
        <v>35</v>
      </c>
      <c r="H663" s="25"/>
      <c r="I663" s="25"/>
      <c r="J663" s="25"/>
      <c r="K663" s="25"/>
      <c r="L663" s="25"/>
    </row>
    <row r="664" spans="2:12" x14ac:dyDescent="0.25">
      <c r="B664" s="136"/>
      <c r="C664" s="145"/>
      <c r="D664" s="30" t="s">
        <v>16</v>
      </c>
      <c r="E664" s="124">
        <v>7.6873539814705882</v>
      </c>
      <c r="F664" s="69">
        <v>6.9891653868931307</v>
      </c>
      <c r="G664" s="108">
        <v>34</v>
      </c>
      <c r="H664" s="25"/>
      <c r="I664" s="25"/>
      <c r="J664" s="25"/>
      <c r="K664" s="25"/>
      <c r="L664" s="25"/>
    </row>
    <row r="665" spans="2:12" x14ac:dyDescent="0.25">
      <c r="B665" s="136"/>
      <c r="C665" s="145"/>
      <c r="D665" s="30" t="s">
        <v>126</v>
      </c>
      <c r="E665" s="124">
        <v>9.4789786562500016</v>
      </c>
      <c r="F665" s="69">
        <v>6.0944033891870175</v>
      </c>
      <c r="G665" s="108">
        <v>16</v>
      </c>
      <c r="H665" s="25"/>
      <c r="I665" s="25"/>
      <c r="J665" s="25"/>
      <c r="K665" s="25"/>
      <c r="L665" s="25"/>
    </row>
    <row r="666" spans="2:12" x14ac:dyDescent="0.25">
      <c r="B666" s="136"/>
      <c r="C666" s="145"/>
      <c r="D666" s="30" t="s">
        <v>130</v>
      </c>
      <c r="E666" s="124">
        <v>30.279135668888891</v>
      </c>
      <c r="F666" s="69">
        <v>42.314365940450436</v>
      </c>
      <c r="G666" s="108">
        <v>45</v>
      </c>
      <c r="H666" s="25"/>
      <c r="I666" s="25"/>
      <c r="J666" s="25"/>
      <c r="K666" s="25"/>
      <c r="L666" s="25"/>
    </row>
    <row r="667" spans="2:12" x14ac:dyDescent="0.25">
      <c r="B667" s="136"/>
      <c r="C667" s="157"/>
      <c r="D667" s="52" t="s">
        <v>233</v>
      </c>
      <c r="E667" s="125">
        <v>16.174666069307694</v>
      </c>
      <c r="F667" s="126">
        <v>27.547397122033775</v>
      </c>
      <c r="G667" s="109">
        <v>130</v>
      </c>
      <c r="H667" s="25"/>
      <c r="I667" s="25"/>
      <c r="J667" s="25"/>
      <c r="K667" s="25"/>
      <c r="L667" s="25"/>
    </row>
    <row r="668" spans="2:12" x14ac:dyDescent="0.25">
      <c r="B668" s="136"/>
      <c r="C668" s="158" t="s">
        <v>215</v>
      </c>
      <c r="D668" s="58" t="s">
        <v>50</v>
      </c>
      <c r="E668" s="127">
        <v>24.396056899285711</v>
      </c>
      <c r="F668" s="65">
        <v>21.414931166922472</v>
      </c>
      <c r="G668" s="110">
        <v>42</v>
      </c>
      <c r="H668" s="25"/>
      <c r="I668" s="25"/>
      <c r="J668" s="25"/>
      <c r="K668" s="25"/>
      <c r="L668" s="25"/>
    </row>
    <row r="669" spans="2:12" x14ac:dyDescent="0.25">
      <c r="B669" s="136"/>
      <c r="C669" s="145"/>
      <c r="D669" s="30" t="s">
        <v>16</v>
      </c>
      <c r="E669" s="124">
        <v>45.612205587804894</v>
      </c>
      <c r="F669" s="69">
        <v>43.0762795344287</v>
      </c>
      <c r="G669" s="108">
        <v>82</v>
      </c>
      <c r="H669" s="25"/>
      <c r="I669" s="25"/>
      <c r="J669" s="25"/>
      <c r="K669" s="25"/>
      <c r="L669" s="25"/>
    </row>
    <row r="670" spans="2:12" x14ac:dyDescent="0.25">
      <c r="B670" s="136"/>
      <c r="C670" s="145"/>
      <c r="D670" s="30" t="s">
        <v>126</v>
      </c>
      <c r="E670" s="124">
        <v>38.414055809677421</v>
      </c>
      <c r="F670" s="69">
        <v>38.710775557823844</v>
      </c>
      <c r="G670" s="108">
        <v>31</v>
      </c>
      <c r="H670" s="25"/>
      <c r="I670" s="25"/>
      <c r="J670" s="25"/>
      <c r="K670" s="25"/>
      <c r="L670" s="25"/>
    </row>
    <row r="671" spans="2:12" x14ac:dyDescent="0.25">
      <c r="B671" s="136"/>
      <c r="C671" s="145"/>
      <c r="D671" s="30" t="s">
        <v>130</v>
      </c>
      <c r="E671" s="124">
        <v>96.506004886274468</v>
      </c>
      <c r="F671" s="69">
        <v>100.80465042977359</v>
      </c>
      <c r="G671" s="108">
        <v>51</v>
      </c>
      <c r="H671" s="25"/>
      <c r="I671" s="25"/>
      <c r="J671" s="25"/>
      <c r="K671" s="25"/>
      <c r="L671" s="25"/>
    </row>
    <row r="672" spans="2:12" x14ac:dyDescent="0.25">
      <c r="B672" s="136"/>
      <c r="C672" s="157"/>
      <c r="D672" s="52" t="s">
        <v>233</v>
      </c>
      <c r="E672" s="125">
        <v>52.80328751101942</v>
      </c>
      <c r="F672" s="126">
        <v>64.923819774673376</v>
      </c>
      <c r="G672" s="109">
        <v>206</v>
      </c>
      <c r="H672" s="25"/>
      <c r="I672" s="25"/>
      <c r="J672" s="25"/>
      <c r="K672" s="25"/>
      <c r="L672" s="25"/>
    </row>
    <row r="673" spans="2:12" ht="16.5" thickBot="1" x14ac:dyDescent="0.3">
      <c r="B673" s="136"/>
      <c r="C673" s="162" t="s">
        <v>233</v>
      </c>
      <c r="D673" s="58" t="s">
        <v>50</v>
      </c>
      <c r="E673" s="127">
        <v>17.555145192337665</v>
      </c>
      <c r="F673" s="65">
        <v>18.608679893391063</v>
      </c>
      <c r="G673" s="110">
        <v>77</v>
      </c>
      <c r="H673" s="25"/>
      <c r="I673" s="25"/>
      <c r="J673" s="25"/>
      <c r="K673" s="25"/>
      <c r="L673" s="25"/>
    </row>
    <row r="674" spans="2:12" x14ac:dyDescent="0.25">
      <c r="B674" s="136"/>
      <c r="C674" s="145"/>
      <c r="D674" s="30" t="s">
        <v>16</v>
      </c>
      <c r="E674" s="124">
        <v>34.496300806637947</v>
      </c>
      <c r="F674" s="69">
        <v>40.268824282469616</v>
      </c>
      <c r="G674" s="108">
        <v>116</v>
      </c>
      <c r="H674" s="25"/>
      <c r="I674" s="25"/>
      <c r="J674" s="25"/>
      <c r="K674" s="25"/>
      <c r="L674" s="25"/>
    </row>
    <row r="675" spans="2:12" x14ac:dyDescent="0.25">
      <c r="B675" s="136"/>
      <c r="C675" s="145"/>
      <c r="D675" s="30" t="s">
        <v>126</v>
      </c>
      <c r="E675" s="124">
        <v>28.56381677872341</v>
      </c>
      <c r="F675" s="69">
        <v>34.372761851326857</v>
      </c>
      <c r="G675" s="108">
        <v>47</v>
      </c>
      <c r="H675" s="25"/>
      <c r="I675" s="25"/>
      <c r="J675" s="25"/>
      <c r="K675" s="25"/>
      <c r="L675" s="25"/>
    </row>
    <row r="676" spans="2:12" x14ac:dyDescent="0.25">
      <c r="B676" s="136"/>
      <c r="C676" s="145"/>
      <c r="D676" s="30" t="s">
        <v>130</v>
      </c>
      <c r="E676" s="124">
        <v>65.462159940624971</v>
      </c>
      <c r="F676" s="69">
        <v>85.329941181346371</v>
      </c>
      <c r="G676" s="108">
        <v>96</v>
      </c>
      <c r="H676" s="25"/>
      <c r="I676" s="25"/>
      <c r="J676" s="25"/>
      <c r="K676" s="25"/>
      <c r="L676" s="25"/>
    </row>
    <row r="677" spans="2:12" ht="16.5" thickBot="1" x14ac:dyDescent="0.3">
      <c r="B677" s="143"/>
      <c r="C677" s="130"/>
      <c r="D677" s="33" t="s">
        <v>233</v>
      </c>
      <c r="E677" s="128">
        <v>38.631499453214275</v>
      </c>
      <c r="F677" s="74">
        <v>56.487271830588391</v>
      </c>
      <c r="G677" s="112">
        <v>336</v>
      </c>
      <c r="H677" s="25"/>
      <c r="I677" s="25"/>
      <c r="J677" s="25"/>
      <c r="K677" s="25"/>
      <c r="L677" s="25"/>
    </row>
    <row r="678" spans="2:12" x14ac:dyDescent="0.25">
      <c r="B678" s="25"/>
      <c r="C678" s="25"/>
      <c r="D678" s="25"/>
      <c r="E678" s="25"/>
      <c r="F678" s="25"/>
      <c r="G678" s="25"/>
      <c r="H678" s="25"/>
      <c r="I678" s="25"/>
      <c r="J678" s="25"/>
      <c r="K678" s="25"/>
      <c r="L678" s="25"/>
    </row>
    <row r="679" spans="2:12" x14ac:dyDescent="0.25">
      <c r="B679" s="144" t="s">
        <v>281</v>
      </c>
      <c r="C679" s="145"/>
      <c r="D679" s="145"/>
      <c r="E679" s="145"/>
      <c r="F679" s="145"/>
      <c r="G679" s="145"/>
      <c r="H679" s="145"/>
      <c r="I679" s="25"/>
      <c r="J679" s="25"/>
      <c r="K679" s="25"/>
      <c r="L679" s="25"/>
    </row>
    <row r="680" spans="2:12" ht="16.5" thickBot="1" x14ac:dyDescent="0.3">
      <c r="B680" s="160" t="s">
        <v>313</v>
      </c>
      <c r="C680" s="145"/>
      <c r="D680" s="145"/>
      <c r="E680" s="145"/>
      <c r="F680" s="145"/>
      <c r="G680" s="145"/>
      <c r="H680" s="145"/>
      <c r="I680" s="25"/>
      <c r="J680" s="25"/>
      <c r="K680" s="25"/>
      <c r="L680" s="25"/>
    </row>
    <row r="681" spans="2:12" ht="25.5" thickBot="1" x14ac:dyDescent="0.3">
      <c r="B681" s="161" t="s">
        <v>282</v>
      </c>
      <c r="C681" s="147"/>
      <c r="D681" s="77" t="s">
        <v>283</v>
      </c>
      <c r="E681" s="78" t="s">
        <v>236</v>
      </c>
      <c r="F681" s="78" t="s">
        <v>237</v>
      </c>
      <c r="G681" s="78" t="s">
        <v>238</v>
      </c>
      <c r="H681" s="79" t="s">
        <v>239</v>
      </c>
      <c r="I681" s="25"/>
      <c r="J681" s="25"/>
      <c r="K681" s="25"/>
      <c r="L681" s="25"/>
    </row>
    <row r="682" spans="2:12" x14ac:dyDescent="0.25">
      <c r="B682" s="159" t="s">
        <v>285</v>
      </c>
      <c r="C682" s="41" t="s">
        <v>286</v>
      </c>
      <c r="D682" s="80">
        <v>241546.6205949978</v>
      </c>
      <c r="E682" s="81">
        <v>1</v>
      </c>
      <c r="F682" s="43">
        <v>241546.6205949978</v>
      </c>
      <c r="G682" s="43">
        <v>8.6722362948803422</v>
      </c>
      <c r="H682" s="82">
        <v>5.9268186496448133E-2</v>
      </c>
      <c r="I682" s="25"/>
      <c r="J682" s="25"/>
      <c r="K682" s="25"/>
      <c r="L682" s="25"/>
    </row>
    <row r="683" spans="2:12" x14ac:dyDescent="0.25">
      <c r="B683" s="136"/>
      <c r="C683" s="30" t="s">
        <v>287</v>
      </c>
      <c r="D683" s="83">
        <v>84701.971964353943</v>
      </c>
      <c r="E683" s="48">
        <v>3.0410506829190531</v>
      </c>
      <c r="F683" s="48">
        <v>27852.864288026252</v>
      </c>
      <c r="G683" s="85"/>
      <c r="H683" s="86"/>
      <c r="I683" s="25"/>
      <c r="J683" s="25"/>
      <c r="K683" s="25"/>
      <c r="L683" s="25"/>
    </row>
    <row r="684" spans="2:12" x14ac:dyDescent="0.25">
      <c r="B684" s="135" t="s">
        <v>0</v>
      </c>
      <c r="C684" s="30" t="s">
        <v>286</v>
      </c>
      <c r="D684" s="83">
        <v>4170.2761292322539</v>
      </c>
      <c r="E684" s="84">
        <v>1</v>
      </c>
      <c r="F684" s="48">
        <v>4170.2761292322539</v>
      </c>
      <c r="G684" s="48">
        <v>0.71010430413052927</v>
      </c>
      <c r="H684" s="113">
        <v>0.45770335856186262</v>
      </c>
      <c r="I684" s="25"/>
      <c r="J684" s="25"/>
      <c r="K684" s="25"/>
      <c r="L684" s="25"/>
    </row>
    <row r="685" spans="2:12" x14ac:dyDescent="0.25">
      <c r="B685" s="136"/>
      <c r="C685" s="30" t="s">
        <v>287</v>
      </c>
      <c r="D685" s="83">
        <v>18806.880385722347</v>
      </c>
      <c r="E685" s="48">
        <v>3.2023890733652904</v>
      </c>
      <c r="F685" s="48">
        <v>5872.7655993276248</v>
      </c>
      <c r="G685" s="85"/>
      <c r="H685" s="86"/>
      <c r="I685" s="25"/>
      <c r="J685" s="25"/>
      <c r="K685" s="25"/>
      <c r="L685" s="25"/>
    </row>
    <row r="686" spans="2:12" x14ac:dyDescent="0.25">
      <c r="B686" s="135" t="s">
        <v>1</v>
      </c>
      <c r="C686" s="30" t="s">
        <v>286</v>
      </c>
      <c r="D686" s="83">
        <v>72975.994565234869</v>
      </c>
      <c r="E686" s="84">
        <v>1</v>
      </c>
      <c r="F686" s="48">
        <v>72975.994565234869</v>
      </c>
      <c r="G686" s="48">
        <v>11.258188649891396</v>
      </c>
      <c r="H686" s="113">
        <v>4.0183314394209975E-2</v>
      </c>
      <c r="I686" s="25"/>
      <c r="J686" s="25"/>
      <c r="K686" s="25"/>
      <c r="L686" s="25"/>
    </row>
    <row r="687" spans="2:12" x14ac:dyDescent="0.25">
      <c r="B687" s="136"/>
      <c r="C687" s="30" t="s">
        <v>287</v>
      </c>
      <c r="D687" s="83">
        <v>20629.145515719843</v>
      </c>
      <c r="E687" s="48">
        <v>3.1825097182392565</v>
      </c>
      <c r="F687" s="48">
        <v>6482.0369274891164</v>
      </c>
      <c r="G687" s="85"/>
      <c r="H687" s="86"/>
      <c r="I687" s="25"/>
      <c r="J687" s="25"/>
      <c r="K687" s="25"/>
      <c r="L687" s="25"/>
    </row>
    <row r="688" spans="2:12" x14ac:dyDescent="0.25">
      <c r="B688" s="135" t="s">
        <v>288</v>
      </c>
      <c r="C688" s="30" t="s">
        <v>286</v>
      </c>
      <c r="D688" s="83">
        <v>90869.740071091466</v>
      </c>
      <c r="E688" s="84">
        <v>3</v>
      </c>
      <c r="F688" s="98" t="s">
        <v>243</v>
      </c>
      <c r="G688" s="98" t="s">
        <v>243</v>
      </c>
      <c r="H688" s="119" t="s">
        <v>243</v>
      </c>
      <c r="I688" s="25"/>
      <c r="J688" s="25"/>
      <c r="K688" s="25"/>
      <c r="L688" s="25"/>
    </row>
    <row r="689" spans="2:12" x14ac:dyDescent="0.25">
      <c r="B689" s="136"/>
      <c r="C689" s="30" t="s">
        <v>287</v>
      </c>
      <c r="D689" s="120" t="s">
        <v>243</v>
      </c>
      <c r="E689" s="121" t="s">
        <v>309</v>
      </c>
      <c r="F689" s="98" t="s">
        <v>243</v>
      </c>
      <c r="G689" s="85"/>
      <c r="H689" s="86"/>
      <c r="I689" s="25"/>
      <c r="J689" s="25"/>
      <c r="K689" s="25"/>
      <c r="L689" s="25"/>
    </row>
    <row r="690" spans="2:12" x14ac:dyDescent="0.25">
      <c r="B690" s="135" t="s">
        <v>289</v>
      </c>
      <c r="C690" s="30" t="s">
        <v>286</v>
      </c>
      <c r="D690" s="83">
        <v>15512.016652476776</v>
      </c>
      <c r="E690" s="84">
        <v>1</v>
      </c>
      <c r="F690" s="48">
        <v>15512.016652476776</v>
      </c>
      <c r="G690" s="48">
        <v>0.91307126258299043</v>
      </c>
      <c r="H690" s="113">
        <v>0.40838065159192194</v>
      </c>
      <c r="I690" s="25"/>
      <c r="J690" s="25"/>
      <c r="K690" s="25"/>
      <c r="L690" s="25"/>
    </row>
    <row r="691" spans="2:12" x14ac:dyDescent="0.25">
      <c r="B691" s="136"/>
      <c r="C691" s="30" t="s">
        <v>287</v>
      </c>
      <c r="D691" s="83">
        <v>52117.38919892726</v>
      </c>
      <c r="E691" s="48">
        <v>3.0677436354347587</v>
      </c>
      <c r="F691" s="48">
        <v>16988.834593911957</v>
      </c>
      <c r="G691" s="85"/>
      <c r="H691" s="86"/>
      <c r="I691" s="25"/>
      <c r="J691" s="25"/>
      <c r="K691" s="25"/>
      <c r="L691" s="25"/>
    </row>
    <row r="692" spans="2:12" x14ac:dyDescent="0.25">
      <c r="B692" s="135" t="s">
        <v>290</v>
      </c>
      <c r="C692" s="30" t="s">
        <v>286</v>
      </c>
      <c r="D692" s="83">
        <v>18670.877258471315</v>
      </c>
      <c r="E692" s="84">
        <v>3</v>
      </c>
      <c r="F692" s="48">
        <v>6223.625752823772</v>
      </c>
      <c r="G692" s="48">
        <v>0.33833706530922414</v>
      </c>
      <c r="H692" s="113">
        <v>0.80140120287821404</v>
      </c>
      <c r="I692" s="25"/>
      <c r="J692" s="25"/>
      <c r="K692" s="25"/>
      <c r="L692" s="25"/>
    </row>
    <row r="693" spans="2:12" x14ac:dyDescent="0.25">
      <c r="B693" s="136"/>
      <c r="C693" s="30" t="s">
        <v>287</v>
      </c>
      <c r="D693" s="83">
        <v>55184.250183783486</v>
      </c>
      <c r="E693" s="84">
        <v>3</v>
      </c>
      <c r="F693" s="48">
        <v>18394.750061261162</v>
      </c>
      <c r="G693" s="85"/>
      <c r="H693" s="86"/>
      <c r="I693" s="25"/>
      <c r="J693" s="25"/>
      <c r="K693" s="25"/>
      <c r="L693" s="25"/>
    </row>
    <row r="694" spans="2:12" x14ac:dyDescent="0.25">
      <c r="B694" s="135" t="s">
        <v>291</v>
      </c>
      <c r="C694" s="30" t="s">
        <v>286</v>
      </c>
      <c r="D694" s="83">
        <v>20672.173870493072</v>
      </c>
      <c r="E694" s="84">
        <v>3</v>
      </c>
      <c r="F694" s="48">
        <v>6890.724623497691</v>
      </c>
      <c r="G694" s="48">
        <v>0.37460278615089027</v>
      </c>
      <c r="H694" s="113">
        <v>0.77931210366491976</v>
      </c>
      <c r="I694" s="25"/>
      <c r="J694" s="25"/>
      <c r="K694" s="25"/>
      <c r="L694" s="25"/>
    </row>
    <row r="695" spans="2:12" x14ac:dyDescent="0.25">
      <c r="B695" s="136"/>
      <c r="C695" s="30" t="s">
        <v>287</v>
      </c>
      <c r="D695" s="83">
        <v>55184.250183783486</v>
      </c>
      <c r="E695" s="84">
        <v>3</v>
      </c>
      <c r="F695" s="48">
        <v>18394.750061261162</v>
      </c>
      <c r="G695" s="85"/>
      <c r="H695" s="86"/>
      <c r="I695" s="25"/>
      <c r="J695" s="25"/>
      <c r="K695" s="25"/>
      <c r="L695" s="25"/>
    </row>
    <row r="696" spans="2:12" ht="16.5" thickBot="1" x14ac:dyDescent="0.3">
      <c r="B696" s="148" t="s">
        <v>292</v>
      </c>
      <c r="C696" s="30" t="s">
        <v>286</v>
      </c>
      <c r="D696" s="83">
        <v>55184.250183783486</v>
      </c>
      <c r="E696" s="84">
        <v>3</v>
      </c>
      <c r="F696" s="48">
        <v>18394.750061261162</v>
      </c>
      <c r="G696" s="48">
        <v>8.4530775083877732</v>
      </c>
      <c r="H696" s="113">
        <v>2.0193302660192645E-5</v>
      </c>
      <c r="I696" s="25"/>
      <c r="J696" s="25"/>
      <c r="K696" s="25"/>
      <c r="L696" s="25"/>
    </row>
    <row r="697" spans="2:12" ht="16.5" thickBot="1" x14ac:dyDescent="0.3">
      <c r="B697" s="143"/>
      <c r="C697" s="33" t="s">
        <v>287</v>
      </c>
      <c r="D697" s="94">
        <v>696352.30645439203</v>
      </c>
      <c r="E697" s="95">
        <v>320</v>
      </c>
      <c r="F697" s="114">
        <v>2176.1009576699753</v>
      </c>
      <c r="G697" s="96"/>
      <c r="H697" s="97"/>
      <c r="I697" s="25"/>
      <c r="J697" s="25"/>
      <c r="K697" s="25"/>
      <c r="L697" s="25"/>
    </row>
    <row r="698" spans="2:12" x14ac:dyDescent="0.25">
      <c r="B698" s="25"/>
      <c r="C698" s="25"/>
      <c r="D698" s="25"/>
      <c r="E698" s="25"/>
      <c r="F698" s="25"/>
      <c r="G698" s="25"/>
      <c r="H698" s="25"/>
      <c r="I698" s="25"/>
      <c r="J698" s="25"/>
      <c r="K698" s="25"/>
      <c r="L698" s="25"/>
    </row>
    <row r="699" spans="2:12" x14ac:dyDescent="0.25">
      <c r="B699" s="25"/>
      <c r="C699" s="25"/>
      <c r="D699" s="25"/>
      <c r="E699" s="25"/>
      <c r="F699" s="25"/>
      <c r="G699" s="25"/>
      <c r="H699" s="25"/>
      <c r="I699" s="25"/>
      <c r="J699" s="25"/>
      <c r="K699" s="25"/>
      <c r="L699" s="25"/>
    </row>
    <row r="700" spans="2:12" x14ac:dyDescent="0.25">
      <c r="B700" s="25"/>
      <c r="C700" s="25"/>
      <c r="D700" s="25"/>
      <c r="E700" s="25"/>
      <c r="F700" s="25"/>
      <c r="G700" s="25"/>
      <c r="H700" s="25"/>
      <c r="I700" s="25"/>
      <c r="J700" s="25"/>
      <c r="K700" s="25"/>
      <c r="L700" s="25"/>
    </row>
    <row r="701" spans="2:12" x14ac:dyDescent="0.25">
      <c r="B701" s="25"/>
      <c r="C701" s="25"/>
      <c r="D701" s="25"/>
      <c r="E701" s="25"/>
      <c r="F701" s="25"/>
      <c r="G701" s="25"/>
      <c r="H701" s="25"/>
      <c r="I701" s="25"/>
      <c r="J701" s="25"/>
      <c r="K701" s="25"/>
      <c r="L701" s="25"/>
    </row>
    <row r="702" spans="2:12" x14ac:dyDescent="0.25">
      <c r="B702" s="25"/>
      <c r="C702" s="25"/>
      <c r="D702" s="25"/>
      <c r="E702" s="25"/>
      <c r="F702" s="25"/>
      <c r="G702" s="25"/>
      <c r="H702" s="25"/>
      <c r="I702" s="25"/>
      <c r="J702" s="25"/>
      <c r="K702" s="25"/>
      <c r="L702" s="25"/>
    </row>
    <row r="703" spans="2:12" x14ac:dyDescent="0.25">
      <c r="B703" s="25"/>
      <c r="C703" s="25"/>
      <c r="D703" s="25"/>
      <c r="E703" s="25"/>
      <c r="F703" s="25"/>
      <c r="G703" s="25"/>
      <c r="H703" s="25"/>
      <c r="I703" s="25"/>
      <c r="J703" s="25"/>
      <c r="K703" s="25"/>
      <c r="L703" s="25"/>
    </row>
    <row r="704" spans="2:12" x14ac:dyDescent="0.25">
      <c r="B704" s="25"/>
      <c r="C704" s="25"/>
      <c r="D704" s="25"/>
      <c r="E704" s="25"/>
      <c r="F704" s="25"/>
      <c r="G704" s="25"/>
      <c r="H704" s="25"/>
      <c r="I704" s="25"/>
      <c r="J704" s="25"/>
      <c r="K704" s="25"/>
      <c r="L704" s="25"/>
    </row>
    <row r="705" spans="2:12" x14ac:dyDescent="0.25">
      <c r="B705" s="25"/>
      <c r="C705" s="25"/>
      <c r="D705" s="25"/>
      <c r="E705" s="25"/>
      <c r="F705" s="25"/>
      <c r="G705" s="25"/>
      <c r="H705" s="25"/>
      <c r="I705" s="25"/>
      <c r="J705" s="25"/>
      <c r="K705" s="25"/>
      <c r="L705" s="25"/>
    </row>
    <row r="706" spans="2:12" ht="16.5" thickBot="1" x14ac:dyDescent="0.3">
      <c r="B706" s="144" t="s">
        <v>293</v>
      </c>
      <c r="C706" s="145"/>
      <c r="D706" s="145"/>
      <c r="E706" s="145"/>
      <c r="F706" s="145"/>
      <c r="G706" s="145"/>
      <c r="H706" s="145"/>
      <c r="I706" s="25"/>
      <c r="J706" s="25"/>
      <c r="K706" s="25"/>
      <c r="L706" s="25"/>
    </row>
    <row r="707" spans="2:12" ht="16.5" thickBot="1" x14ac:dyDescent="0.3">
      <c r="B707" s="161" t="s">
        <v>282</v>
      </c>
      <c r="C707" s="164" t="s">
        <v>294</v>
      </c>
      <c r="D707" s="165"/>
      <c r="E707" s="165"/>
      <c r="F707" s="165"/>
      <c r="G707" s="165"/>
      <c r="H707" s="132"/>
      <c r="I707" s="25"/>
      <c r="J707" s="25"/>
      <c r="K707" s="25"/>
      <c r="L707" s="25"/>
    </row>
    <row r="708" spans="2:12" ht="37.5" thickBot="1" x14ac:dyDescent="0.3">
      <c r="B708" s="163"/>
      <c r="C708" s="115" t="s">
        <v>295</v>
      </c>
      <c r="D708" s="40" t="s">
        <v>296</v>
      </c>
      <c r="E708" s="40" t="s">
        <v>297</v>
      </c>
      <c r="F708" s="40" t="s">
        <v>298</v>
      </c>
      <c r="G708" s="40" t="s">
        <v>299</v>
      </c>
      <c r="H708" s="116" t="s">
        <v>300</v>
      </c>
      <c r="I708" s="25"/>
      <c r="J708" s="25"/>
      <c r="K708" s="25"/>
      <c r="L708" s="25"/>
    </row>
    <row r="709" spans="2:12" ht="60" x14ac:dyDescent="0.25">
      <c r="B709" s="35" t="s">
        <v>285</v>
      </c>
      <c r="C709" s="80">
        <v>62.748700926720971</v>
      </c>
      <c r="D709" s="43">
        <v>31.374350463360429</v>
      </c>
      <c r="E709" s="43">
        <v>31.37435046336045</v>
      </c>
      <c r="F709" s="43">
        <v>15.687175231680232</v>
      </c>
      <c r="G709" s="43">
        <v>1</v>
      </c>
      <c r="H709" s="117" t="s">
        <v>301</v>
      </c>
      <c r="I709" s="25"/>
      <c r="J709" s="25"/>
      <c r="K709" s="25"/>
      <c r="L709" s="25"/>
    </row>
    <row r="710" spans="2:12" ht="36" x14ac:dyDescent="0.25">
      <c r="B710" s="37" t="s">
        <v>0</v>
      </c>
      <c r="C710" s="83">
        <v>0</v>
      </c>
      <c r="D710" s="48">
        <v>31.374350463360429</v>
      </c>
      <c r="E710" s="48">
        <v>0</v>
      </c>
      <c r="F710" s="48">
        <v>15.687175231680218</v>
      </c>
      <c r="G710" s="48">
        <v>1</v>
      </c>
      <c r="H710" s="118" t="s">
        <v>302</v>
      </c>
      <c r="I710" s="25"/>
      <c r="J710" s="25"/>
      <c r="K710" s="25"/>
      <c r="L710" s="25"/>
    </row>
    <row r="711" spans="2:12" ht="36" x14ac:dyDescent="0.25">
      <c r="B711" s="37" t="s">
        <v>1</v>
      </c>
      <c r="C711" s="83">
        <v>0</v>
      </c>
      <c r="D711" s="48">
        <v>0</v>
      </c>
      <c r="E711" s="48">
        <v>31.374350463360425</v>
      </c>
      <c r="F711" s="48">
        <v>15.687175231680243</v>
      </c>
      <c r="G711" s="48">
        <v>1</v>
      </c>
      <c r="H711" s="118" t="s">
        <v>303</v>
      </c>
      <c r="I711" s="25"/>
      <c r="J711" s="25"/>
      <c r="K711" s="25"/>
      <c r="L711" s="25"/>
    </row>
    <row r="712" spans="2:12" x14ac:dyDescent="0.25">
      <c r="B712" s="37" t="s">
        <v>288</v>
      </c>
      <c r="C712" s="83">
        <v>68.704344993194852</v>
      </c>
      <c r="D712" s="48">
        <v>34.352172496597383</v>
      </c>
      <c r="E712" s="48">
        <v>34.352172496597341</v>
      </c>
      <c r="F712" s="48">
        <v>17.176086248298684</v>
      </c>
      <c r="G712" s="48">
        <v>0.99999999999999989</v>
      </c>
      <c r="H712" s="86"/>
      <c r="I712" s="25"/>
      <c r="J712" s="25"/>
      <c r="K712" s="25"/>
      <c r="L712" s="25"/>
    </row>
    <row r="713" spans="2:12" ht="36" x14ac:dyDescent="0.25">
      <c r="B713" s="37" t="s">
        <v>289</v>
      </c>
      <c r="C713" s="83">
        <v>0</v>
      </c>
      <c r="D713" s="48">
        <v>0</v>
      </c>
      <c r="E713" s="48">
        <v>0</v>
      </c>
      <c r="F713" s="48">
        <v>15.68717523168025</v>
      </c>
      <c r="G713" s="48">
        <v>1</v>
      </c>
      <c r="H713" s="118" t="s">
        <v>289</v>
      </c>
      <c r="I713" s="25"/>
      <c r="J713" s="25"/>
      <c r="K713" s="25"/>
      <c r="L713" s="25"/>
    </row>
    <row r="714" spans="2:12" ht="24" x14ac:dyDescent="0.25">
      <c r="B714" s="37" t="s">
        <v>290</v>
      </c>
      <c r="C714" s="83">
        <v>0</v>
      </c>
      <c r="D714" s="48">
        <v>34.352172496597476</v>
      </c>
      <c r="E714" s="48">
        <v>0</v>
      </c>
      <c r="F714" s="48">
        <v>17.17608624829872</v>
      </c>
      <c r="G714" s="48">
        <v>1</v>
      </c>
      <c r="H714" s="86"/>
      <c r="I714" s="25"/>
      <c r="J714" s="25"/>
      <c r="K714" s="25"/>
      <c r="L714" s="25"/>
    </row>
    <row r="715" spans="2:12" ht="24" x14ac:dyDescent="0.25">
      <c r="B715" s="37" t="s">
        <v>291</v>
      </c>
      <c r="C715" s="83">
        <v>0</v>
      </c>
      <c r="D715" s="48">
        <v>0</v>
      </c>
      <c r="E715" s="48">
        <v>34.352172496597625</v>
      </c>
      <c r="F715" s="48">
        <v>17.176086248298773</v>
      </c>
      <c r="G715" s="48">
        <v>1</v>
      </c>
      <c r="H715" s="86"/>
      <c r="I715" s="25"/>
      <c r="J715" s="25"/>
      <c r="K715" s="25"/>
      <c r="L715" s="25"/>
    </row>
    <row r="716" spans="2:12" ht="48" x14ac:dyDescent="0.25">
      <c r="B716" s="37" t="s">
        <v>292</v>
      </c>
      <c r="C716" s="83">
        <v>0</v>
      </c>
      <c r="D716" s="48">
        <v>0</v>
      </c>
      <c r="E716" s="48">
        <v>0</v>
      </c>
      <c r="F716" s="48">
        <v>17.176086248298784</v>
      </c>
      <c r="G716" s="48">
        <v>1</v>
      </c>
      <c r="H716" s="86"/>
      <c r="I716" s="25"/>
      <c r="J716" s="25"/>
      <c r="K716" s="25"/>
      <c r="L716" s="25"/>
    </row>
    <row r="717" spans="2:12" ht="16.5" thickBot="1" x14ac:dyDescent="0.3">
      <c r="B717" s="38" t="s">
        <v>287</v>
      </c>
      <c r="C717" s="94">
        <v>0</v>
      </c>
      <c r="D717" s="114">
        <v>0</v>
      </c>
      <c r="E717" s="114">
        <v>0</v>
      </c>
      <c r="F717" s="114">
        <v>0</v>
      </c>
      <c r="G717" s="114">
        <v>1</v>
      </c>
      <c r="H717" s="97"/>
      <c r="I717" s="25"/>
      <c r="J717" s="25"/>
      <c r="K717" s="25"/>
      <c r="L717" s="25"/>
    </row>
    <row r="718" spans="2:12" x14ac:dyDescent="0.25">
      <c r="B718" s="25"/>
      <c r="C718" s="25"/>
      <c r="D718" s="25"/>
      <c r="E718" s="25"/>
      <c r="F718" s="25"/>
      <c r="G718" s="25"/>
      <c r="H718" s="25"/>
      <c r="I718" s="25"/>
      <c r="J718" s="25"/>
      <c r="K718" s="25"/>
      <c r="L718" s="25"/>
    </row>
    <row r="719" spans="2:12" x14ac:dyDescent="0.25">
      <c r="B719" s="25"/>
      <c r="C719" s="25"/>
      <c r="D719" s="25"/>
      <c r="E719" s="25"/>
      <c r="F719" s="25"/>
      <c r="G719" s="25"/>
      <c r="H719" s="25"/>
      <c r="I719" s="25"/>
      <c r="J719" s="25"/>
      <c r="K719" s="25"/>
      <c r="L719" s="25"/>
    </row>
    <row r="720" spans="2:12" x14ac:dyDescent="0.25">
      <c r="B720" s="25"/>
      <c r="C720" s="25"/>
      <c r="D720" s="25"/>
      <c r="E720" s="25"/>
      <c r="F720" s="25"/>
      <c r="G720" s="25"/>
      <c r="H720" s="25"/>
      <c r="I720" s="25"/>
      <c r="J720" s="25"/>
      <c r="K720" s="25"/>
      <c r="L720" s="25"/>
    </row>
    <row r="721" spans="2:12" x14ac:dyDescent="0.25">
      <c r="B721" s="25"/>
      <c r="C721" s="25"/>
      <c r="D721" s="25"/>
      <c r="E721" s="25"/>
      <c r="F721" s="25"/>
      <c r="G721" s="25"/>
      <c r="H721" s="25"/>
      <c r="I721" s="25"/>
      <c r="J721" s="25"/>
      <c r="K721" s="25"/>
      <c r="L721" s="25"/>
    </row>
    <row r="722" spans="2:12" x14ac:dyDescent="0.25">
      <c r="B722" s="26" t="s">
        <v>318</v>
      </c>
      <c r="C722" s="25"/>
      <c r="D722" s="25"/>
      <c r="E722" s="25"/>
      <c r="F722" s="25"/>
      <c r="G722" s="25"/>
      <c r="H722" s="25"/>
      <c r="I722" s="25"/>
      <c r="J722" s="25"/>
      <c r="K722" s="25"/>
      <c r="L722" s="25"/>
    </row>
    <row r="723" spans="2:12" x14ac:dyDescent="0.25">
      <c r="B723" s="26" t="s">
        <v>248</v>
      </c>
      <c r="C723" s="25"/>
      <c r="D723" s="25"/>
      <c r="E723" s="25"/>
      <c r="F723" s="25"/>
      <c r="G723" s="25"/>
      <c r="H723" s="25"/>
      <c r="I723" s="25"/>
      <c r="J723" s="25"/>
      <c r="K723" s="25"/>
      <c r="L723" s="25"/>
    </row>
    <row r="724" spans="2:12" x14ac:dyDescent="0.25">
      <c r="B724" s="26" t="s">
        <v>249</v>
      </c>
      <c r="C724" s="25"/>
      <c r="D724" s="25"/>
      <c r="E724" s="25"/>
      <c r="F724" s="25"/>
      <c r="G724" s="25"/>
      <c r="H724" s="25"/>
      <c r="I724" s="25"/>
      <c r="J724" s="25"/>
      <c r="K724" s="25"/>
      <c r="L724" s="25"/>
    </row>
    <row r="725" spans="2:12" x14ac:dyDescent="0.25">
      <c r="B725" s="26" t="s">
        <v>319</v>
      </c>
      <c r="C725" s="25"/>
      <c r="D725" s="25"/>
      <c r="E725" s="25"/>
      <c r="F725" s="25"/>
      <c r="G725" s="25"/>
      <c r="H725" s="25"/>
      <c r="I725" s="25"/>
      <c r="J725" s="25"/>
      <c r="K725" s="25"/>
      <c r="L725" s="25"/>
    </row>
    <row r="726" spans="2:12" x14ac:dyDescent="0.25">
      <c r="B726" s="26" t="s">
        <v>320</v>
      </c>
      <c r="C726" s="25"/>
      <c r="D726" s="25"/>
      <c r="E726" s="25"/>
      <c r="F726" s="25"/>
      <c r="G726" s="25"/>
      <c r="H726" s="25"/>
      <c r="I726" s="25"/>
      <c r="J726" s="25"/>
      <c r="K726" s="25"/>
      <c r="L726" s="25"/>
    </row>
    <row r="727" spans="2:12" x14ac:dyDescent="0.25">
      <c r="B727" s="26" t="s">
        <v>321</v>
      </c>
      <c r="C727" s="25"/>
      <c r="D727" s="25"/>
      <c r="E727" s="25"/>
      <c r="F727" s="25"/>
      <c r="G727" s="25"/>
      <c r="H727" s="25"/>
      <c r="I727" s="25"/>
      <c r="J727" s="25"/>
      <c r="K727" s="25"/>
      <c r="L727" s="25"/>
    </row>
    <row r="728" spans="2:12" x14ac:dyDescent="0.25">
      <c r="B728" s="26" t="s">
        <v>260</v>
      </c>
      <c r="C728" s="25"/>
      <c r="D728" s="25"/>
      <c r="E728" s="25"/>
      <c r="F728" s="25"/>
      <c r="G728" s="25"/>
      <c r="H728" s="25"/>
      <c r="I728" s="25"/>
      <c r="J728" s="25"/>
      <c r="K728" s="25"/>
      <c r="L728" s="25"/>
    </row>
    <row r="729" spans="2:12" x14ac:dyDescent="0.25">
      <c r="B729" s="26" t="s">
        <v>261</v>
      </c>
      <c r="C729" s="25"/>
      <c r="D729" s="25"/>
      <c r="E729" s="25"/>
      <c r="F729" s="25"/>
      <c r="G729" s="25"/>
      <c r="H729" s="25"/>
      <c r="I729" s="25"/>
      <c r="J729" s="25"/>
      <c r="K729" s="25"/>
      <c r="L729" s="25"/>
    </row>
    <row r="730" spans="2:12" x14ac:dyDescent="0.25">
      <c r="B730" s="26" t="s">
        <v>314</v>
      </c>
      <c r="C730" s="25"/>
      <c r="D730" s="25"/>
      <c r="E730" s="25"/>
      <c r="F730" s="25"/>
      <c r="G730" s="25"/>
      <c r="H730" s="25"/>
      <c r="I730" s="25"/>
      <c r="J730" s="25"/>
      <c r="K730" s="25"/>
      <c r="L730" s="25"/>
    </row>
    <row r="731" spans="2:12" x14ac:dyDescent="0.25">
      <c r="B731" s="26" t="s">
        <v>263</v>
      </c>
      <c r="C731" s="25"/>
      <c r="D731" s="25"/>
      <c r="E731" s="25"/>
      <c r="F731" s="25"/>
      <c r="G731" s="25"/>
      <c r="H731" s="25"/>
      <c r="I731" s="25"/>
      <c r="J731" s="25"/>
      <c r="K731" s="25"/>
      <c r="L731" s="25"/>
    </row>
    <row r="732" spans="2:12" x14ac:dyDescent="0.25">
      <c r="B732" s="26" t="s">
        <v>322</v>
      </c>
      <c r="C732" s="25"/>
      <c r="D732" s="25"/>
      <c r="E732" s="25"/>
      <c r="F732" s="25"/>
      <c r="G732" s="25"/>
      <c r="H732" s="25"/>
      <c r="I732" s="25"/>
      <c r="J732" s="25"/>
      <c r="K732" s="25"/>
      <c r="L732" s="25"/>
    </row>
    <row r="733" spans="2:12" x14ac:dyDescent="0.25">
      <c r="B733" s="25"/>
      <c r="C733" s="25"/>
      <c r="D733" s="25"/>
      <c r="E733" s="25"/>
      <c r="F733" s="25"/>
      <c r="G733" s="25"/>
      <c r="H733" s="25"/>
      <c r="I733" s="25"/>
      <c r="J733" s="25"/>
      <c r="K733" s="25"/>
      <c r="L733" s="25"/>
    </row>
    <row r="734" spans="2:12" x14ac:dyDescent="0.25">
      <c r="B734" s="25"/>
      <c r="C734" s="25"/>
      <c r="D734" s="25"/>
      <c r="E734" s="25"/>
      <c r="F734" s="25"/>
      <c r="G734" s="25"/>
      <c r="H734" s="25"/>
      <c r="I734" s="25"/>
      <c r="J734" s="25"/>
      <c r="K734" s="25"/>
      <c r="L734" s="25"/>
    </row>
    <row r="735" spans="2:12" ht="16.5" x14ac:dyDescent="0.25">
      <c r="B735" s="27" t="s">
        <v>268</v>
      </c>
      <c r="C735" s="25"/>
      <c r="D735" s="25"/>
      <c r="E735" s="25"/>
      <c r="F735" s="25"/>
      <c r="G735" s="25"/>
      <c r="H735" s="25"/>
      <c r="I735" s="25"/>
      <c r="J735" s="25"/>
      <c r="K735" s="25"/>
      <c r="L735" s="25"/>
    </row>
    <row r="736" spans="2:12" x14ac:dyDescent="0.25">
      <c r="B736" s="25"/>
      <c r="C736" s="25"/>
      <c r="D736" s="25"/>
      <c r="E736" s="25"/>
      <c r="F736" s="25"/>
      <c r="G736" s="25"/>
      <c r="H736" s="25"/>
      <c r="I736" s="25"/>
      <c r="J736" s="25"/>
      <c r="K736" s="25"/>
      <c r="L736" s="25"/>
    </row>
    <row r="737" spans="2:12" ht="16.5" thickBot="1" x14ac:dyDescent="0.3">
      <c r="B737" s="129" t="s">
        <v>15</v>
      </c>
      <c r="C737" s="130"/>
      <c r="D737" s="130"/>
      <c r="E737" s="25"/>
      <c r="F737" s="25"/>
      <c r="G737" s="25"/>
      <c r="H737" s="25"/>
      <c r="I737" s="25"/>
      <c r="J737" s="25"/>
      <c r="K737" s="25"/>
      <c r="L737" s="25"/>
    </row>
    <row r="738" spans="2:12" x14ac:dyDescent="0.25">
      <c r="B738" s="131" t="s">
        <v>189</v>
      </c>
      <c r="C738" s="132"/>
      <c r="D738" s="28" t="s">
        <v>323</v>
      </c>
      <c r="E738" s="25"/>
      <c r="F738" s="25"/>
      <c r="G738" s="25"/>
      <c r="H738" s="25"/>
      <c r="I738" s="25"/>
      <c r="J738" s="25"/>
      <c r="K738" s="25"/>
      <c r="L738" s="25"/>
    </row>
    <row r="739" spans="2:12" x14ac:dyDescent="0.25">
      <c r="B739" s="133" t="s">
        <v>191</v>
      </c>
      <c r="C739" s="134"/>
      <c r="D739" s="29" t="s">
        <v>192</v>
      </c>
      <c r="E739" s="25"/>
      <c r="F739" s="25"/>
      <c r="G739" s="25"/>
      <c r="H739" s="25"/>
      <c r="I739" s="25"/>
      <c r="J739" s="25"/>
      <c r="K739" s="25"/>
      <c r="L739" s="25"/>
    </row>
    <row r="740" spans="2:12" ht="96" x14ac:dyDescent="0.25">
      <c r="B740" s="135" t="s">
        <v>193</v>
      </c>
      <c r="C740" s="30" t="s">
        <v>270</v>
      </c>
      <c r="D740" s="29" t="s">
        <v>271</v>
      </c>
      <c r="E740" s="25"/>
      <c r="F740" s="25"/>
      <c r="G740" s="25"/>
      <c r="H740" s="25"/>
      <c r="I740" s="25"/>
      <c r="J740" s="25"/>
      <c r="K740" s="25"/>
      <c r="L740" s="25"/>
    </row>
    <row r="741" spans="2:12" ht="24" x14ac:dyDescent="0.25">
      <c r="B741" s="136"/>
      <c r="C741" s="30" t="s">
        <v>194</v>
      </c>
      <c r="D741" s="29" t="s">
        <v>195</v>
      </c>
      <c r="E741" s="25"/>
      <c r="F741" s="25"/>
      <c r="G741" s="25"/>
      <c r="H741" s="25"/>
      <c r="I741" s="25"/>
      <c r="J741" s="25"/>
      <c r="K741" s="25"/>
      <c r="L741" s="25"/>
    </row>
    <row r="742" spans="2:12" ht="24" x14ac:dyDescent="0.25">
      <c r="B742" s="136"/>
      <c r="C742" s="30" t="s">
        <v>196</v>
      </c>
      <c r="D742" s="29" t="s">
        <v>272</v>
      </c>
      <c r="E742" s="25"/>
      <c r="F742" s="25"/>
      <c r="G742" s="25"/>
      <c r="H742" s="25"/>
      <c r="I742" s="25"/>
      <c r="J742" s="25"/>
      <c r="K742" s="25"/>
      <c r="L742" s="25"/>
    </row>
    <row r="743" spans="2:12" x14ac:dyDescent="0.25">
      <c r="B743" s="136"/>
      <c r="C743" s="30" t="s">
        <v>198</v>
      </c>
      <c r="D743" s="29" t="s">
        <v>197</v>
      </c>
      <c r="E743" s="25"/>
      <c r="F743" s="25"/>
      <c r="G743" s="25"/>
      <c r="H743" s="25"/>
      <c r="I743" s="25"/>
      <c r="J743" s="25"/>
      <c r="K743" s="25"/>
      <c r="L743" s="25"/>
    </row>
    <row r="744" spans="2:12" x14ac:dyDescent="0.25">
      <c r="B744" s="136"/>
      <c r="C744" s="30" t="s">
        <v>199</v>
      </c>
      <c r="D744" s="29" t="s">
        <v>197</v>
      </c>
      <c r="E744" s="25"/>
      <c r="F744" s="25"/>
      <c r="G744" s="25"/>
      <c r="H744" s="25"/>
      <c r="I744" s="25"/>
      <c r="J744" s="25"/>
      <c r="K744" s="25"/>
      <c r="L744" s="25"/>
    </row>
    <row r="745" spans="2:12" ht="36" x14ac:dyDescent="0.25">
      <c r="B745" s="136"/>
      <c r="C745" s="30" t="s">
        <v>200</v>
      </c>
      <c r="D745" s="31">
        <v>336</v>
      </c>
      <c r="E745" s="25"/>
      <c r="F745" s="25"/>
      <c r="G745" s="25"/>
      <c r="H745" s="25"/>
      <c r="I745" s="25"/>
      <c r="J745" s="25"/>
      <c r="K745" s="25"/>
      <c r="L745" s="25"/>
    </row>
    <row r="746" spans="2:12" ht="36" x14ac:dyDescent="0.25">
      <c r="B746" s="135" t="s">
        <v>201</v>
      </c>
      <c r="C746" s="30" t="s">
        <v>202</v>
      </c>
      <c r="D746" s="29" t="s">
        <v>203</v>
      </c>
      <c r="E746" s="25"/>
      <c r="F746" s="25"/>
      <c r="G746" s="25"/>
      <c r="H746" s="25"/>
      <c r="I746" s="25"/>
      <c r="J746" s="25"/>
      <c r="K746" s="25"/>
      <c r="L746" s="25"/>
    </row>
    <row r="747" spans="2:12" ht="48" x14ac:dyDescent="0.25">
      <c r="B747" s="136"/>
      <c r="C747" s="30" t="s">
        <v>204</v>
      </c>
      <c r="D747" s="29" t="s">
        <v>273</v>
      </c>
      <c r="E747" s="25"/>
      <c r="F747" s="25"/>
      <c r="G747" s="25"/>
      <c r="H747" s="25"/>
      <c r="I747" s="25"/>
      <c r="J747" s="25"/>
      <c r="K747" s="25"/>
      <c r="L747" s="25"/>
    </row>
    <row r="748" spans="2:12" ht="300" x14ac:dyDescent="0.25">
      <c r="B748" s="133" t="s">
        <v>206</v>
      </c>
      <c r="C748" s="134"/>
      <c r="D748" s="29" t="s">
        <v>324</v>
      </c>
      <c r="E748" s="25"/>
      <c r="F748" s="25"/>
      <c r="G748" s="25"/>
      <c r="H748" s="25"/>
      <c r="I748" s="25"/>
      <c r="J748" s="25"/>
      <c r="K748" s="25"/>
      <c r="L748" s="25"/>
    </row>
    <row r="749" spans="2:12" ht="24.75" thickBot="1" x14ac:dyDescent="0.3">
      <c r="B749" s="148" t="s">
        <v>208</v>
      </c>
      <c r="C749" s="30" t="s">
        <v>209</v>
      </c>
      <c r="D749" s="32" t="s">
        <v>325</v>
      </c>
      <c r="E749" s="25"/>
      <c r="F749" s="25"/>
      <c r="G749" s="25"/>
      <c r="H749" s="25"/>
      <c r="I749" s="25"/>
      <c r="J749" s="25"/>
      <c r="K749" s="25"/>
      <c r="L749" s="25"/>
    </row>
    <row r="750" spans="2:12" ht="24.75" thickBot="1" x14ac:dyDescent="0.3">
      <c r="B750" s="143"/>
      <c r="C750" s="33" t="s">
        <v>211</v>
      </c>
      <c r="D750" s="34" t="s">
        <v>325</v>
      </c>
      <c r="E750" s="25"/>
      <c r="F750" s="25"/>
      <c r="G750" s="25"/>
      <c r="H750" s="25"/>
      <c r="I750" s="25"/>
      <c r="J750" s="25"/>
      <c r="K750" s="25"/>
      <c r="L750" s="25"/>
    </row>
    <row r="751" spans="2:12" x14ac:dyDescent="0.25">
      <c r="B751" s="25"/>
      <c r="C751" s="25"/>
      <c r="D751" s="25"/>
      <c r="E751" s="25"/>
      <c r="F751" s="25"/>
      <c r="G751" s="25"/>
      <c r="H751" s="25"/>
      <c r="I751" s="25"/>
      <c r="J751" s="25"/>
      <c r="K751" s="25"/>
      <c r="L751" s="25"/>
    </row>
    <row r="752" spans="2:12" x14ac:dyDescent="0.25">
      <c r="B752" s="25"/>
      <c r="C752" s="25"/>
      <c r="D752" s="25"/>
      <c r="E752" s="25"/>
      <c r="F752" s="25"/>
      <c r="G752" s="25"/>
      <c r="H752" s="25"/>
      <c r="I752" s="25"/>
      <c r="J752" s="25"/>
      <c r="K752" s="25"/>
      <c r="L752" s="25"/>
    </row>
    <row r="753" spans="2:12" x14ac:dyDescent="0.25">
      <c r="B753" s="26" t="s">
        <v>277</v>
      </c>
      <c r="C753" s="25"/>
      <c r="D753" s="25"/>
      <c r="E753" s="25"/>
      <c r="F753" s="25"/>
      <c r="G753" s="25"/>
      <c r="H753" s="25"/>
      <c r="I753" s="25"/>
      <c r="J753" s="25"/>
      <c r="K753" s="25"/>
      <c r="L753" s="25"/>
    </row>
    <row r="754" spans="2:12" x14ac:dyDescent="0.25">
      <c r="B754" s="25"/>
      <c r="C754" s="25"/>
      <c r="D754" s="25"/>
      <c r="E754" s="25"/>
      <c r="F754" s="25"/>
      <c r="G754" s="25"/>
      <c r="H754" s="25"/>
      <c r="I754" s="25"/>
      <c r="J754" s="25"/>
      <c r="K754" s="25"/>
      <c r="L754" s="25"/>
    </row>
    <row r="755" spans="2:12" ht="16.5" thickBot="1" x14ac:dyDescent="0.3">
      <c r="B755" s="144" t="s">
        <v>278</v>
      </c>
      <c r="C755" s="145"/>
      <c r="D755" s="145"/>
      <c r="E755" s="25"/>
      <c r="F755" s="25"/>
      <c r="G755" s="25"/>
      <c r="H755" s="25"/>
      <c r="I755" s="25"/>
      <c r="J755" s="25"/>
      <c r="K755" s="25"/>
      <c r="L755" s="25"/>
    </row>
    <row r="756" spans="2:12" ht="16.5" thickBot="1" x14ac:dyDescent="0.3">
      <c r="B756" s="146" t="s">
        <v>192</v>
      </c>
      <c r="C756" s="147"/>
      <c r="D756" s="101" t="s">
        <v>223</v>
      </c>
      <c r="E756" s="25"/>
      <c r="F756" s="25"/>
      <c r="G756" s="25"/>
      <c r="H756" s="25"/>
      <c r="I756" s="25"/>
      <c r="J756" s="25"/>
      <c r="K756" s="25"/>
      <c r="L756" s="25"/>
    </row>
    <row r="757" spans="2:12" x14ac:dyDescent="0.25">
      <c r="B757" s="159" t="s">
        <v>0</v>
      </c>
      <c r="C757" s="41" t="s">
        <v>232</v>
      </c>
      <c r="D757" s="102">
        <v>140</v>
      </c>
      <c r="E757" s="25"/>
      <c r="F757" s="25"/>
      <c r="G757" s="25"/>
      <c r="H757" s="25"/>
      <c r="I757" s="25"/>
      <c r="J757" s="25"/>
      <c r="K757" s="25"/>
      <c r="L757" s="25"/>
    </row>
    <row r="758" spans="2:12" x14ac:dyDescent="0.25">
      <c r="B758" s="136"/>
      <c r="C758" s="30" t="s">
        <v>215</v>
      </c>
      <c r="D758" s="31">
        <v>196</v>
      </c>
      <c r="E758" s="25"/>
      <c r="F758" s="25"/>
      <c r="G758" s="25"/>
      <c r="H758" s="25"/>
      <c r="I758" s="25"/>
      <c r="J758" s="25"/>
      <c r="K758" s="25"/>
      <c r="L758" s="25"/>
    </row>
    <row r="759" spans="2:12" x14ac:dyDescent="0.25">
      <c r="B759" s="135" t="s">
        <v>1</v>
      </c>
      <c r="C759" s="30" t="s">
        <v>232</v>
      </c>
      <c r="D759" s="31">
        <v>130</v>
      </c>
      <c r="E759" s="25"/>
      <c r="F759" s="25"/>
      <c r="G759" s="25"/>
      <c r="H759" s="25"/>
      <c r="I759" s="25"/>
      <c r="J759" s="25"/>
      <c r="K759" s="25"/>
      <c r="L759" s="25"/>
    </row>
    <row r="760" spans="2:12" x14ac:dyDescent="0.25">
      <c r="B760" s="136"/>
      <c r="C760" s="30" t="s">
        <v>215</v>
      </c>
      <c r="D760" s="31">
        <v>206</v>
      </c>
      <c r="E760" s="25"/>
      <c r="F760" s="25"/>
      <c r="G760" s="25"/>
      <c r="H760" s="25"/>
      <c r="I760" s="25"/>
      <c r="J760" s="25"/>
      <c r="K760" s="25"/>
      <c r="L760" s="25"/>
    </row>
    <row r="761" spans="2:12" ht="16.5" thickBot="1" x14ac:dyDescent="0.3">
      <c r="B761" s="148" t="s">
        <v>326</v>
      </c>
      <c r="C761" s="30" t="s">
        <v>327</v>
      </c>
      <c r="D761" s="31">
        <v>77</v>
      </c>
      <c r="E761" s="25"/>
      <c r="F761" s="25"/>
      <c r="G761" s="25"/>
      <c r="H761" s="25"/>
      <c r="I761" s="25"/>
      <c r="J761" s="25"/>
      <c r="K761" s="25"/>
      <c r="L761" s="25"/>
    </row>
    <row r="762" spans="2:12" x14ac:dyDescent="0.25">
      <c r="B762" s="136"/>
      <c r="C762" s="30" t="s">
        <v>328</v>
      </c>
      <c r="D762" s="31">
        <v>116</v>
      </c>
      <c r="E762" s="25"/>
      <c r="F762" s="25"/>
      <c r="G762" s="25"/>
      <c r="H762" s="25"/>
      <c r="I762" s="25"/>
      <c r="J762" s="25"/>
      <c r="K762" s="25"/>
      <c r="L762" s="25"/>
    </row>
    <row r="763" spans="2:12" x14ac:dyDescent="0.25">
      <c r="B763" s="136"/>
      <c r="C763" s="30" t="s">
        <v>329</v>
      </c>
      <c r="D763" s="31">
        <v>47</v>
      </c>
      <c r="E763" s="25"/>
      <c r="F763" s="25"/>
      <c r="G763" s="25"/>
      <c r="H763" s="25"/>
      <c r="I763" s="25"/>
      <c r="J763" s="25"/>
      <c r="K763" s="25"/>
      <c r="L763" s="25"/>
    </row>
    <row r="764" spans="2:12" ht="16.5" thickBot="1" x14ac:dyDescent="0.3">
      <c r="B764" s="143"/>
      <c r="C764" s="33" t="s">
        <v>330</v>
      </c>
      <c r="D764" s="103">
        <v>96</v>
      </c>
      <c r="E764" s="25"/>
      <c r="F764" s="25"/>
      <c r="G764" s="25"/>
      <c r="H764" s="25"/>
      <c r="I764" s="25"/>
      <c r="J764" s="25"/>
      <c r="K764" s="25"/>
      <c r="L764" s="25"/>
    </row>
    <row r="765" spans="2:12" x14ac:dyDescent="0.25">
      <c r="B765" s="25"/>
      <c r="C765" s="25"/>
      <c r="D765" s="25"/>
      <c r="E765" s="25"/>
      <c r="F765" s="25"/>
      <c r="G765" s="25"/>
      <c r="H765" s="25"/>
      <c r="I765" s="25"/>
      <c r="J765" s="25"/>
      <c r="K765" s="25"/>
      <c r="L765" s="25"/>
    </row>
    <row r="766" spans="2:12" x14ac:dyDescent="0.25">
      <c r="B766" s="144" t="s">
        <v>279</v>
      </c>
      <c r="C766" s="145"/>
      <c r="D766" s="145"/>
      <c r="E766" s="145"/>
      <c r="F766" s="145"/>
      <c r="G766" s="145"/>
      <c r="H766" s="25"/>
      <c r="I766" s="25"/>
      <c r="J766" s="25"/>
      <c r="K766" s="25"/>
      <c r="L766" s="25"/>
    </row>
    <row r="767" spans="2:12" ht="16.5" thickBot="1" x14ac:dyDescent="0.3">
      <c r="B767" s="160" t="s">
        <v>313</v>
      </c>
      <c r="C767" s="145"/>
      <c r="D767" s="145"/>
      <c r="E767" s="145"/>
      <c r="F767" s="145"/>
      <c r="G767" s="145"/>
      <c r="H767" s="25"/>
      <c r="I767" s="25"/>
      <c r="J767" s="25"/>
      <c r="K767" s="25"/>
      <c r="L767" s="25"/>
    </row>
    <row r="768" spans="2:12" ht="16.5" thickBot="1" x14ac:dyDescent="0.3">
      <c r="B768" s="104" t="s">
        <v>0</v>
      </c>
      <c r="C768" s="105" t="s">
        <v>1</v>
      </c>
      <c r="D768" s="106" t="s">
        <v>326</v>
      </c>
      <c r="E768" s="77" t="s">
        <v>224</v>
      </c>
      <c r="F768" s="78" t="s">
        <v>225</v>
      </c>
      <c r="G768" s="79" t="s">
        <v>223</v>
      </c>
      <c r="H768" s="25"/>
      <c r="I768" s="25"/>
      <c r="J768" s="25"/>
      <c r="K768" s="25"/>
      <c r="L768" s="25"/>
    </row>
    <row r="769" spans="2:12" x14ac:dyDescent="0.25">
      <c r="B769" s="139" t="s">
        <v>232</v>
      </c>
      <c r="C769" s="156" t="s">
        <v>232</v>
      </c>
      <c r="D769" s="41" t="s">
        <v>327</v>
      </c>
      <c r="E769" s="122">
        <v>8.4811547049999998</v>
      </c>
      <c r="F769" s="123">
        <v>9.4015592079536976</v>
      </c>
      <c r="G769" s="107">
        <v>8</v>
      </c>
      <c r="H769" s="25"/>
      <c r="I769" s="25"/>
      <c r="J769" s="25"/>
      <c r="K769" s="25"/>
      <c r="L769" s="25"/>
    </row>
    <row r="770" spans="2:12" x14ac:dyDescent="0.25">
      <c r="B770" s="136"/>
      <c r="C770" s="145"/>
      <c r="D770" s="30" t="s">
        <v>328</v>
      </c>
      <c r="E770" s="124">
        <v>9.5468054261111135</v>
      </c>
      <c r="F770" s="69">
        <v>7.3704480788177662</v>
      </c>
      <c r="G770" s="108">
        <v>18</v>
      </c>
      <c r="H770" s="25"/>
      <c r="I770" s="25"/>
      <c r="J770" s="25"/>
      <c r="K770" s="25"/>
      <c r="L770" s="25"/>
    </row>
    <row r="771" spans="2:12" x14ac:dyDescent="0.25">
      <c r="B771" s="136"/>
      <c r="C771" s="145"/>
      <c r="D771" s="30" t="s">
        <v>329</v>
      </c>
      <c r="E771" s="124">
        <v>8.0754825857142869</v>
      </c>
      <c r="F771" s="69">
        <v>5.9277486066279801</v>
      </c>
      <c r="G771" s="108">
        <v>7</v>
      </c>
      <c r="H771" s="25"/>
      <c r="I771" s="25"/>
      <c r="J771" s="25"/>
      <c r="K771" s="25"/>
      <c r="L771" s="25"/>
    </row>
    <row r="772" spans="2:12" x14ac:dyDescent="0.25">
      <c r="B772" s="136"/>
      <c r="C772" s="145"/>
      <c r="D772" s="30" t="s">
        <v>330</v>
      </c>
      <c r="E772" s="124">
        <v>44.919994686956521</v>
      </c>
      <c r="F772" s="69">
        <v>54.795242005130596</v>
      </c>
      <c r="G772" s="108">
        <v>23</v>
      </c>
      <c r="H772" s="25"/>
      <c r="I772" s="25"/>
      <c r="J772" s="25"/>
      <c r="K772" s="25"/>
      <c r="L772" s="25"/>
    </row>
    <row r="773" spans="2:12" x14ac:dyDescent="0.25">
      <c r="B773" s="136"/>
      <c r="C773" s="157"/>
      <c r="D773" s="52" t="s">
        <v>233</v>
      </c>
      <c r="E773" s="125">
        <v>23.738928414464286</v>
      </c>
      <c r="F773" s="126">
        <v>39.389066898325659</v>
      </c>
      <c r="G773" s="109">
        <v>56</v>
      </c>
      <c r="H773" s="25"/>
      <c r="I773" s="25"/>
      <c r="J773" s="25"/>
      <c r="K773" s="25"/>
      <c r="L773" s="25"/>
    </row>
    <row r="774" spans="2:12" x14ac:dyDescent="0.25">
      <c r="B774" s="136"/>
      <c r="C774" s="158" t="s">
        <v>215</v>
      </c>
      <c r="D774" s="58" t="s">
        <v>327</v>
      </c>
      <c r="E774" s="127">
        <v>16.673479800000003</v>
      </c>
      <c r="F774" s="65">
        <v>13.424916975791412</v>
      </c>
      <c r="G774" s="110">
        <v>10</v>
      </c>
      <c r="H774" s="25"/>
      <c r="I774" s="25"/>
      <c r="J774" s="25"/>
      <c r="K774" s="25"/>
      <c r="L774" s="25"/>
    </row>
    <row r="775" spans="2:12" x14ac:dyDescent="0.25">
      <c r="B775" s="136"/>
      <c r="C775" s="145"/>
      <c r="D775" s="30" t="s">
        <v>328</v>
      </c>
      <c r="E775" s="124">
        <v>56.227835451219505</v>
      </c>
      <c r="F775" s="69">
        <v>43.798616538059022</v>
      </c>
      <c r="G775" s="108">
        <v>41</v>
      </c>
      <c r="H775" s="25"/>
      <c r="I775" s="25"/>
      <c r="J775" s="25"/>
      <c r="K775" s="25"/>
      <c r="L775" s="25"/>
    </row>
    <row r="776" spans="2:12" x14ac:dyDescent="0.25">
      <c r="B776" s="136"/>
      <c r="C776" s="145"/>
      <c r="D776" s="30" t="s">
        <v>329</v>
      </c>
      <c r="E776" s="124">
        <v>24.11734090833334</v>
      </c>
      <c r="F776" s="69">
        <v>26.527449083954206</v>
      </c>
      <c r="G776" s="108">
        <v>12</v>
      </c>
      <c r="H776" s="25"/>
      <c r="I776" s="25"/>
      <c r="J776" s="25"/>
      <c r="K776" s="25"/>
      <c r="L776" s="25"/>
    </row>
    <row r="777" spans="2:12" x14ac:dyDescent="0.25">
      <c r="B777" s="136"/>
      <c r="C777" s="145"/>
      <c r="D777" s="30" t="s">
        <v>330</v>
      </c>
      <c r="E777" s="124">
        <v>47.523757533333331</v>
      </c>
      <c r="F777" s="69">
        <v>42.63258498372678</v>
      </c>
      <c r="G777" s="108">
        <v>21</v>
      </c>
      <c r="H777" s="25"/>
      <c r="I777" s="25"/>
      <c r="J777" s="25"/>
      <c r="K777" s="25"/>
      <c r="L777" s="25"/>
    </row>
    <row r="778" spans="2:12" x14ac:dyDescent="0.25">
      <c r="B778" s="136"/>
      <c r="C778" s="157"/>
      <c r="D778" s="52" t="s">
        <v>233</v>
      </c>
      <c r="E778" s="125">
        <v>44.755750602380964</v>
      </c>
      <c r="F778" s="126">
        <v>41.216536481677217</v>
      </c>
      <c r="G778" s="109">
        <v>84</v>
      </c>
      <c r="H778" s="25"/>
      <c r="I778" s="25"/>
      <c r="J778" s="25"/>
      <c r="K778" s="25"/>
      <c r="L778" s="25"/>
    </row>
    <row r="779" spans="2:12" x14ac:dyDescent="0.25">
      <c r="B779" s="136"/>
      <c r="C779" s="158" t="s">
        <v>233</v>
      </c>
      <c r="D779" s="58" t="s">
        <v>327</v>
      </c>
      <c r="E779" s="127">
        <v>13.032446424444444</v>
      </c>
      <c r="F779" s="65">
        <v>12.221163086051153</v>
      </c>
      <c r="G779" s="110">
        <v>18</v>
      </c>
      <c r="H779" s="25"/>
      <c r="I779" s="25"/>
      <c r="J779" s="25"/>
      <c r="K779" s="25"/>
      <c r="L779" s="25"/>
    </row>
    <row r="780" spans="2:12" x14ac:dyDescent="0.25">
      <c r="B780" s="136"/>
      <c r="C780" s="145"/>
      <c r="D780" s="30" t="s">
        <v>328</v>
      </c>
      <c r="E780" s="124">
        <v>41.986165274067808</v>
      </c>
      <c r="F780" s="69">
        <v>42.530658549909312</v>
      </c>
      <c r="G780" s="108">
        <v>59</v>
      </c>
      <c r="H780" s="25"/>
      <c r="I780" s="25"/>
      <c r="J780" s="25"/>
      <c r="K780" s="25"/>
      <c r="L780" s="25"/>
    </row>
    <row r="781" spans="2:12" x14ac:dyDescent="0.25">
      <c r="B781" s="136"/>
      <c r="C781" s="145"/>
      <c r="D781" s="30" t="s">
        <v>329</v>
      </c>
      <c r="E781" s="124">
        <v>18.207182578947375</v>
      </c>
      <c r="F781" s="69">
        <v>22.471351386192165</v>
      </c>
      <c r="G781" s="108">
        <v>19</v>
      </c>
      <c r="H781" s="25"/>
      <c r="I781" s="25"/>
      <c r="J781" s="25"/>
      <c r="K781" s="25"/>
      <c r="L781" s="25"/>
    </row>
    <row r="782" spans="2:12" x14ac:dyDescent="0.25">
      <c r="B782" s="136"/>
      <c r="C782" s="145"/>
      <c r="D782" s="30" t="s">
        <v>330</v>
      </c>
      <c r="E782" s="124">
        <v>46.162699681818182</v>
      </c>
      <c r="F782" s="69">
        <v>48.818738152830349</v>
      </c>
      <c r="G782" s="108">
        <v>44</v>
      </c>
      <c r="H782" s="25"/>
      <c r="I782" s="25"/>
      <c r="J782" s="25"/>
      <c r="K782" s="25"/>
      <c r="L782" s="25"/>
    </row>
    <row r="783" spans="2:12" x14ac:dyDescent="0.25">
      <c r="B783" s="140"/>
      <c r="C783" s="157"/>
      <c r="D783" s="52" t="s">
        <v>233</v>
      </c>
      <c r="E783" s="125">
        <v>36.349021727214314</v>
      </c>
      <c r="F783" s="126">
        <v>41.654143868221169</v>
      </c>
      <c r="G783" s="109">
        <v>140</v>
      </c>
      <c r="H783" s="25"/>
      <c r="I783" s="25"/>
      <c r="J783" s="25"/>
      <c r="K783" s="25"/>
      <c r="L783" s="25"/>
    </row>
    <row r="784" spans="2:12" x14ac:dyDescent="0.25">
      <c r="B784" s="141" t="s">
        <v>215</v>
      </c>
      <c r="C784" s="158" t="s">
        <v>232</v>
      </c>
      <c r="D784" s="58" t="s">
        <v>327</v>
      </c>
      <c r="E784" s="127">
        <v>9.6023167555555542</v>
      </c>
      <c r="F784" s="65">
        <v>9.9311291932255301</v>
      </c>
      <c r="G784" s="110">
        <v>27</v>
      </c>
      <c r="H784" s="25"/>
      <c r="I784" s="25"/>
      <c r="J784" s="25"/>
      <c r="K784" s="25"/>
      <c r="L784" s="25"/>
    </row>
    <row r="785" spans="2:12" x14ac:dyDescent="0.25">
      <c r="B785" s="136"/>
      <c r="C785" s="145"/>
      <c r="D785" s="30" t="s">
        <v>328</v>
      </c>
      <c r="E785" s="124">
        <v>5.5954711062500007</v>
      </c>
      <c r="F785" s="69">
        <v>6.0895924439721432</v>
      </c>
      <c r="G785" s="108">
        <v>16</v>
      </c>
      <c r="H785" s="25"/>
      <c r="I785" s="25"/>
      <c r="J785" s="25"/>
      <c r="K785" s="25"/>
      <c r="L785" s="25"/>
    </row>
    <row r="786" spans="2:12" x14ac:dyDescent="0.25">
      <c r="B786" s="136"/>
      <c r="C786" s="145"/>
      <c r="D786" s="30" t="s">
        <v>329</v>
      </c>
      <c r="E786" s="124">
        <v>10.57058671111111</v>
      </c>
      <c r="F786" s="69">
        <v>6.342160386480403</v>
      </c>
      <c r="G786" s="108">
        <v>9</v>
      </c>
      <c r="H786" s="25"/>
      <c r="I786" s="25"/>
      <c r="J786" s="25"/>
      <c r="K786" s="25"/>
      <c r="L786" s="25"/>
    </row>
    <row r="787" spans="2:12" x14ac:dyDescent="0.25">
      <c r="B787" s="136"/>
      <c r="C787" s="145"/>
      <c r="D787" s="30" t="s">
        <v>330</v>
      </c>
      <c r="E787" s="124">
        <v>14.97278305909091</v>
      </c>
      <c r="F787" s="69">
        <v>11.217376099702014</v>
      </c>
      <c r="G787" s="108">
        <v>22</v>
      </c>
      <c r="H787" s="25"/>
      <c r="I787" s="25"/>
      <c r="J787" s="25"/>
      <c r="K787" s="25"/>
      <c r="L787" s="25"/>
    </row>
    <row r="788" spans="2:12" x14ac:dyDescent="0.25">
      <c r="B788" s="136"/>
      <c r="C788" s="157"/>
      <c r="D788" s="52" t="s">
        <v>233</v>
      </c>
      <c r="E788" s="125">
        <v>10.450359429729733</v>
      </c>
      <c r="F788" s="126">
        <v>9.74424975110351</v>
      </c>
      <c r="G788" s="109">
        <v>74</v>
      </c>
      <c r="H788" s="25"/>
      <c r="I788" s="25"/>
      <c r="J788" s="25"/>
      <c r="K788" s="25"/>
      <c r="L788" s="25"/>
    </row>
    <row r="789" spans="2:12" x14ac:dyDescent="0.25">
      <c r="B789" s="136"/>
      <c r="C789" s="158" t="s">
        <v>215</v>
      </c>
      <c r="D789" s="58" t="s">
        <v>327</v>
      </c>
      <c r="E789" s="127">
        <v>26.809362242812497</v>
      </c>
      <c r="F789" s="65">
        <v>22.99913284034572</v>
      </c>
      <c r="G789" s="110">
        <v>32</v>
      </c>
      <c r="H789" s="25"/>
      <c r="I789" s="25"/>
      <c r="J789" s="25"/>
      <c r="K789" s="25"/>
      <c r="L789" s="25"/>
    </row>
    <row r="790" spans="2:12" x14ac:dyDescent="0.25">
      <c r="B790" s="136"/>
      <c r="C790" s="145"/>
      <c r="D790" s="30" t="s">
        <v>328</v>
      </c>
      <c r="E790" s="124">
        <v>34.99657572439024</v>
      </c>
      <c r="F790" s="69">
        <v>40.102172986109586</v>
      </c>
      <c r="G790" s="108">
        <v>41</v>
      </c>
      <c r="H790" s="25"/>
      <c r="I790" s="25"/>
      <c r="J790" s="25"/>
      <c r="K790" s="25"/>
      <c r="L790" s="25"/>
    </row>
    <row r="791" spans="2:12" x14ac:dyDescent="0.25">
      <c r="B791" s="136"/>
      <c r="C791" s="145"/>
      <c r="D791" s="30" t="s">
        <v>329</v>
      </c>
      <c r="E791" s="124">
        <v>47.443559957894735</v>
      </c>
      <c r="F791" s="69">
        <v>42.955470213668278</v>
      </c>
      <c r="G791" s="108">
        <v>19</v>
      </c>
      <c r="H791" s="25"/>
      <c r="I791" s="25"/>
      <c r="J791" s="25"/>
      <c r="K791" s="25"/>
      <c r="L791" s="25"/>
    </row>
    <row r="792" spans="2:12" x14ac:dyDescent="0.25">
      <c r="B792" s="136"/>
      <c r="C792" s="145"/>
      <c r="D792" s="30" t="s">
        <v>330</v>
      </c>
      <c r="E792" s="124">
        <v>130.79357803333329</v>
      </c>
      <c r="F792" s="69">
        <v>115.38160516834066</v>
      </c>
      <c r="G792" s="108">
        <v>30</v>
      </c>
      <c r="H792" s="25"/>
      <c r="I792" s="25"/>
      <c r="J792" s="25"/>
      <c r="K792" s="25"/>
      <c r="L792" s="25"/>
    </row>
    <row r="793" spans="2:12" x14ac:dyDescent="0.25">
      <c r="B793" s="136"/>
      <c r="C793" s="157"/>
      <c r="D793" s="52" t="s">
        <v>233</v>
      </c>
      <c r="E793" s="125">
        <v>58.344214562868849</v>
      </c>
      <c r="F793" s="126">
        <v>76.811976070687123</v>
      </c>
      <c r="G793" s="109">
        <v>122</v>
      </c>
      <c r="H793" s="25"/>
      <c r="I793" s="25"/>
      <c r="J793" s="25"/>
      <c r="K793" s="25"/>
      <c r="L793" s="25"/>
    </row>
    <row r="794" spans="2:12" x14ac:dyDescent="0.25">
      <c r="B794" s="136"/>
      <c r="C794" s="158" t="s">
        <v>233</v>
      </c>
      <c r="D794" s="58" t="s">
        <v>327</v>
      </c>
      <c r="E794" s="127">
        <v>18.934951596101694</v>
      </c>
      <c r="F794" s="65">
        <v>20.04216456531995</v>
      </c>
      <c r="G794" s="110">
        <v>59</v>
      </c>
      <c r="H794" s="25"/>
      <c r="I794" s="25"/>
      <c r="J794" s="25"/>
      <c r="K794" s="25"/>
      <c r="L794" s="25"/>
    </row>
    <row r="795" spans="2:12" x14ac:dyDescent="0.25">
      <c r="B795" s="136"/>
      <c r="C795" s="145"/>
      <c r="D795" s="30" t="s">
        <v>328</v>
      </c>
      <c r="E795" s="124">
        <v>26.743634077192979</v>
      </c>
      <c r="F795" s="69">
        <v>36.555263399153205</v>
      </c>
      <c r="G795" s="108">
        <v>57</v>
      </c>
      <c r="H795" s="25"/>
      <c r="I795" s="25"/>
      <c r="J795" s="25"/>
      <c r="K795" s="25"/>
      <c r="L795" s="25"/>
    </row>
    <row r="796" spans="2:12" x14ac:dyDescent="0.25">
      <c r="B796" s="136"/>
      <c r="C796" s="145"/>
      <c r="D796" s="30" t="s">
        <v>329</v>
      </c>
      <c r="E796" s="124">
        <v>35.591532842857141</v>
      </c>
      <c r="F796" s="69">
        <v>39.364515730992814</v>
      </c>
      <c r="G796" s="108">
        <v>28</v>
      </c>
      <c r="H796" s="25"/>
      <c r="I796" s="25"/>
      <c r="J796" s="25"/>
      <c r="K796" s="25"/>
      <c r="L796" s="25"/>
    </row>
    <row r="797" spans="2:12" x14ac:dyDescent="0.25">
      <c r="B797" s="136"/>
      <c r="C797" s="145"/>
      <c r="D797" s="30" t="s">
        <v>330</v>
      </c>
      <c r="E797" s="124">
        <v>81.792472467307675</v>
      </c>
      <c r="F797" s="69">
        <v>104.69164429282303</v>
      </c>
      <c r="G797" s="108">
        <v>52</v>
      </c>
      <c r="H797" s="25"/>
      <c r="I797" s="25"/>
      <c r="J797" s="25"/>
      <c r="K797" s="25"/>
      <c r="L797" s="25"/>
    </row>
    <row r="798" spans="2:12" x14ac:dyDescent="0.25">
      <c r="B798" s="140"/>
      <c r="C798" s="157"/>
      <c r="D798" s="52" t="s">
        <v>233</v>
      </c>
      <c r="E798" s="125">
        <v>40.26184068607143</v>
      </c>
      <c r="F798" s="126">
        <v>65.103359235417173</v>
      </c>
      <c r="G798" s="109">
        <v>196</v>
      </c>
      <c r="H798" s="25"/>
      <c r="I798" s="25"/>
      <c r="J798" s="25"/>
      <c r="K798" s="25"/>
      <c r="L798" s="25"/>
    </row>
    <row r="799" spans="2:12" ht="16.5" thickBot="1" x14ac:dyDescent="0.3">
      <c r="B799" s="142" t="s">
        <v>233</v>
      </c>
      <c r="C799" s="158" t="s">
        <v>232</v>
      </c>
      <c r="D799" s="58" t="s">
        <v>327</v>
      </c>
      <c r="E799" s="127">
        <v>9.3460511439999987</v>
      </c>
      <c r="F799" s="65">
        <v>9.6874588798688546</v>
      </c>
      <c r="G799" s="110">
        <v>35</v>
      </c>
      <c r="H799" s="25"/>
      <c r="I799" s="25"/>
      <c r="J799" s="25"/>
      <c r="K799" s="25"/>
      <c r="L799" s="25"/>
    </row>
    <row r="800" spans="2:12" x14ac:dyDescent="0.25">
      <c r="B800" s="136"/>
      <c r="C800" s="145"/>
      <c r="D800" s="30" t="s">
        <v>328</v>
      </c>
      <c r="E800" s="124">
        <v>7.6873539814705882</v>
      </c>
      <c r="F800" s="69">
        <v>6.9891653868931307</v>
      </c>
      <c r="G800" s="108">
        <v>34</v>
      </c>
      <c r="H800" s="25"/>
      <c r="I800" s="25"/>
      <c r="J800" s="25"/>
      <c r="K800" s="25"/>
      <c r="L800" s="25"/>
    </row>
    <row r="801" spans="2:12" x14ac:dyDescent="0.25">
      <c r="B801" s="136"/>
      <c r="C801" s="145"/>
      <c r="D801" s="30" t="s">
        <v>329</v>
      </c>
      <c r="E801" s="124">
        <v>9.4789786562500016</v>
      </c>
      <c r="F801" s="69">
        <v>6.0944033891870175</v>
      </c>
      <c r="G801" s="108">
        <v>16</v>
      </c>
      <c r="H801" s="25"/>
      <c r="I801" s="25"/>
      <c r="J801" s="25"/>
      <c r="K801" s="25"/>
      <c r="L801" s="25"/>
    </row>
    <row r="802" spans="2:12" x14ac:dyDescent="0.25">
      <c r="B802" s="136"/>
      <c r="C802" s="145"/>
      <c r="D802" s="30" t="s">
        <v>330</v>
      </c>
      <c r="E802" s="124">
        <v>30.279135668888891</v>
      </c>
      <c r="F802" s="69">
        <v>42.314365940450436</v>
      </c>
      <c r="G802" s="108">
        <v>45</v>
      </c>
      <c r="H802" s="25"/>
      <c r="I802" s="25"/>
      <c r="J802" s="25"/>
      <c r="K802" s="25"/>
      <c r="L802" s="25"/>
    </row>
    <row r="803" spans="2:12" x14ac:dyDescent="0.25">
      <c r="B803" s="136"/>
      <c r="C803" s="157"/>
      <c r="D803" s="52" t="s">
        <v>233</v>
      </c>
      <c r="E803" s="125">
        <v>16.174666069307694</v>
      </c>
      <c r="F803" s="126">
        <v>27.547397122033775</v>
      </c>
      <c r="G803" s="109">
        <v>130</v>
      </c>
      <c r="H803" s="25"/>
      <c r="I803" s="25"/>
      <c r="J803" s="25"/>
      <c r="K803" s="25"/>
      <c r="L803" s="25"/>
    </row>
    <row r="804" spans="2:12" x14ac:dyDescent="0.25">
      <c r="B804" s="136"/>
      <c r="C804" s="158" t="s">
        <v>215</v>
      </c>
      <c r="D804" s="58" t="s">
        <v>327</v>
      </c>
      <c r="E804" s="127">
        <v>24.396056899285711</v>
      </c>
      <c r="F804" s="65">
        <v>21.414931166922472</v>
      </c>
      <c r="G804" s="110">
        <v>42</v>
      </c>
      <c r="H804" s="25"/>
      <c r="I804" s="25"/>
      <c r="J804" s="25"/>
      <c r="K804" s="25"/>
      <c r="L804" s="25"/>
    </row>
    <row r="805" spans="2:12" x14ac:dyDescent="0.25">
      <c r="B805" s="136"/>
      <c r="C805" s="145"/>
      <c r="D805" s="30" t="s">
        <v>328</v>
      </c>
      <c r="E805" s="124">
        <v>45.612205587804894</v>
      </c>
      <c r="F805" s="69">
        <v>43.0762795344287</v>
      </c>
      <c r="G805" s="108">
        <v>82</v>
      </c>
      <c r="H805" s="25"/>
      <c r="I805" s="25"/>
      <c r="J805" s="25"/>
      <c r="K805" s="25"/>
      <c r="L805" s="25"/>
    </row>
    <row r="806" spans="2:12" x14ac:dyDescent="0.25">
      <c r="B806" s="136"/>
      <c r="C806" s="145"/>
      <c r="D806" s="30" t="s">
        <v>329</v>
      </c>
      <c r="E806" s="124">
        <v>38.414055809677421</v>
      </c>
      <c r="F806" s="69">
        <v>38.710775557823844</v>
      </c>
      <c r="G806" s="108">
        <v>31</v>
      </c>
      <c r="H806" s="25"/>
      <c r="I806" s="25"/>
      <c r="J806" s="25"/>
      <c r="K806" s="25"/>
      <c r="L806" s="25"/>
    </row>
    <row r="807" spans="2:12" x14ac:dyDescent="0.25">
      <c r="B807" s="136"/>
      <c r="C807" s="145"/>
      <c r="D807" s="30" t="s">
        <v>330</v>
      </c>
      <c r="E807" s="124">
        <v>96.506004886274468</v>
      </c>
      <c r="F807" s="69">
        <v>100.80465042977359</v>
      </c>
      <c r="G807" s="108">
        <v>51</v>
      </c>
      <c r="H807" s="25"/>
      <c r="I807" s="25"/>
      <c r="J807" s="25"/>
      <c r="K807" s="25"/>
      <c r="L807" s="25"/>
    </row>
    <row r="808" spans="2:12" x14ac:dyDescent="0.25">
      <c r="B808" s="136"/>
      <c r="C808" s="157"/>
      <c r="D808" s="52" t="s">
        <v>233</v>
      </c>
      <c r="E808" s="125">
        <v>52.803287511019406</v>
      </c>
      <c r="F808" s="126">
        <v>64.92381977467339</v>
      </c>
      <c r="G808" s="109">
        <v>206</v>
      </c>
      <c r="H808" s="25"/>
      <c r="I808" s="25"/>
      <c r="J808" s="25"/>
      <c r="K808" s="25"/>
      <c r="L808" s="25"/>
    </row>
    <row r="809" spans="2:12" ht="16.5" thickBot="1" x14ac:dyDescent="0.3">
      <c r="B809" s="136"/>
      <c r="C809" s="162" t="s">
        <v>233</v>
      </c>
      <c r="D809" s="58" t="s">
        <v>327</v>
      </c>
      <c r="E809" s="127">
        <v>17.555145192337665</v>
      </c>
      <c r="F809" s="65">
        <v>18.608679893391063</v>
      </c>
      <c r="G809" s="110">
        <v>77</v>
      </c>
      <c r="H809" s="25"/>
      <c r="I809" s="25"/>
      <c r="J809" s="25"/>
      <c r="K809" s="25"/>
      <c r="L809" s="25"/>
    </row>
    <row r="810" spans="2:12" x14ac:dyDescent="0.25">
      <c r="B810" s="136"/>
      <c r="C810" s="145"/>
      <c r="D810" s="30" t="s">
        <v>328</v>
      </c>
      <c r="E810" s="124">
        <v>34.496300806637947</v>
      </c>
      <c r="F810" s="69">
        <v>40.268824282469616</v>
      </c>
      <c r="G810" s="108">
        <v>116</v>
      </c>
      <c r="H810" s="25"/>
      <c r="I810" s="25"/>
      <c r="J810" s="25"/>
      <c r="K810" s="25"/>
      <c r="L810" s="25"/>
    </row>
    <row r="811" spans="2:12" x14ac:dyDescent="0.25">
      <c r="B811" s="136"/>
      <c r="C811" s="145"/>
      <c r="D811" s="30" t="s">
        <v>329</v>
      </c>
      <c r="E811" s="124">
        <v>28.56381677872341</v>
      </c>
      <c r="F811" s="69">
        <v>34.372761851326857</v>
      </c>
      <c r="G811" s="108">
        <v>47</v>
      </c>
      <c r="H811" s="25"/>
      <c r="I811" s="25"/>
      <c r="J811" s="25"/>
      <c r="K811" s="25"/>
      <c r="L811" s="25"/>
    </row>
    <row r="812" spans="2:12" x14ac:dyDescent="0.25">
      <c r="B812" s="136"/>
      <c r="C812" s="145"/>
      <c r="D812" s="30" t="s">
        <v>330</v>
      </c>
      <c r="E812" s="124">
        <v>65.462159940624971</v>
      </c>
      <c r="F812" s="69">
        <v>85.329941181346371</v>
      </c>
      <c r="G812" s="108">
        <v>96</v>
      </c>
      <c r="H812" s="25"/>
      <c r="I812" s="25"/>
      <c r="J812" s="25"/>
      <c r="K812" s="25"/>
      <c r="L812" s="25"/>
    </row>
    <row r="813" spans="2:12" ht="16.5" thickBot="1" x14ac:dyDescent="0.3">
      <c r="B813" s="143"/>
      <c r="C813" s="130"/>
      <c r="D813" s="33" t="s">
        <v>233</v>
      </c>
      <c r="E813" s="128">
        <v>38.631499453214275</v>
      </c>
      <c r="F813" s="74">
        <v>56.487271830588391</v>
      </c>
      <c r="G813" s="112">
        <v>336</v>
      </c>
      <c r="H813" s="25"/>
      <c r="I813" s="25"/>
      <c r="J813" s="25"/>
      <c r="K813" s="25"/>
      <c r="L813" s="25"/>
    </row>
    <row r="814" spans="2:12" x14ac:dyDescent="0.25">
      <c r="B814" s="25"/>
      <c r="C814" s="25"/>
      <c r="D814" s="25"/>
      <c r="E814" s="25"/>
      <c r="F814" s="25"/>
      <c r="G814" s="25"/>
      <c r="H814" s="25"/>
      <c r="I814" s="25"/>
      <c r="J814" s="25"/>
      <c r="K814" s="25"/>
      <c r="L814" s="25"/>
    </row>
    <row r="815" spans="2:12" x14ac:dyDescent="0.25">
      <c r="B815" s="144" t="s">
        <v>281</v>
      </c>
      <c r="C815" s="145"/>
      <c r="D815" s="145"/>
      <c r="E815" s="145"/>
      <c r="F815" s="145"/>
      <c r="G815" s="145"/>
      <c r="H815" s="145"/>
      <c r="I815" s="25"/>
      <c r="J815" s="25"/>
      <c r="K815" s="25"/>
      <c r="L815" s="25"/>
    </row>
    <row r="816" spans="2:12" ht="16.5" thickBot="1" x14ac:dyDescent="0.3">
      <c r="B816" s="160" t="s">
        <v>313</v>
      </c>
      <c r="C816" s="145"/>
      <c r="D816" s="145"/>
      <c r="E816" s="145"/>
      <c r="F816" s="145"/>
      <c r="G816" s="145"/>
      <c r="H816" s="145"/>
      <c r="I816" s="25"/>
      <c r="J816" s="25"/>
      <c r="K816" s="25"/>
      <c r="L816" s="25"/>
    </row>
    <row r="817" spans="2:12" ht="25.5" thickBot="1" x14ac:dyDescent="0.3">
      <c r="B817" s="161" t="s">
        <v>282</v>
      </c>
      <c r="C817" s="147"/>
      <c r="D817" s="77" t="s">
        <v>283</v>
      </c>
      <c r="E817" s="78" t="s">
        <v>236</v>
      </c>
      <c r="F817" s="78" t="s">
        <v>237</v>
      </c>
      <c r="G817" s="78" t="s">
        <v>238</v>
      </c>
      <c r="H817" s="79" t="s">
        <v>239</v>
      </c>
      <c r="I817" s="25"/>
      <c r="J817" s="25"/>
      <c r="K817" s="25"/>
      <c r="L817" s="25"/>
    </row>
    <row r="818" spans="2:12" x14ac:dyDescent="0.25">
      <c r="B818" s="159" t="s">
        <v>285</v>
      </c>
      <c r="C818" s="41" t="s">
        <v>286</v>
      </c>
      <c r="D818" s="80">
        <v>241546.62059499862</v>
      </c>
      <c r="E818" s="81">
        <v>1</v>
      </c>
      <c r="F818" s="43">
        <v>241546.62059499862</v>
      </c>
      <c r="G818" s="43">
        <v>8.6722362948803546</v>
      </c>
      <c r="H818" s="82">
        <v>5.9268186496448105E-2</v>
      </c>
      <c r="I818" s="25"/>
      <c r="J818" s="25"/>
      <c r="K818" s="25"/>
      <c r="L818" s="25"/>
    </row>
    <row r="819" spans="2:12" x14ac:dyDescent="0.25">
      <c r="B819" s="136"/>
      <c r="C819" s="30" t="s">
        <v>287</v>
      </c>
      <c r="D819" s="83">
        <v>84701.971964354088</v>
      </c>
      <c r="E819" s="48">
        <v>3.0410506829190522</v>
      </c>
      <c r="F819" s="48">
        <v>27852.864288026311</v>
      </c>
      <c r="G819" s="85"/>
      <c r="H819" s="86"/>
      <c r="I819" s="25"/>
      <c r="J819" s="25"/>
      <c r="K819" s="25"/>
      <c r="L819" s="25"/>
    </row>
    <row r="820" spans="2:12" x14ac:dyDescent="0.25">
      <c r="B820" s="135" t="s">
        <v>0</v>
      </c>
      <c r="C820" s="30" t="s">
        <v>286</v>
      </c>
      <c r="D820" s="83">
        <v>4170.2761292323139</v>
      </c>
      <c r="E820" s="84">
        <v>1</v>
      </c>
      <c r="F820" s="48">
        <v>4170.2761292323139</v>
      </c>
      <c r="G820" s="48">
        <v>0.71010430413053549</v>
      </c>
      <c r="H820" s="113">
        <v>0.45770335856186062</v>
      </c>
      <c r="I820" s="25"/>
      <c r="J820" s="25"/>
      <c r="K820" s="25"/>
      <c r="L820" s="25"/>
    </row>
    <row r="821" spans="2:12" x14ac:dyDescent="0.25">
      <c r="B821" s="136"/>
      <c r="C821" s="30" t="s">
        <v>287</v>
      </c>
      <c r="D821" s="83">
        <v>18806.880385722448</v>
      </c>
      <c r="E821" s="48">
        <v>3.2023890733652891</v>
      </c>
      <c r="F821" s="48">
        <v>5872.7655993276585</v>
      </c>
      <c r="G821" s="85"/>
      <c r="H821" s="86"/>
      <c r="I821" s="25"/>
      <c r="J821" s="25"/>
      <c r="K821" s="25"/>
      <c r="L821" s="25"/>
    </row>
    <row r="822" spans="2:12" x14ac:dyDescent="0.25">
      <c r="B822" s="135" t="s">
        <v>1</v>
      </c>
      <c r="C822" s="30" t="s">
        <v>286</v>
      </c>
      <c r="D822" s="83">
        <v>72975.994565234869</v>
      </c>
      <c r="E822" s="84">
        <v>1</v>
      </c>
      <c r="F822" s="48">
        <v>72975.994565234869</v>
      </c>
      <c r="G822" s="48">
        <v>11.258188649891368</v>
      </c>
      <c r="H822" s="113">
        <v>4.01833143942101E-2</v>
      </c>
      <c r="I822" s="25"/>
      <c r="J822" s="25"/>
      <c r="K822" s="25"/>
      <c r="L822" s="25"/>
    </row>
    <row r="823" spans="2:12" x14ac:dyDescent="0.25">
      <c r="B823" s="136"/>
      <c r="C823" s="30" t="s">
        <v>287</v>
      </c>
      <c r="D823" s="83">
        <v>20629.145515719894</v>
      </c>
      <c r="E823" s="48">
        <v>3.1825097182392561</v>
      </c>
      <c r="F823" s="48">
        <v>6482.0369274891327</v>
      </c>
      <c r="G823" s="85"/>
      <c r="H823" s="86"/>
      <c r="I823" s="25"/>
      <c r="J823" s="25"/>
      <c r="K823" s="25"/>
      <c r="L823" s="25"/>
    </row>
    <row r="824" spans="2:12" x14ac:dyDescent="0.25">
      <c r="B824" s="135" t="s">
        <v>326</v>
      </c>
      <c r="C824" s="30" t="s">
        <v>286</v>
      </c>
      <c r="D824" s="83">
        <v>90869.740071091641</v>
      </c>
      <c r="E824" s="84">
        <v>3</v>
      </c>
      <c r="F824" s="98" t="s">
        <v>243</v>
      </c>
      <c r="G824" s="98" t="s">
        <v>243</v>
      </c>
      <c r="H824" s="119" t="s">
        <v>243</v>
      </c>
      <c r="I824" s="25"/>
      <c r="J824" s="25"/>
      <c r="K824" s="25"/>
      <c r="L824" s="25"/>
    </row>
    <row r="825" spans="2:12" x14ac:dyDescent="0.25">
      <c r="B825" s="136"/>
      <c r="C825" s="30" t="s">
        <v>287</v>
      </c>
      <c r="D825" s="120" t="s">
        <v>243</v>
      </c>
      <c r="E825" s="121" t="s">
        <v>309</v>
      </c>
      <c r="F825" s="98" t="s">
        <v>243</v>
      </c>
      <c r="G825" s="85"/>
      <c r="H825" s="86"/>
      <c r="I825" s="25"/>
      <c r="J825" s="25"/>
      <c r="K825" s="25"/>
      <c r="L825" s="25"/>
    </row>
    <row r="826" spans="2:12" x14ac:dyDescent="0.25">
      <c r="B826" s="135" t="s">
        <v>289</v>
      </c>
      <c r="C826" s="30" t="s">
        <v>286</v>
      </c>
      <c r="D826" s="83">
        <v>15512.016652476843</v>
      </c>
      <c r="E826" s="84">
        <v>1</v>
      </c>
      <c r="F826" s="48">
        <v>15512.016652476843</v>
      </c>
      <c r="G826" s="48">
        <v>0.91307126258299065</v>
      </c>
      <c r="H826" s="113">
        <v>0.40838065159192194</v>
      </c>
      <c r="I826" s="25"/>
      <c r="J826" s="25"/>
      <c r="K826" s="25"/>
      <c r="L826" s="25"/>
    </row>
    <row r="827" spans="2:12" x14ac:dyDescent="0.25">
      <c r="B827" s="136"/>
      <c r="C827" s="30" t="s">
        <v>287</v>
      </c>
      <c r="D827" s="83">
        <v>52117.389198927463</v>
      </c>
      <c r="E827" s="48">
        <v>3.0677436354347583</v>
      </c>
      <c r="F827" s="48">
        <v>16988.834593912026</v>
      </c>
      <c r="G827" s="85"/>
      <c r="H827" s="86"/>
      <c r="I827" s="25"/>
      <c r="J827" s="25"/>
      <c r="K827" s="25"/>
      <c r="L827" s="25"/>
    </row>
    <row r="828" spans="2:12" x14ac:dyDescent="0.25">
      <c r="B828" s="135" t="s">
        <v>331</v>
      </c>
      <c r="C828" s="30" t="s">
        <v>286</v>
      </c>
      <c r="D828" s="83">
        <v>18670.877258471428</v>
      </c>
      <c r="E828" s="84">
        <v>3</v>
      </c>
      <c r="F828" s="48">
        <v>6223.6257528238093</v>
      </c>
      <c r="G828" s="48">
        <v>0.33833706530922475</v>
      </c>
      <c r="H828" s="113">
        <v>0.8014012028782137</v>
      </c>
      <c r="I828" s="25"/>
      <c r="J828" s="25"/>
      <c r="K828" s="25"/>
      <c r="L828" s="25"/>
    </row>
    <row r="829" spans="2:12" x14ac:dyDescent="0.25">
      <c r="B829" s="136"/>
      <c r="C829" s="30" t="s">
        <v>287</v>
      </c>
      <c r="D829" s="83">
        <v>55184.250183783712</v>
      </c>
      <c r="E829" s="84">
        <v>3</v>
      </c>
      <c r="F829" s="48">
        <v>18394.750061261238</v>
      </c>
      <c r="G829" s="85"/>
      <c r="H829" s="86"/>
      <c r="I829" s="25"/>
      <c r="J829" s="25"/>
      <c r="K829" s="25"/>
      <c r="L829" s="25"/>
    </row>
    <row r="830" spans="2:12" x14ac:dyDescent="0.25">
      <c r="B830" s="135" t="s">
        <v>332</v>
      </c>
      <c r="C830" s="30" t="s">
        <v>286</v>
      </c>
      <c r="D830" s="83">
        <v>20672.17387049313</v>
      </c>
      <c r="E830" s="84">
        <v>3</v>
      </c>
      <c r="F830" s="48">
        <v>6890.7246234977101</v>
      </c>
      <c r="G830" s="48">
        <v>0.37460278615088977</v>
      </c>
      <c r="H830" s="113">
        <v>0.77931210366491999</v>
      </c>
      <c r="I830" s="25"/>
      <c r="J830" s="25"/>
      <c r="K830" s="25"/>
      <c r="L830" s="25"/>
    </row>
    <row r="831" spans="2:12" x14ac:dyDescent="0.25">
      <c r="B831" s="136"/>
      <c r="C831" s="30" t="s">
        <v>287</v>
      </c>
      <c r="D831" s="83">
        <v>55184.250183783712</v>
      </c>
      <c r="E831" s="84">
        <v>3</v>
      </c>
      <c r="F831" s="48">
        <v>18394.750061261238</v>
      </c>
      <c r="G831" s="85"/>
      <c r="H831" s="86"/>
      <c r="I831" s="25"/>
      <c r="J831" s="25"/>
      <c r="K831" s="25"/>
      <c r="L831" s="25"/>
    </row>
    <row r="832" spans="2:12" ht="16.5" thickBot="1" x14ac:dyDescent="0.3">
      <c r="B832" s="148" t="s">
        <v>333</v>
      </c>
      <c r="C832" s="30" t="s">
        <v>286</v>
      </c>
      <c r="D832" s="83">
        <v>55184.250183783712</v>
      </c>
      <c r="E832" s="84">
        <v>3</v>
      </c>
      <c r="F832" s="48">
        <v>18394.750061261238</v>
      </c>
      <c r="G832" s="48">
        <v>8.4530775083878122</v>
      </c>
      <c r="H832" s="113">
        <v>2.0193302660191927E-5</v>
      </c>
      <c r="I832" s="25"/>
      <c r="J832" s="25"/>
      <c r="K832" s="25"/>
      <c r="L832" s="25"/>
    </row>
    <row r="833" spans="2:12" ht="16.5" thickBot="1" x14ac:dyDescent="0.3">
      <c r="B833" s="143"/>
      <c r="C833" s="33" t="s">
        <v>287</v>
      </c>
      <c r="D833" s="94">
        <v>696352.3064543918</v>
      </c>
      <c r="E833" s="95">
        <v>320</v>
      </c>
      <c r="F833" s="114">
        <v>2176.1009576699744</v>
      </c>
      <c r="G833" s="96"/>
      <c r="H833" s="97"/>
      <c r="I833" s="25"/>
      <c r="J833" s="25"/>
      <c r="K833" s="25"/>
      <c r="L833" s="25"/>
    </row>
    <row r="834" spans="2:12" x14ac:dyDescent="0.25">
      <c r="B834" s="25"/>
      <c r="C834" s="25"/>
      <c r="D834" s="25"/>
      <c r="E834" s="25"/>
      <c r="F834" s="25"/>
      <c r="G834" s="25"/>
      <c r="H834" s="25"/>
      <c r="I834" s="25"/>
      <c r="J834" s="25"/>
      <c r="K834" s="25"/>
      <c r="L834" s="25"/>
    </row>
    <row r="835" spans="2:12" x14ac:dyDescent="0.25">
      <c r="B835" s="25"/>
      <c r="C835" s="25"/>
      <c r="D835" s="25"/>
      <c r="E835" s="25"/>
      <c r="F835" s="25"/>
      <c r="G835" s="25"/>
      <c r="H835" s="25"/>
      <c r="I835" s="25"/>
      <c r="J835" s="25"/>
      <c r="K835" s="25"/>
      <c r="L835" s="25"/>
    </row>
    <row r="836" spans="2:12" x14ac:dyDescent="0.25">
      <c r="B836" s="25"/>
      <c r="C836" s="25"/>
      <c r="D836" s="25"/>
      <c r="E836" s="25"/>
      <c r="F836" s="25"/>
      <c r="G836" s="25"/>
      <c r="H836" s="25"/>
      <c r="I836" s="25"/>
      <c r="J836" s="25"/>
      <c r="K836" s="25"/>
      <c r="L836" s="25"/>
    </row>
    <row r="837" spans="2:12" x14ac:dyDescent="0.25">
      <c r="B837" s="25"/>
      <c r="C837" s="25"/>
      <c r="D837" s="25"/>
      <c r="E837" s="25"/>
      <c r="F837" s="25"/>
      <c r="G837" s="25"/>
      <c r="H837" s="25"/>
      <c r="I837" s="25"/>
      <c r="J837" s="25"/>
      <c r="K837" s="25"/>
      <c r="L837" s="25"/>
    </row>
    <row r="838" spans="2:12" x14ac:dyDescent="0.25">
      <c r="B838" s="25"/>
      <c r="C838" s="25"/>
      <c r="D838" s="25"/>
      <c r="E838" s="25"/>
      <c r="F838" s="25"/>
      <c r="G838" s="25"/>
      <c r="H838" s="25"/>
      <c r="I838" s="25"/>
      <c r="J838" s="25"/>
      <c r="K838" s="25"/>
      <c r="L838" s="25"/>
    </row>
    <row r="839" spans="2:12" x14ac:dyDescent="0.25">
      <c r="B839" s="25"/>
      <c r="C839" s="25"/>
      <c r="D839" s="25"/>
      <c r="E839" s="25"/>
      <c r="F839" s="25"/>
      <c r="G839" s="25"/>
      <c r="H839" s="25"/>
      <c r="I839" s="25"/>
      <c r="J839" s="25"/>
      <c r="K839" s="25"/>
      <c r="L839" s="25"/>
    </row>
    <row r="840" spans="2:12" x14ac:dyDescent="0.25">
      <c r="B840" s="25"/>
      <c r="C840" s="25"/>
      <c r="D840" s="25"/>
      <c r="E840" s="25"/>
      <c r="F840" s="25"/>
      <c r="G840" s="25"/>
      <c r="H840" s="25"/>
      <c r="I840" s="25"/>
      <c r="J840" s="25"/>
      <c r="K840" s="25"/>
      <c r="L840" s="25"/>
    </row>
    <row r="841" spans="2:12" x14ac:dyDescent="0.25">
      <c r="B841" s="25"/>
      <c r="C841" s="25"/>
      <c r="D841" s="25"/>
      <c r="E841" s="25"/>
      <c r="F841" s="25"/>
      <c r="G841" s="25"/>
      <c r="H841" s="25"/>
      <c r="I841" s="25"/>
      <c r="J841" s="25"/>
      <c r="K841" s="25"/>
      <c r="L841" s="25"/>
    </row>
    <row r="842" spans="2:12" ht="16.5" thickBot="1" x14ac:dyDescent="0.3">
      <c r="B842" s="144" t="s">
        <v>293</v>
      </c>
      <c r="C842" s="145"/>
      <c r="D842" s="145"/>
      <c r="E842" s="145"/>
      <c r="F842" s="145"/>
      <c r="G842" s="145"/>
      <c r="H842" s="145"/>
      <c r="I842" s="25"/>
      <c r="J842" s="25"/>
      <c r="K842" s="25"/>
      <c r="L842" s="25"/>
    </row>
    <row r="843" spans="2:12" ht="16.5" thickBot="1" x14ac:dyDescent="0.3">
      <c r="B843" s="161" t="s">
        <v>282</v>
      </c>
      <c r="C843" s="164" t="s">
        <v>294</v>
      </c>
      <c r="D843" s="165"/>
      <c r="E843" s="165"/>
      <c r="F843" s="165"/>
      <c r="G843" s="165"/>
      <c r="H843" s="132"/>
      <c r="I843" s="25"/>
      <c r="J843" s="25"/>
      <c r="K843" s="25"/>
      <c r="L843" s="25"/>
    </row>
    <row r="844" spans="2:12" ht="37.5" thickBot="1" x14ac:dyDescent="0.3">
      <c r="B844" s="163"/>
      <c r="C844" s="115" t="s">
        <v>334</v>
      </c>
      <c r="D844" s="40" t="s">
        <v>335</v>
      </c>
      <c r="E844" s="40" t="s">
        <v>336</v>
      </c>
      <c r="F844" s="40" t="s">
        <v>337</v>
      </c>
      <c r="G844" s="40" t="s">
        <v>299</v>
      </c>
      <c r="H844" s="116" t="s">
        <v>300</v>
      </c>
      <c r="I844" s="25"/>
      <c r="J844" s="25"/>
      <c r="K844" s="25"/>
      <c r="L844" s="25"/>
    </row>
    <row r="845" spans="2:12" ht="60" x14ac:dyDescent="0.25">
      <c r="B845" s="35" t="s">
        <v>285</v>
      </c>
      <c r="C845" s="80">
        <v>62.748700926720971</v>
      </c>
      <c r="D845" s="43">
        <v>31.374350463360429</v>
      </c>
      <c r="E845" s="43">
        <v>31.37435046336045</v>
      </c>
      <c r="F845" s="43">
        <v>15.687175231680232</v>
      </c>
      <c r="G845" s="43">
        <v>1</v>
      </c>
      <c r="H845" s="117" t="s">
        <v>301</v>
      </c>
      <c r="I845" s="25"/>
      <c r="J845" s="25"/>
      <c r="K845" s="25"/>
      <c r="L845" s="25"/>
    </row>
    <row r="846" spans="2:12" ht="36" x14ac:dyDescent="0.25">
      <c r="B846" s="37" t="s">
        <v>0</v>
      </c>
      <c r="C846" s="83">
        <v>0</v>
      </c>
      <c r="D846" s="48">
        <v>31.374350463360429</v>
      </c>
      <c r="E846" s="48">
        <v>0</v>
      </c>
      <c r="F846" s="48">
        <v>15.687175231680218</v>
      </c>
      <c r="G846" s="48">
        <v>1</v>
      </c>
      <c r="H846" s="118" t="s">
        <v>302</v>
      </c>
      <c r="I846" s="25"/>
      <c r="J846" s="25"/>
      <c r="K846" s="25"/>
      <c r="L846" s="25"/>
    </row>
    <row r="847" spans="2:12" ht="36" x14ac:dyDescent="0.25">
      <c r="B847" s="37" t="s">
        <v>1</v>
      </c>
      <c r="C847" s="83">
        <v>0</v>
      </c>
      <c r="D847" s="48">
        <v>0</v>
      </c>
      <c r="E847" s="48">
        <v>31.374350463360425</v>
      </c>
      <c r="F847" s="48">
        <v>15.687175231680243</v>
      </c>
      <c r="G847" s="48">
        <v>1</v>
      </c>
      <c r="H847" s="118" t="s">
        <v>303</v>
      </c>
      <c r="I847" s="25"/>
      <c r="J847" s="25"/>
      <c r="K847" s="25"/>
      <c r="L847" s="25"/>
    </row>
    <row r="848" spans="2:12" x14ac:dyDescent="0.25">
      <c r="B848" s="37" t="s">
        <v>326</v>
      </c>
      <c r="C848" s="83">
        <v>68.704344993194852</v>
      </c>
      <c r="D848" s="48">
        <v>34.352172496597383</v>
      </c>
      <c r="E848" s="48">
        <v>34.352172496597341</v>
      </c>
      <c r="F848" s="48">
        <v>17.176086248298684</v>
      </c>
      <c r="G848" s="48">
        <v>0.99999999999999989</v>
      </c>
      <c r="H848" s="86"/>
      <c r="I848" s="25"/>
      <c r="J848" s="25"/>
      <c r="K848" s="25"/>
      <c r="L848" s="25"/>
    </row>
    <row r="849" spans="2:12" ht="36" x14ac:dyDescent="0.25">
      <c r="B849" s="37" t="s">
        <v>289</v>
      </c>
      <c r="C849" s="83">
        <v>0</v>
      </c>
      <c r="D849" s="48">
        <v>0</v>
      </c>
      <c r="E849" s="48">
        <v>0</v>
      </c>
      <c r="F849" s="48">
        <v>15.68717523168025</v>
      </c>
      <c r="G849" s="48">
        <v>1</v>
      </c>
      <c r="H849" s="118" t="s">
        <v>289</v>
      </c>
      <c r="I849" s="25"/>
      <c r="J849" s="25"/>
      <c r="K849" s="25"/>
      <c r="L849" s="25"/>
    </row>
    <row r="850" spans="2:12" ht="24" x14ac:dyDescent="0.25">
      <c r="B850" s="37" t="s">
        <v>331</v>
      </c>
      <c r="C850" s="83">
        <v>0</v>
      </c>
      <c r="D850" s="48">
        <v>34.352172496597476</v>
      </c>
      <c r="E850" s="48">
        <v>0</v>
      </c>
      <c r="F850" s="48">
        <v>17.17608624829872</v>
      </c>
      <c r="G850" s="48">
        <v>1</v>
      </c>
      <c r="H850" s="86"/>
      <c r="I850" s="25"/>
      <c r="J850" s="25"/>
      <c r="K850" s="25"/>
      <c r="L850" s="25"/>
    </row>
    <row r="851" spans="2:12" ht="24" x14ac:dyDescent="0.25">
      <c r="B851" s="37" t="s">
        <v>332</v>
      </c>
      <c r="C851" s="83">
        <v>0</v>
      </c>
      <c r="D851" s="48">
        <v>0</v>
      </c>
      <c r="E851" s="48">
        <v>34.352172496597625</v>
      </c>
      <c r="F851" s="48">
        <v>17.176086248298773</v>
      </c>
      <c r="G851" s="48">
        <v>1</v>
      </c>
      <c r="H851" s="86"/>
      <c r="I851" s="25"/>
      <c r="J851" s="25"/>
      <c r="K851" s="25"/>
      <c r="L851" s="25"/>
    </row>
    <row r="852" spans="2:12" ht="48" x14ac:dyDescent="0.25">
      <c r="B852" s="37" t="s">
        <v>333</v>
      </c>
      <c r="C852" s="83">
        <v>0</v>
      </c>
      <c r="D852" s="48">
        <v>0</v>
      </c>
      <c r="E852" s="48">
        <v>0</v>
      </c>
      <c r="F852" s="48">
        <v>17.176086248298784</v>
      </c>
      <c r="G852" s="48">
        <v>1</v>
      </c>
      <c r="H852" s="86"/>
      <c r="I852" s="25"/>
      <c r="J852" s="25"/>
      <c r="K852" s="25"/>
      <c r="L852" s="25"/>
    </row>
    <row r="853" spans="2:12" ht="16.5" thickBot="1" x14ac:dyDescent="0.3">
      <c r="B853" s="38" t="s">
        <v>287</v>
      </c>
      <c r="C853" s="94">
        <v>0</v>
      </c>
      <c r="D853" s="114">
        <v>0</v>
      </c>
      <c r="E853" s="114">
        <v>0</v>
      </c>
      <c r="F853" s="114">
        <v>0</v>
      </c>
      <c r="G853" s="114">
        <v>1</v>
      </c>
      <c r="H853" s="97"/>
      <c r="I853" s="25"/>
      <c r="J853" s="25"/>
      <c r="K853" s="25"/>
      <c r="L853" s="25"/>
    </row>
    <row r="854" spans="2:12" x14ac:dyDescent="0.25">
      <c r="B854" s="25"/>
      <c r="C854" s="25"/>
      <c r="D854" s="25"/>
      <c r="E854" s="25"/>
      <c r="F854" s="25"/>
      <c r="G854" s="25"/>
      <c r="H854" s="25"/>
      <c r="I854" s="25"/>
      <c r="J854" s="25"/>
      <c r="K854" s="25"/>
      <c r="L854" s="25"/>
    </row>
    <row r="855" spans="2:12" x14ac:dyDescent="0.25">
      <c r="B855" s="25"/>
      <c r="C855" s="25"/>
      <c r="D855" s="25"/>
      <c r="E855" s="25"/>
      <c r="F855" s="25"/>
      <c r="G855" s="25"/>
      <c r="H855" s="25"/>
      <c r="I855" s="25"/>
      <c r="J855" s="25"/>
      <c r="K855" s="25"/>
      <c r="L855" s="25"/>
    </row>
    <row r="856" spans="2:12" x14ac:dyDescent="0.25">
      <c r="B856" s="25"/>
      <c r="C856" s="25"/>
      <c r="D856" s="25"/>
      <c r="E856" s="25"/>
      <c r="F856" s="25"/>
      <c r="G856" s="25"/>
      <c r="H856" s="25"/>
      <c r="I856" s="25"/>
      <c r="J856" s="25"/>
      <c r="K856" s="25"/>
      <c r="L856" s="25"/>
    </row>
    <row r="857" spans="2:12" x14ac:dyDescent="0.25">
      <c r="B857" s="25"/>
      <c r="C857" s="25"/>
      <c r="D857" s="25"/>
      <c r="E857" s="25"/>
      <c r="F857" s="25"/>
      <c r="G857" s="25"/>
      <c r="H857" s="25"/>
      <c r="I857" s="25"/>
      <c r="J857" s="25"/>
      <c r="K857" s="25"/>
      <c r="L857" s="25"/>
    </row>
    <row r="858" spans="2:12" x14ac:dyDescent="0.25">
      <c r="B858" s="26" t="s">
        <v>338</v>
      </c>
      <c r="C858" s="25"/>
      <c r="D858" s="25"/>
      <c r="E858" s="25"/>
      <c r="F858" s="25"/>
      <c r="G858" s="25"/>
      <c r="H858" s="25"/>
      <c r="I858" s="25"/>
      <c r="J858" s="25"/>
      <c r="K858" s="25"/>
      <c r="L858" s="25"/>
    </row>
    <row r="859" spans="2:12" x14ac:dyDescent="0.25">
      <c r="B859" s="26" t="s">
        <v>321</v>
      </c>
      <c r="C859" s="25"/>
      <c r="D859" s="25"/>
      <c r="E859" s="25"/>
      <c r="F859" s="25"/>
      <c r="G859" s="25"/>
      <c r="H859" s="25"/>
      <c r="I859" s="25"/>
      <c r="J859" s="25"/>
      <c r="K859" s="25"/>
      <c r="L859" s="25"/>
    </row>
    <row r="860" spans="2:12" x14ac:dyDescent="0.25">
      <c r="B860" s="26" t="s">
        <v>260</v>
      </c>
      <c r="C860" s="25"/>
      <c r="D860" s="25"/>
      <c r="E860" s="25"/>
      <c r="F860" s="25"/>
      <c r="G860" s="25"/>
      <c r="H860" s="25"/>
      <c r="I860" s="25"/>
      <c r="J860" s="25"/>
      <c r="K860" s="25"/>
      <c r="L860" s="25"/>
    </row>
    <row r="861" spans="2:12" x14ac:dyDescent="0.25">
      <c r="B861" s="26" t="s">
        <v>261</v>
      </c>
      <c r="C861" s="25"/>
      <c r="D861" s="25"/>
      <c r="E861" s="25"/>
      <c r="F861" s="25"/>
      <c r="G861" s="25"/>
      <c r="H861" s="25"/>
      <c r="I861" s="25"/>
      <c r="J861" s="25"/>
      <c r="K861" s="25"/>
      <c r="L861" s="25"/>
    </row>
    <row r="862" spans="2:12" x14ac:dyDescent="0.25">
      <c r="B862" s="26" t="s">
        <v>314</v>
      </c>
      <c r="C862" s="25"/>
      <c r="D862" s="25"/>
      <c r="E862" s="25"/>
      <c r="F862" s="25"/>
      <c r="G862" s="25"/>
      <c r="H862" s="25"/>
      <c r="I862" s="25"/>
      <c r="J862" s="25"/>
      <c r="K862" s="25"/>
      <c r="L862" s="25"/>
    </row>
    <row r="863" spans="2:12" x14ac:dyDescent="0.25">
      <c r="B863" s="26" t="s">
        <v>263</v>
      </c>
      <c r="C863" s="25"/>
      <c r="D863" s="25"/>
      <c r="E863" s="25"/>
      <c r="F863" s="25"/>
      <c r="G863" s="25"/>
      <c r="H863" s="25"/>
      <c r="I863" s="25"/>
      <c r="J863" s="25"/>
      <c r="K863" s="25"/>
      <c r="L863" s="25"/>
    </row>
    <row r="864" spans="2:12" x14ac:dyDescent="0.25">
      <c r="B864" s="26" t="s">
        <v>339</v>
      </c>
      <c r="C864" s="25"/>
      <c r="D864" s="25"/>
      <c r="E864" s="25"/>
      <c r="F864" s="25"/>
      <c r="G864" s="25"/>
      <c r="H864" s="25"/>
      <c r="I864" s="25"/>
      <c r="J864" s="25"/>
      <c r="K864" s="25"/>
      <c r="L864" s="25"/>
    </row>
    <row r="865" spans="2:12" x14ac:dyDescent="0.25">
      <c r="B865" s="25"/>
      <c r="C865" s="25"/>
      <c r="D865" s="25"/>
      <c r="E865" s="25"/>
      <c r="F865" s="25"/>
      <c r="G865" s="25"/>
      <c r="H865" s="25"/>
      <c r="I865" s="25"/>
      <c r="J865" s="25"/>
      <c r="K865" s="25"/>
      <c r="L865" s="25"/>
    </row>
    <row r="866" spans="2:12" x14ac:dyDescent="0.25">
      <c r="B866" s="25"/>
      <c r="C866" s="25"/>
      <c r="D866" s="25"/>
      <c r="E866" s="25"/>
      <c r="F866" s="25"/>
      <c r="G866" s="25"/>
      <c r="H866" s="25"/>
      <c r="I866" s="25"/>
      <c r="J866" s="25"/>
      <c r="K866" s="25"/>
      <c r="L866" s="25"/>
    </row>
    <row r="867" spans="2:12" ht="16.5" x14ac:dyDescent="0.25">
      <c r="B867" s="27" t="s">
        <v>268</v>
      </c>
      <c r="C867" s="25"/>
      <c r="D867" s="25"/>
      <c r="E867" s="25"/>
      <c r="F867" s="25"/>
      <c r="G867" s="25"/>
      <c r="H867" s="25"/>
      <c r="I867" s="25"/>
      <c r="J867" s="25"/>
      <c r="K867" s="25"/>
      <c r="L867" s="25"/>
    </row>
    <row r="868" spans="2:12" x14ac:dyDescent="0.25">
      <c r="B868" s="25"/>
      <c r="C868" s="25"/>
      <c r="D868" s="25"/>
      <c r="E868" s="25"/>
      <c r="F868" s="25"/>
      <c r="G868" s="25"/>
      <c r="H868" s="25"/>
      <c r="I868" s="25"/>
      <c r="J868" s="25"/>
      <c r="K868" s="25"/>
      <c r="L868" s="25"/>
    </row>
    <row r="869" spans="2:12" ht="16.5" thickBot="1" x14ac:dyDescent="0.3">
      <c r="B869" s="129" t="s">
        <v>15</v>
      </c>
      <c r="C869" s="130"/>
      <c r="D869" s="130"/>
      <c r="E869" s="25"/>
      <c r="F869" s="25"/>
      <c r="G869" s="25"/>
      <c r="H869" s="25"/>
      <c r="I869" s="25"/>
      <c r="J869" s="25"/>
      <c r="K869" s="25"/>
      <c r="L869" s="25"/>
    </row>
    <row r="870" spans="2:12" x14ac:dyDescent="0.25">
      <c r="B870" s="131" t="s">
        <v>189</v>
      </c>
      <c r="C870" s="132"/>
      <c r="D870" s="28" t="s">
        <v>340</v>
      </c>
      <c r="E870" s="25"/>
      <c r="F870" s="25"/>
      <c r="G870" s="25"/>
      <c r="H870" s="25"/>
      <c r="I870" s="25"/>
      <c r="J870" s="25"/>
      <c r="K870" s="25"/>
      <c r="L870" s="25"/>
    </row>
    <row r="871" spans="2:12" x14ac:dyDescent="0.25">
      <c r="B871" s="133" t="s">
        <v>191</v>
      </c>
      <c r="C871" s="134"/>
      <c r="D871" s="29" t="s">
        <v>192</v>
      </c>
      <c r="E871" s="25"/>
      <c r="F871" s="25"/>
      <c r="G871" s="25"/>
      <c r="H871" s="25"/>
      <c r="I871" s="25"/>
      <c r="J871" s="25"/>
      <c r="K871" s="25"/>
      <c r="L871" s="25"/>
    </row>
    <row r="872" spans="2:12" ht="96" x14ac:dyDescent="0.25">
      <c r="B872" s="135" t="s">
        <v>193</v>
      </c>
      <c r="C872" s="30" t="s">
        <v>270</v>
      </c>
      <c r="D872" s="29" t="s">
        <v>271</v>
      </c>
      <c r="E872" s="25"/>
      <c r="F872" s="25"/>
      <c r="G872" s="25"/>
      <c r="H872" s="25"/>
      <c r="I872" s="25"/>
      <c r="J872" s="25"/>
      <c r="K872" s="25"/>
      <c r="L872" s="25"/>
    </row>
    <row r="873" spans="2:12" ht="24" x14ac:dyDescent="0.25">
      <c r="B873" s="136"/>
      <c r="C873" s="30" t="s">
        <v>194</v>
      </c>
      <c r="D873" s="29" t="s">
        <v>195</v>
      </c>
      <c r="E873" s="25"/>
      <c r="F873" s="25"/>
      <c r="G873" s="25"/>
      <c r="H873" s="25"/>
      <c r="I873" s="25"/>
      <c r="J873" s="25"/>
      <c r="K873" s="25"/>
      <c r="L873" s="25"/>
    </row>
    <row r="874" spans="2:12" ht="24" x14ac:dyDescent="0.25">
      <c r="B874" s="136"/>
      <c r="C874" s="30" t="s">
        <v>196</v>
      </c>
      <c r="D874" s="29" t="s">
        <v>272</v>
      </c>
      <c r="E874" s="25"/>
      <c r="F874" s="25"/>
      <c r="G874" s="25"/>
      <c r="H874" s="25"/>
      <c r="I874" s="25"/>
      <c r="J874" s="25"/>
      <c r="K874" s="25"/>
      <c r="L874" s="25"/>
    </row>
    <row r="875" spans="2:12" x14ac:dyDescent="0.25">
      <c r="B875" s="136"/>
      <c r="C875" s="30" t="s">
        <v>198</v>
      </c>
      <c r="D875" s="29" t="s">
        <v>197</v>
      </c>
      <c r="E875" s="25"/>
      <c r="F875" s="25"/>
      <c r="G875" s="25"/>
      <c r="H875" s="25"/>
      <c r="I875" s="25"/>
      <c r="J875" s="25"/>
      <c r="K875" s="25"/>
      <c r="L875" s="25"/>
    </row>
    <row r="876" spans="2:12" x14ac:dyDescent="0.25">
      <c r="B876" s="136"/>
      <c r="C876" s="30" t="s">
        <v>199</v>
      </c>
      <c r="D876" s="29" t="s">
        <v>197</v>
      </c>
      <c r="E876" s="25"/>
      <c r="F876" s="25"/>
      <c r="G876" s="25"/>
      <c r="H876" s="25"/>
      <c r="I876" s="25"/>
      <c r="J876" s="25"/>
      <c r="K876" s="25"/>
      <c r="L876" s="25"/>
    </row>
    <row r="877" spans="2:12" ht="36" x14ac:dyDescent="0.25">
      <c r="B877" s="136"/>
      <c r="C877" s="30" t="s">
        <v>200</v>
      </c>
      <c r="D877" s="31">
        <v>336</v>
      </c>
      <c r="E877" s="25"/>
      <c r="F877" s="25"/>
      <c r="G877" s="25"/>
      <c r="H877" s="25"/>
      <c r="I877" s="25"/>
      <c r="J877" s="25"/>
      <c r="K877" s="25"/>
      <c r="L877" s="25"/>
    </row>
    <row r="878" spans="2:12" ht="36" x14ac:dyDescent="0.25">
      <c r="B878" s="135" t="s">
        <v>201</v>
      </c>
      <c r="C878" s="30" t="s">
        <v>202</v>
      </c>
      <c r="D878" s="29" t="s">
        <v>203</v>
      </c>
      <c r="E878" s="25"/>
      <c r="F878" s="25"/>
      <c r="G878" s="25"/>
      <c r="H878" s="25"/>
      <c r="I878" s="25"/>
      <c r="J878" s="25"/>
      <c r="K878" s="25"/>
      <c r="L878" s="25"/>
    </row>
    <row r="879" spans="2:12" ht="48" x14ac:dyDescent="0.25">
      <c r="B879" s="136"/>
      <c r="C879" s="30" t="s">
        <v>204</v>
      </c>
      <c r="D879" s="29" t="s">
        <v>273</v>
      </c>
      <c r="E879" s="25"/>
      <c r="F879" s="25"/>
      <c r="G879" s="25"/>
      <c r="H879" s="25"/>
      <c r="I879" s="25"/>
      <c r="J879" s="25"/>
      <c r="K879" s="25"/>
      <c r="L879" s="25"/>
    </row>
    <row r="880" spans="2:12" ht="240" x14ac:dyDescent="0.25">
      <c r="B880" s="133" t="s">
        <v>206</v>
      </c>
      <c r="C880" s="134"/>
      <c r="D880" s="29" t="s">
        <v>341</v>
      </c>
      <c r="E880" s="25"/>
      <c r="F880" s="25"/>
      <c r="G880" s="25"/>
      <c r="H880" s="25"/>
      <c r="I880" s="25"/>
      <c r="J880" s="25"/>
      <c r="K880" s="25"/>
      <c r="L880" s="25"/>
    </row>
    <row r="881" spans="2:12" ht="24.75" thickBot="1" x14ac:dyDescent="0.3">
      <c r="B881" s="148" t="s">
        <v>208</v>
      </c>
      <c r="C881" s="30" t="s">
        <v>209</v>
      </c>
      <c r="D881" s="32" t="s">
        <v>325</v>
      </c>
      <c r="E881" s="25"/>
      <c r="F881" s="25"/>
      <c r="G881" s="25"/>
      <c r="H881" s="25"/>
      <c r="I881" s="25"/>
      <c r="J881" s="25"/>
      <c r="K881" s="25"/>
      <c r="L881" s="25"/>
    </row>
    <row r="882" spans="2:12" ht="24.75" thickBot="1" x14ac:dyDescent="0.3">
      <c r="B882" s="143"/>
      <c r="C882" s="33" t="s">
        <v>211</v>
      </c>
      <c r="D882" s="34" t="s">
        <v>325</v>
      </c>
      <c r="E882" s="25"/>
      <c r="F882" s="25"/>
      <c r="G882" s="25"/>
      <c r="H882" s="25"/>
      <c r="I882" s="25"/>
      <c r="J882" s="25"/>
      <c r="K882" s="25"/>
      <c r="L882" s="25"/>
    </row>
    <row r="883" spans="2:12" x14ac:dyDescent="0.25">
      <c r="B883" s="25"/>
      <c r="C883" s="25"/>
      <c r="D883" s="25"/>
      <c r="E883" s="25"/>
      <c r="F883" s="25"/>
      <c r="G883" s="25"/>
      <c r="H883" s="25"/>
      <c r="I883" s="25"/>
      <c r="J883" s="25"/>
      <c r="K883" s="25"/>
      <c r="L883" s="25"/>
    </row>
    <row r="884" spans="2:12" x14ac:dyDescent="0.25">
      <c r="B884" s="25"/>
      <c r="C884" s="25"/>
      <c r="D884" s="25"/>
      <c r="E884" s="25"/>
      <c r="F884" s="25"/>
      <c r="G884" s="25"/>
      <c r="H884" s="25"/>
      <c r="I884" s="25"/>
      <c r="J884" s="25"/>
      <c r="K884" s="25"/>
      <c r="L884" s="25"/>
    </row>
    <row r="885" spans="2:12" x14ac:dyDescent="0.25">
      <c r="B885" s="26" t="s">
        <v>277</v>
      </c>
      <c r="C885" s="25"/>
      <c r="D885" s="25"/>
      <c r="E885" s="25"/>
      <c r="F885" s="25"/>
      <c r="G885" s="25"/>
      <c r="H885" s="25"/>
      <c r="I885" s="25"/>
      <c r="J885" s="25"/>
      <c r="K885" s="25"/>
      <c r="L885" s="25"/>
    </row>
    <row r="886" spans="2:12" x14ac:dyDescent="0.25">
      <c r="B886" s="25"/>
      <c r="C886" s="25"/>
      <c r="D886" s="25"/>
      <c r="E886" s="25"/>
      <c r="F886" s="25"/>
      <c r="G886" s="25"/>
      <c r="H886" s="25"/>
      <c r="I886" s="25"/>
      <c r="J886" s="25"/>
      <c r="K886" s="25"/>
      <c r="L886" s="25"/>
    </row>
    <row r="887" spans="2:12" ht="16.5" thickBot="1" x14ac:dyDescent="0.3">
      <c r="B887" s="144" t="s">
        <v>278</v>
      </c>
      <c r="C887" s="145"/>
      <c r="D887" s="145"/>
      <c r="E887" s="25"/>
      <c r="F887" s="25"/>
      <c r="G887" s="25"/>
      <c r="H887" s="25"/>
      <c r="I887" s="25"/>
      <c r="J887" s="25"/>
      <c r="K887" s="25"/>
      <c r="L887" s="25"/>
    </row>
    <row r="888" spans="2:12" ht="16.5" thickBot="1" x14ac:dyDescent="0.3">
      <c r="B888" s="146" t="s">
        <v>192</v>
      </c>
      <c r="C888" s="147"/>
      <c r="D888" s="101" t="s">
        <v>223</v>
      </c>
      <c r="E888" s="25"/>
      <c r="F888" s="25"/>
      <c r="G888" s="25"/>
      <c r="H888" s="25"/>
      <c r="I888" s="25"/>
      <c r="J888" s="25"/>
      <c r="K888" s="25"/>
      <c r="L888" s="25"/>
    </row>
    <row r="889" spans="2:12" x14ac:dyDescent="0.25">
      <c r="B889" s="159" t="s">
        <v>14</v>
      </c>
      <c r="C889" s="41" t="s">
        <v>232</v>
      </c>
      <c r="D889" s="102">
        <v>265</v>
      </c>
      <c r="E889" s="25"/>
      <c r="F889" s="25"/>
      <c r="G889" s="25"/>
      <c r="H889" s="25"/>
      <c r="I889" s="25"/>
      <c r="J889" s="25"/>
      <c r="K889" s="25"/>
      <c r="L889" s="25"/>
    </row>
    <row r="890" spans="2:12" x14ac:dyDescent="0.25">
      <c r="B890" s="136"/>
      <c r="C890" s="30" t="s">
        <v>215</v>
      </c>
      <c r="D890" s="31">
        <v>71</v>
      </c>
      <c r="E890" s="25"/>
      <c r="F890" s="25"/>
      <c r="G890" s="25"/>
      <c r="H890" s="25"/>
      <c r="I890" s="25"/>
      <c r="J890" s="25"/>
      <c r="K890" s="25"/>
      <c r="L890" s="25"/>
    </row>
    <row r="891" spans="2:12" ht="16.5" thickBot="1" x14ac:dyDescent="0.3">
      <c r="B891" s="148" t="s">
        <v>326</v>
      </c>
      <c r="C891" s="30" t="s">
        <v>327</v>
      </c>
      <c r="D891" s="31">
        <v>77</v>
      </c>
      <c r="E891" s="25"/>
      <c r="F891" s="25"/>
      <c r="G891" s="25"/>
      <c r="H891" s="25"/>
      <c r="I891" s="25"/>
      <c r="J891" s="25"/>
      <c r="K891" s="25"/>
      <c r="L891" s="25"/>
    </row>
    <row r="892" spans="2:12" x14ac:dyDescent="0.25">
      <c r="B892" s="136"/>
      <c r="C892" s="30" t="s">
        <v>328</v>
      </c>
      <c r="D892" s="31">
        <v>116</v>
      </c>
      <c r="E892" s="25"/>
      <c r="F892" s="25"/>
      <c r="G892" s="25"/>
      <c r="H892" s="25"/>
      <c r="I892" s="25"/>
      <c r="J892" s="25"/>
      <c r="K892" s="25"/>
      <c r="L892" s="25"/>
    </row>
    <row r="893" spans="2:12" x14ac:dyDescent="0.25">
      <c r="B893" s="136"/>
      <c r="C893" s="30" t="s">
        <v>329</v>
      </c>
      <c r="D893" s="31">
        <v>47</v>
      </c>
      <c r="E893" s="25"/>
      <c r="F893" s="25"/>
      <c r="G893" s="25"/>
      <c r="H893" s="25"/>
      <c r="I893" s="25"/>
      <c r="J893" s="25"/>
      <c r="K893" s="25"/>
      <c r="L893" s="25"/>
    </row>
    <row r="894" spans="2:12" ht="16.5" thickBot="1" x14ac:dyDescent="0.3">
      <c r="B894" s="143"/>
      <c r="C894" s="33" t="s">
        <v>330</v>
      </c>
      <c r="D894" s="103">
        <v>96</v>
      </c>
      <c r="E894" s="25"/>
      <c r="F894" s="25"/>
      <c r="G894" s="25"/>
      <c r="H894" s="25"/>
      <c r="I894" s="25"/>
      <c r="J894" s="25"/>
      <c r="K894" s="25"/>
      <c r="L894" s="25"/>
    </row>
    <row r="895" spans="2:12" x14ac:dyDescent="0.25">
      <c r="B895" s="25"/>
      <c r="C895" s="25"/>
      <c r="D895" s="25"/>
      <c r="E895" s="25"/>
      <c r="F895" s="25"/>
      <c r="G895" s="25"/>
      <c r="H895" s="25"/>
      <c r="I895" s="25"/>
      <c r="J895" s="25"/>
      <c r="K895" s="25"/>
      <c r="L895" s="25"/>
    </row>
    <row r="896" spans="2:12" x14ac:dyDescent="0.25">
      <c r="B896" s="144" t="s">
        <v>279</v>
      </c>
      <c r="C896" s="145"/>
      <c r="D896" s="145"/>
      <c r="E896" s="145"/>
      <c r="F896" s="145"/>
      <c r="G896" s="25"/>
      <c r="H896" s="25"/>
      <c r="I896" s="25"/>
      <c r="J896" s="25"/>
      <c r="K896" s="25"/>
      <c r="L896" s="25"/>
    </row>
    <row r="897" spans="2:12" ht="16.5" thickBot="1" x14ac:dyDescent="0.3">
      <c r="B897" s="160" t="s">
        <v>280</v>
      </c>
      <c r="C897" s="145"/>
      <c r="D897" s="145"/>
      <c r="E897" s="145"/>
      <c r="F897" s="145"/>
      <c r="G897" s="25"/>
      <c r="H897" s="25"/>
      <c r="I897" s="25"/>
      <c r="J897" s="25"/>
      <c r="K897" s="25"/>
      <c r="L897" s="25"/>
    </row>
    <row r="898" spans="2:12" ht="24.75" thickBot="1" x14ac:dyDescent="0.3">
      <c r="B898" s="104" t="s">
        <v>14</v>
      </c>
      <c r="C898" s="106" t="s">
        <v>326</v>
      </c>
      <c r="D898" s="77" t="s">
        <v>224</v>
      </c>
      <c r="E898" s="78" t="s">
        <v>225</v>
      </c>
      <c r="F898" s="79" t="s">
        <v>223</v>
      </c>
      <c r="G898" s="25"/>
      <c r="H898" s="25"/>
      <c r="I898" s="25"/>
      <c r="J898" s="25"/>
      <c r="K898" s="25"/>
      <c r="L898" s="25"/>
    </row>
    <row r="899" spans="2:12" x14ac:dyDescent="0.25">
      <c r="B899" s="139" t="s">
        <v>232</v>
      </c>
      <c r="C899" s="41" t="s">
        <v>327</v>
      </c>
      <c r="D899" s="80">
        <v>69.096491228070192</v>
      </c>
      <c r="E899" s="44">
        <v>25.744354200153431</v>
      </c>
      <c r="F899" s="107">
        <v>57</v>
      </c>
      <c r="G899" s="25"/>
      <c r="H899" s="25"/>
      <c r="I899" s="25"/>
      <c r="J899" s="25"/>
      <c r="K899" s="25"/>
      <c r="L899" s="25"/>
    </row>
    <row r="900" spans="2:12" x14ac:dyDescent="0.25">
      <c r="B900" s="136"/>
      <c r="C900" s="30" t="s">
        <v>328</v>
      </c>
      <c r="D900" s="83">
        <v>87.685393258426956</v>
      </c>
      <c r="E900" s="49">
        <v>32.615300893911872</v>
      </c>
      <c r="F900" s="108">
        <v>89</v>
      </c>
      <c r="G900" s="25"/>
      <c r="H900" s="25"/>
      <c r="I900" s="25"/>
      <c r="J900" s="25"/>
      <c r="K900" s="25"/>
      <c r="L900" s="25"/>
    </row>
    <row r="901" spans="2:12" x14ac:dyDescent="0.25">
      <c r="B901" s="136"/>
      <c r="C901" s="30" t="s">
        <v>329</v>
      </c>
      <c r="D901" s="83">
        <v>78.36666666666666</v>
      </c>
      <c r="E901" s="49">
        <v>27.373759830770908</v>
      </c>
      <c r="F901" s="108">
        <v>45</v>
      </c>
      <c r="G901" s="25"/>
      <c r="H901" s="25"/>
      <c r="I901" s="25"/>
      <c r="J901" s="25"/>
      <c r="K901" s="25"/>
      <c r="L901" s="25"/>
    </row>
    <row r="902" spans="2:12" x14ac:dyDescent="0.25">
      <c r="B902" s="136"/>
      <c r="C902" s="30" t="s">
        <v>330</v>
      </c>
      <c r="D902" s="83">
        <v>103.74324324324324</v>
      </c>
      <c r="E902" s="49">
        <v>40.088962991337716</v>
      </c>
      <c r="F902" s="108">
        <v>74</v>
      </c>
      <c r="G902" s="25"/>
      <c r="H902" s="25"/>
      <c r="I902" s="25"/>
      <c r="J902" s="25"/>
      <c r="K902" s="25"/>
      <c r="L902" s="25"/>
    </row>
    <row r="903" spans="2:12" x14ac:dyDescent="0.25">
      <c r="B903" s="140"/>
      <c r="C903" s="52" t="s">
        <v>233</v>
      </c>
      <c r="D903" s="87">
        <v>86.588679245282961</v>
      </c>
      <c r="E903" s="55">
        <v>34.999062002459858</v>
      </c>
      <c r="F903" s="109">
        <v>265</v>
      </c>
      <c r="G903" s="25"/>
      <c r="H903" s="25"/>
      <c r="I903" s="25"/>
      <c r="J903" s="25"/>
      <c r="K903" s="25"/>
      <c r="L903" s="25"/>
    </row>
    <row r="904" spans="2:12" x14ac:dyDescent="0.25">
      <c r="B904" s="141" t="s">
        <v>215</v>
      </c>
      <c r="C904" s="58" t="s">
        <v>327</v>
      </c>
      <c r="D904" s="91">
        <v>56.9</v>
      </c>
      <c r="E904" s="61">
        <v>20.66563381686203</v>
      </c>
      <c r="F904" s="110">
        <v>20</v>
      </c>
      <c r="G904" s="25"/>
      <c r="H904" s="25"/>
      <c r="I904" s="25"/>
      <c r="J904" s="25"/>
      <c r="K904" s="25"/>
      <c r="L904" s="25"/>
    </row>
    <row r="905" spans="2:12" x14ac:dyDescent="0.25">
      <c r="B905" s="136"/>
      <c r="C905" s="30" t="s">
        <v>328</v>
      </c>
      <c r="D905" s="83">
        <v>57.962962962962955</v>
      </c>
      <c r="E905" s="49">
        <v>29.706877579082175</v>
      </c>
      <c r="F905" s="108">
        <v>27</v>
      </c>
      <c r="G905" s="25"/>
      <c r="H905" s="25"/>
      <c r="I905" s="25"/>
      <c r="J905" s="25"/>
      <c r="K905" s="25"/>
      <c r="L905" s="25"/>
    </row>
    <row r="906" spans="2:12" x14ac:dyDescent="0.25">
      <c r="B906" s="136"/>
      <c r="C906" s="30" t="s">
        <v>329</v>
      </c>
      <c r="D906" s="83">
        <v>46.5</v>
      </c>
      <c r="E906" s="49">
        <v>2.1213203435596428</v>
      </c>
      <c r="F906" s="108">
        <v>2</v>
      </c>
      <c r="G906" s="25"/>
      <c r="H906" s="25"/>
      <c r="I906" s="25"/>
      <c r="J906" s="25"/>
      <c r="K906" s="25"/>
      <c r="L906" s="25"/>
    </row>
    <row r="907" spans="2:12" x14ac:dyDescent="0.25">
      <c r="B907" s="136"/>
      <c r="C907" s="30" t="s">
        <v>330</v>
      </c>
      <c r="D907" s="83">
        <v>64</v>
      </c>
      <c r="E907" s="49">
        <v>29.45860695636377</v>
      </c>
      <c r="F907" s="108">
        <v>22</v>
      </c>
      <c r="G907" s="25"/>
      <c r="H907" s="25"/>
      <c r="I907" s="25"/>
      <c r="J907" s="25"/>
      <c r="K907" s="25"/>
      <c r="L907" s="25"/>
    </row>
    <row r="908" spans="2:12" x14ac:dyDescent="0.25">
      <c r="B908" s="140"/>
      <c r="C908" s="52" t="s">
        <v>233</v>
      </c>
      <c r="D908" s="87">
        <v>59.211267605633793</v>
      </c>
      <c r="E908" s="55">
        <v>26.796676495926953</v>
      </c>
      <c r="F908" s="109">
        <v>71</v>
      </c>
      <c r="G908" s="25"/>
      <c r="H908" s="25"/>
      <c r="I908" s="25"/>
      <c r="J908" s="25"/>
      <c r="K908" s="25"/>
      <c r="L908" s="25"/>
    </row>
    <row r="909" spans="2:12" ht="16.5" thickBot="1" x14ac:dyDescent="0.3">
      <c r="B909" s="142" t="s">
        <v>233</v>
      </c>
      <c r="C909" s="58" t="s">
        <v>327</v>
      </c>
      <c r="D909" s="91">
        <v>65.928571428571445</v>
      </c>
      <c r="E909" s="61">
        <v>24.982061233185838</v>
      </c>
      <c r="F909" s="110">
        <v>77</v>
      </c>
      <c r="G909" s="25"/>
      <c r="H909" s="25"/>
      <c r="I909" s="25"/>
      <c r="J909" s="25"/>
      <c r="K909" s="25"/>
      <c r="L909" s="25"/>
    </row>
    <row r="910" spans="2:12" x14ac:dyDescent="0.25">
      <c r="B910" s="136"/>
      <c r="C910" s="30" t="s">
        <v>328</v>
      </c>
      <c r="D910" s="83">
        <v>80.767241379310349</v>
      </c>
      <c r="E910" s="49">
        <v>34.24416364328652</v>
      </c>
      <c r="F910" s="108">
        <v>116</v>
      </c>
      <c r="G910" s="25"/>
      <c r="H910" s="25"/>
      <c r="I910" s="25"/>
      <c r="J910" s="25"/>
      <c r="K910" s="25"/>
      <c r="L910" s="25"/>
    </row>
    <row r="911" spans="2:12" x14ac:dyDescent="0.25">
      <c r="B911" s="136"/>
      <c r="C911" s="30" t="s">
        <v>329</v>
      </c>
      <c r="D911" s="83">
        <v>77.010638297872319</v>
      </c>
      <c r="E911" s="49">
        <v>27.552023787756678</v>
      </c>
      <c r="F911" s="108">
        <v>47</v>
      </c>
      <c r="G911" s="25"/>
      <c r="H911" s="25"/>
      <c r="I911" s="25"/>
      <c r="J911" s="25"/>
      <c r="K911" s="25"/>
      <c r="L911" s="25"/>
    </row>
    <row r="912" spans="2:12" x14ac:dyDescent="0.25">
      <c r="B912" s="136"/>
      <c r="C912" s="30" t="s">
        <v>330</v>
      </c>
      <c r="D912" s="83">
        <v>94.635416666666657</v>
      </c>
      <c r="E912" s="49">
        <v>41.336900755077025</v>
      </c>
      <c r="F912" s="108">
        <v>96</v>
      </c>
      <c r="G912" s="25"/>
      <c r="H912" s="25"/>
      <c r="I912" s="25"/>
      <c r="J912" s="25"/>
      <c r="K912" s="25"/>
      <c r="L912" s="25"/>
    </row>
    <row r="913" spans="2:12" ht="16.5" thickBot="1" x14ac:dyDescent="0.3">
      <c r="B913" s="143"/>
      <c r="C913" s="33" t="s">
        <v>233</v>
      </c>
      <c r="D913" s="94">
        <v>80.803571428571402</v>
      </c>
      <c r="E913" s="111">
        <v>35.222874000831681</v>
      </c>
      <c r="F913" s="112">
        <v>336</v>
      </c>
      <c r="G913" s="25"/>
      <c r="H913" s="25"/>
      <c r="I913" s="25"/>
      <c r="J913" s="25"/>
      <c r="K913" s="25"/>
      <c r="L913" s="25"/>
    </row>
    <row r="914" spans="2:12" x14ac:dyDescent="0.25">
      <c r="B914" s="25"/>
      <c r="C914" s="25"/>
      <c r="D914" s="25"/>
      <c r="E914" s="25"/>
      <c r="F914" s="25"/>
      <c r="G914" s="25"/>
      <c r="H914" s="25"/>
      <c r="I914" s="25"/>
      <c r="J914" s="25"/>
      <c r="K914" s="25"/>
      <c r="L914" s="25"/>
    </row>
    <row r="915" spans="2:12" x14ac:dyDescent="0.25">
      <c r="B915" s="144" t="s">
        <v>281</v>
      </c>
      <c r="C915" s="145"/>
      <c r="D915" s="145"/>
      <c r="E915" s="145"/>
      <c r="F915" s="145"/>
      <c r="G915" s="145"/>
      <c r="H915" s="145"/>
      <c r="I915" s="25"/>
      <c r="J915" s="25"/>
      <c r="K915" s="25"/>
      <c r="L915" s="25"/>
    </row>
    <row r="916" spans="2:12" ht="16.5" thickBot="1" x14ac:dyDescent="0.3">
      <c r="B916" s="160" t="s">
        <v>280</v>
      </c>
      <c r="C916" s="145"/>
      <c r="D916" s="145"/>
      <c r="E916" s="145"/>
      <c r="F916" s="145"/>
      <c r="G916" s="145"/>
      <c r="H916" s="145"/>
      <c r="I916" s="25"/>
      <c r="J916" s="25"/>
      <c r="K916" s="25"/>
      <c r="L916" s="25"/>
    </row>
    <row r="917" spans="2:12" ht="25.5" thickBot="1" x14ac:dyDescent="0.3">
      <c r="B917" s="161" t="s">
        <v>282</v>
      </c>
      <c r="C917" s="147"/>
      <c r="D917" s="77" t="s">
        <v>283</v>
      </c>
      <c r="E917" s="78" t="s">
        <v>236</v>
      </c>
      <c r="F917" s="78" t="s">
        <v>237</v>
      </c>
      <c r="G917" s="78" t="s">
        <v>238</v>
      </c>
      <c r="H917" s="79" t="s">
        <v>239</v>
      </c>
      <c r="I917" s="25"/>
      <c r="J917" s="25"/>
      <c r="K917" s="25"/>
      <c r="L917" s="25"/>
    </row>
    <row r="918" spans="2:12" x14ac:dyDescent="0.25">
      <c r="B918" s="159" t="s">
        <v>285</v>
      </c>
      <c r="C918" s="41" t="s">
        <v>286</v>
      </c>
      <c r="D918" s="80">
        <v>456786.47485728638</v>
      </c>
      <c r="E918" s="81">
        <v>1</v>
      </c>
      <c r="F918" s="43">
        <v>456786.47485728638</v>
      </c>
      <c r="G918" s="43">
        <v>161.62602364574121</v>
      </c>
      <c r="H918" s="82">
        <v>9.5282631675471695E-5</v>
      </c>
      <c r="I918" s="25"/>
      <c r="J918" s="25"/>
      <c r="K918" s="25"/>
      <c r="L918" s="25"/>
    </row>
    <row r="919" spans="2:12" x14ac:dyDescent="0.25">
      <c r="B919" s="136"/>
      <c r="C919" s="30" t="s">
        <v>287</v>
      </c>
      <c r="D919" s="83">
        <v>12949.895210557577</v>
      </c>
      <c r="E919" s="48">
        <v>4.5820972920999417</v>
      </c>
      <c r="F919" s="48">
        <v>2826.1938551336902</v>
      </c>
      <c r="G919" s="85"/>
      <c r="H919" s="86"/>
      <c r="I919" s="25"/>
      <c r="J919" s="25"/>
      <c r="K919" s="25"/>
      <c r="L919" s="25"/>
    </row>
    <row r="920" spans="2:12" x14ac:dyDescent="0.25">
      <c r="B920" s="135" t="s">
        <v>14</v>
      </c>
      <c r="C920" s="30" t="s">
        <v>286</v>
      </c>
      <c r="D920" s="83">
        <v>18491.626495146946</v>
      </c>
      <c r="E920" s="84">
        <v>1</v>
      </c>
      <c r="F920" s="48">
        <v>18491.626495146946</v>
      </c>
      <c r="G920" s="48">
        <v>12.436340983701584</v>
      </c>
      <c r="H920" s="113">
        <v>8.8591724673366783E-3</v>
      </c>
      <c r="I920" s="25"/>
      <c r="J920" s="25"/>
      <c r="K920" s="25"/>
      <c r="L920" s="25"/>
    </row>
    <row r="921" spans="2:12" x14ac:dyDescent="0.25">
      <c r="B921" s="136"/>
      <c r="C921" s="30" t="s">
        <v>287</v>
      </c>
      <c r="D921" s="83">
        <v>10965.706796195724</v>
      </c>
      <c r="E921" s="48">
        <v>7.3748660714391185</v>
      </c>
      <c r="F921" s="48">
        <v>1486.902499648498</v>
      </c>
      <c r="G921" s="85"/>
      <c r="H921" s="86"/>
      <c r="I921" s="25"/>
      <c r="J921" s="25"/>
      <c r="K921" s="25"/>
      <c r="L921" s="25"/>
    </row>
    <row r="922" spans="2:12" x14ac:dyDescent="0.25">
      <c r="B922" s="135" t="s">
        <v>326</v>
      </c>
      <c r="C922" s="30" t="s">
        <v>286</v>
      </c>
      <c r="D922" s="83">
        <v>14787.984987573682</v>
      </c>
      <c r="E922" s="84">
        <v>3</v>
      </c>
      <c r="F922" s="48">
        <v>4929.3283291912276</v>
      </c>
      <c r="G922" s="48">
        <v>2.4143400731682236</v>
      </c>
      <c r="H922" s="113">
        <v>0.24403846377796085</v>
      </c>
      <c r="I922" s="25"/>
      <c r="J922" s="25"/>
      <c r="K922" s="25"/>
      <c r="L922" s="25"/>
    </row>
    <row r="923" spans="2:12" x14ac:dyDescent="0.25">
      <c r="B923" s="136"/>
      <c r="C923" s="30" t="s">
        <v>287</v>
      </c>
      <c r="D923" s="83">
        <v>6125.0629734891127</v>
      </c>
      <c r="E923" s="84">
        <v>3</v>
      </c>
      <c r="F923" s="48">
        <v>2041.6876578297042</v>
      </c>
      <c r="G923" s="85"/>
      <c r="H923" s="86"/>
      <c r="I923" s="25"/>
      <c r="J923" s="25"/>
      <c r="K923" s="25"/>
      <c r="L923" s="25"/>
    </row>
    <row r="924" spans="2:12" ht="16.5" thickBot="1" x14ac:dyDescent="0.3">
      <c r="B924" s="148" t="s">
        <v>342</v>
      </c>
      <c r="C924" s="30" t="s">
        <v>286</v>
      </c>
      <c r="D924" s="83">
        <v>6125.0629734891127</v>
      </c>
      <c r="E924" s="84">
        <v>3</v>
      </c>
      <c r="F924" s="48">
        <v>2041.6876578297042</v>
      </c>
      <c r="G924" s="48">
        <v>2.0274461166687319</v>
      </c>
      <c r="H924" s="113">
        <v>0.10988176239033627</v>
      </c>
      <c r="I924" s="25"/>
      <c r="J924" s="25"/>
      <c r="K924" s="25"/>
      <c r="L924" s="25"/>
    </row>
    <row r="925" spans="2:12" ht="16.5" thickBot="1" x14ac:dyDescent="0.3">
      <c r="B925" s="143"/>
      <c r="C925" s="33" t="s">
        <v>287</v>
      </c>
      <c r="D925" s="94">
        <v>330303.99489406613</v>
      </c>
      <c r="E925" s="95">
        <v>328</v>
      </c>
      <c r="F925" s="114">
        <v>1007.0243746770309</v>
      </c>
      <c r="G925" s="96"/>
      <c r="H925" s="97"/>
      <c r="I925" s="25"/>
      <c r="J925" s="25"/>
      <c r="K925" s="25"/>
      <c r="L925" s="25"/>
    </row>
    <row r="926" spans="2:12" x14ac:dyDescent="0.25">
      <c r="B926" s="25"/>
      <c r="C926" s="25"/>
      <c r="D926" s="25"/>
      <c r="E926" s="25"/>
      <c r="F926" s="25"/>
      <c r="G926" s="25"/>
      <c r="H926" s="25"/>
      <c r="I926" s="25"/>
      <c r="J926" s="25"/>
      <c r="K926" s="25"/>
      <c r="L926" s="25"/>
    </row>
    <row r="927" spans="2:12" x14ac:dyDescent="0.25">
      <c r="B927" s="25"/>
      <c r="C927" s="25"/>
      <c r="D927" s="25"/>
      <c r="E927" s="25"/>
      <c r="F927" s="25"/>
      <c r="G927" s="25"/>
      <c r="H927" s="25"/>
      <c r="I927" s="25"/>
      <c r="J927" s="25"/>
      <c r="K927" s="25"/>
      <c r="L927" s="25"/>
    </row>
    <row r="928" spans="2:12" x14ac:dyDescent="0.25">
      <c r="B928" s="25"/>
      <c r="C928" s="25"/>
      <c r="D928" s="25"/>
      <c r="E928" s="25"/>
      <c r="F928" s="25"/>
      <c r="G928" s="25"/>
      <c r="H928" s="25"/>
      <c r="I928" s="25"/>
      <c r="J928" s="25"/>
      <c r="K928" s="25"/>
      <c r="L928" s="25"/>
    </row>
    <row r="929" spans="2:12" x14ac:dyDescent="0.25">
      <c r="B929" s="25"/>
      <c r="C929" s="25"/>
      <c r="D929" s="25"/>
      <c r="E929" s="25"/>
      <c r="F929" s="25"/>
      <c r="G929" s="25"/>
      <c r="H929" s="25"/>
      <c r="I929" s="25"/>
      <c r="J929" s="25"/>
      <c r="K929" s="25"/>
      <c r="L929" s="25"/>
    </row>
    <row r="930" spans="2:12" x14ac:dyDescent="0.25">
      <c r="B930" s="25"/>
      <c r="C930" s="25"/>
      <c r="D930" s="25"/>
      <c r="E930" s="25"/>
      <c r="F930" s="25"/>
      <c r="G930" s="25"/>
      <c r="H930" s="25"/>
      <c r="I930" s="25"/>
      <c r="J930" s="25"/>
      <c r="K930" s="25"/>
      <c r="L930" s="25"/>
    </row>
    <row r="931" spans="2:12" ht="16.5" thickBot="1" x14ac:dyDescent="0.3">
      <c r="B931" s="144" t="s">
        <v>293</v>
      </c>
      <c r="C931" s="145"/>
      <c r="D931" s="145"/>
      <c r="E931" s="145"/>
      <c r="F931" s="145"/>
      <c r="G931" s="25"/>
      <c r="H931" s="25"/>
      <c r="I931" s="25"/>
      <c r="J931" s="25"/>
      <c r="K931" s="25"/>
      <c r="L931" s="25"/>
    </row>
    <row r="932" spans="2:12" ht="16.5" thickBot="1" x14ac:dyDescent="0.3">
      <c r="B932" s="161" t="s">
        <v>282</v>
      </c>
      <c r="C932" s="164" t="s">
        <v>294</v>
      </c>
      <c r="D932" s="165"/>
      <c r="E932" s="165"/>
      <c r="F932" s="132"/>
      <c r="G932" s="25"/>
      <c r="H932" s="25"/>
      <c r="I932" s="25"/>
      <c r="J932" s="25"/>
      <c r="K932" s="25"/>
      <c r="L932" s="25"/>
    </row>
    <row r="933" spans="2:12" ht="25.5" thickBot="1" x14ac:dyDescent="0.3">
      <c r="B933" s="163"/>
      <c r="C933" s="115" t="s">
        <v>334</v>
      </c>
      <c r="D933" s="40" t="s">
        <v>343</v>
      </c>
      <c r="E933" s="40" t="s">
        <v>299</v>
      </c>
      <c r="F933" s="116" t="s">
        <v>300</v>
      </c>
      <c r="G933" s="25"/>
      <c r="H933" s="25"/>
      <c r="I933" s="25"/>
      <c r="J933" s="25"/>
      <c r="K933" s="25"/>
      <c r="L933" s="25"/>
    </row>
    <row r="934" spans="2:12" ht="24" x14ac:dyDescent="0.25">
      <c r="B934" s="35" t="s">
        <v>285</v>
      </c>
      <c r="C934" s="80">
        <v>22.955288753905077</v>
      </c>
      <c r="D934" s="43">
        <v>11.477644376952505</v>
      </c>
      <c r="E934" s="43">
        <v>1</v>
      </c>
      <c r="F934" s="117" t="s">
        <v>344</v>
      </c>
      <c r="G934" s="25"/>
      <c r="H934" s="25"/>
      <c r="I934" s="25"/>
      <c r="J934" s="25"/>
      <c r="K934" s="25"/>
      <c r="L934" s="25"/>
    </row>
    <row r="935" spans="2:12" ht="24" x14ac:dyDescent="0.25">
      <c r="B935" s="37" t="s">
        <v>14</v>
      </c>
      <c r="C935" s="83">
        <v>0</v>
      </c>
      <c r="D935" s="48">
        <v>11.477644376952624</v>
      </c>
      <c r="E935" s="48">
        <v>0.99999999999999989</v>
      </c>
      <c r="F935" s="118" t="s">
        <v>14</v>
      </c>
      <c r="G935" s="25"/>
      <c r="H935" s="25"/>
      <c r="I935" s="25"/>
      <c r="J935" s="25"/>
      <c r="K935" s="25"/>
      <c r="L935" s="25"/>
    </row>
    <row r="936" spans="2:12" x14ac:dyDescent="0.25">
      <c r="B936" s="37" t="s">
        <v>326</v>
      </c>
      <c r="C936" s="83">
        <v>49.493805180733005</v>
      </c>
      <c r="D936" s="48">
        <v>24.746902590366485</v>
      </c>
      <c r="E936" s="48">
        <v>1</v>
      </c>
      <c r="F936" s="86"/>
      <c r="G936" s="25"/>
      <c r="H936" s="25"/>
      <c r="I936" s="25"/>
      <c r="J936" s="25"/>
      <c r="K936" s="25"/>
      <c r="L936" s="25"/>
    </row>
    <row r="937" spans="2:12" ht="24" x14ac:dyDescent="0.25">
      <c r="B937" s="37" t="s">
        <v>342</v>
      </c>
      <c r="C937" s="83">
        <v>0</v>
      </c>
      <c r="D937" s="48">
        <v>24.746902590366492</v>
      </c>
      <c r="E937" s="48">
        <v>1</v>
      </c>
      <c r="F937" s="86"/>
      <c r="G937" s="25"/>
      <c r="H937" s="25"/>
      <c r="I937" s="25"/>
      <c r="J937" s="25"/>
      <c r="K937" s="25"/>
      <c r="L937" s="25"/>
    </row>
    <row r="938" spans="2:12" ht="16.5" thickBot="1" x14ac:dyDescent="0.3">
      <c r="B938" s="38" t="s">
        <v>287</v>
      </c>
      <c r="C938" s="94">
        <v>0</v>
      </c>
      <c r="D938" s="114">
        <v>0</v>
      </c>
      <c r="E938" s="114">
        <v>1</v>
      </c>
      <c r="F938" s="97"/>
      <c r="G938" s="25"/>
      <c r="H938" s="25"/>
      <c r="I938" s="25"/>
      <c r="J938" s="25"/>
      <c r="K938" s="25"/>
      <c r="L938" s="25"/>
    </row>
    <row r="939" spans="2:12" x14ac:dyDescent="0.25">
      <c r="B939" s="25"/>
      <c r="C939" s="25"/>
      <c r="D939" s="25"/>
      <c r="E939" s="25"/>
      <c r="F939" s="25"/>
      <c r="G939" s="25"/>
      <c r="H939" s="25"/>
      <c r="I939" s="25"/>
      <c r="J939" s="25"/>
      <c r="K939" s="25"/>
      <c r="L939" s="25"/>
    </row>
    <row r="940" spans="2:12" x14ac:dyDescent="0.25">
      <c r="B940" s="25"/>
      <c r="C940" s="25"/>
      <c r="D940" s="25"/>
      <c r="E940" s="25"/>
      <c r="F940" s="25"/>
      <c r="G940" s="25"/>
      <c r="H940" s="25"/>
      <c r="I940" s="25"/>
      <c r="J940" s="25"/>
      <c r="K940" s="25"/>
      <c r="L940" s="25"/>
    </row>
    <row r="941" spans="2:12" x14ac:dyDescent="0.25">
      <c r="B941" s="25"/>
      <c r="C941" s="25"/>
      <c r="D941" s="25"/>
      <c r="E941" s="25"/>
      <c r="F941" s="25"/>
      <c r="G941" s="25"/>
      <c r="H941" s="25"/>
      <c r="I941" s="25"/>
      <c r="J941" s="25"/>
      <c r="K941" s="25"/>
      <c r="L941" s="25"/>
    </row>
    <row r="942" spans="2:12" x14ac:dyDescent="0.25">
      <c r="B942" s="25"/>
      <c r="C942" s="25"/>
      <c r="D942" s="25"/>
      <c r="E942" s="25"/>
      <c r="F942" s="25"/>
      <c r="G942" s="25"/>
      <c r="H942" s="25"/>
      <c r="I942" s="25"/>
      <c r="J942" s="25"/>
      <c r="K942" s="25"/>
      <c r="L942" s="25"/>
    </row>
    <row r="943" spans="2:12" x14ac:dyDescent="0.25">
      <c r="B943" s="26" t="s">
        <v>345</v>
      </c>
      <c r="C943" s="25"/>
      <c r="D943" s="25"/>
      <c r="E943" s="25"/>
      <c r="F943" s="25"/>
      <c r="G943" s="25"/>
      <c r="H943" s="25"/>
      <c r="I943" s="25"/>
      <c r="J943" s="25"/>
      <c r="K943" s="25"/>
      <c r="L943" s="25"/>
    </row>
    <row r="944" spans="2:12" x14ac:dyDescent="0.25">
      <c r="B944" s="26" t="s">
        <v>321</v>
      </c>
      <c r="C944" s="25"/>
      <c r="D944" s="25"/>
      <c r="E944" s="25"/>
      <c r="F944" s="25"/>
      <c r="G944" s="25"/>
      <c r="H944" s="25"/>
      <c r="I944" s="25"/>
      <c r="J944" s="25"/>
      <c r="K944" s="25"/>
      <c r="L944" s="25"/>
    </row>
    <row r="945" spans="2:12" x14ac:dyDescent="0.25">
      <c r="B945" s="26" t="s">
        <v>260</v>
      </c>
      <c r="C945" s="25"/>
      <c r="D945" s="25"/>
      <c r="E945" s="25"/>
      <c r="F945" s="25"/>
      <c r="G945" s="25"/>
      <c r="H945" s="25"/>
      <c r="I945" s="25"/>
      <c r="J945" s="25"/>
      <c r="K945" s="25"/>
      <c r="L945" s="25"/>
    </row>
    <row r="946" spans="2:12" x14ac:dyDescent="0.25">
      <c r="B946" s="26" t="s">
        <v>261</v>
      </c>
      <c r="C946" s="25"/>
      <c r="D946" s="25"/>
      <c r="E946" s="25"/>
      <c r="F946" s="25"/>
      <c r="G946" s="25"/>
      <c r="H946" s="25"/>
      <c r="I946" s="25"/>
      <c r="J946" s="25"/>
      <c r="K946" s="25"/>
      <c r="L946" s="25"/>
    </row>
    <row r="947" spans="2:12" x14ac:dyDescent="0.25">
      <c r="B947" s="26" t="s">
        <v>314</v>
      </c>
      <c r="C947" s="25"/>
      <c r="D947" s="25"/>
      <c r="E947" s="25"/>
      <c r="F947" s="25"/>
      <c r="G947" s="25"/>
      <c r="H947" s="25"/>
      <c r="I947" s="25"/>
      <c r="J947" s="25"/>
      <c r="K947" s="25"/>
      <c r="L947" s="25"/>
    </row>
    <row r="948" spans="2:12" x14ac:dyDescent="0.25">
      <c r="B948" s="26" t="s">
        <v>263</v>
      </c>
      <c r="C948" s="25"/>
      <c r="D948" s="25"/>
      <c r="E948" s="25"/>
      <c r="F948" s="25"/>
      <c r="G948" s="25"/>
      <c r="H948" s="25"/>
      <c r="I948" s="25"/>
      <c r="J948" s="25"/>
      <c r="K948" s="25"/>
      <c r="L948" s="25"/>
    </row>
    <row r="949" spans="2:12" x14ac:dyDescent="0.25">
      <c r="B949" s="26" t="s">
        <v>339</v>
      </c>
      <c r="C949" s="25"/>
      <c r="D949" s="25"/>
      <c r="E949" s="25"/>
      <c r="F949" s="25"/>
      <c r="G949" s="25"/>
      <c r="H949" s="25"/>
      <c r="I949" s="25"/>
      <c r="J949" s="25"/>
      <c r="K949" s="25"/>
      <c r="L949" s="25"/>
    </row>
    <row r="950" spans="2:12" x14ac:dyDescent="0.25">
      <c r="B950" s="25"/>
      <c r="C950" s="25"/>
      <c r="D950" s="25"/>
      <c r="E950" s="25"/>
      <c r="F950" s="25"/>
      <c r="G950" s="25"/>
      <c r="H950" s="25"/>
      <c r="I950" s="25"/>
      <c r="J950" s="25"/>
      <c r="K950" s="25"/>
      <c r="L950" s="25"/>
    </row>
    <row r="951" spans="2:12" x14ac:dyDescent="0.25">
      <c r="B951" s="25"/>
      <c r="C951" s="25"/>
      <c r="D951" s="25"/>
      <c r="E951" s="25"/>
      <c r="F951" s="25"/>
      <c r="G951" s="25"/>
      <c r="H951" s="25"/>
      <c r="I951" s="25"/>
      <c r="J951" s="25"/>
      <c r="K951" s="25"/>
      <c r="L951" s="25"/>
    </row>
    <row r="952" spans="2:12" ht="16.5" x14ac:dyDescent="0.25">
      <c r="B952" s="27" t="s">
        <v>268</v>
      </c>
      <c r="C952" s="25"/>
      <c r="D952" s="25"/>
      <c r="E952" s="25"/>
      <c r="F952" s="25"/>
      <c r="G952" s="25"/>
      <c r="H952" s="25"/>
      <c r="I952" s="25"/>
      <c r="J952" s="25"/>
      <c r="K952" s="25"/>
      <c r="L952" s="25"/>
    </row>
    <row r="953" spans="2:12" x14ac:dyDescent="0.25">
      <c r="B953" s="25"/>
      <c r="C953" s="25"/>
      <c r="D953" s="25"/>
      <c r="E953" s="25"/>
      <c r="F953" s="25"/>
      <c r="G953" s="25"/>
      <c r="H953" s="25"/>
      <c r="I953" s="25"/>
      <c r="J953" s="25"/>
      <c r="K953" s="25"/>
      <c r="L953" s="25"/>
    </row>
    <row r="954" spans="2:12" ht="16.5" thickBot="1" x14ac:dyDescent="0.3">
      <c r="B954" s="129" t="s">
        <v>15</v>
      </c>
      <c r="C954" s="130"/>
      <c r="D954" s="130"/>
      <c r="E954" s="25"/>
      <c r="F954" s="25"/>
      <c r="G954" s="25"/>
      <c r="H954" s="25"/>
      <c r="I954" s="25"/>
      <c r="J954" s="25"/>
      <c r="K954" s="25"/>
      <c r="L954" s="25"/>
    </row>
    <row r="955" spans="2:12" x14ac:dyDescent="0.25">
      <c r="B955" s="131" t="s">
        <v>189</v>
      </c>
      <c r="C955" s="132"/>
      <c r="D955" s="28" t="s">
        <v>346</v>
      </c>
      <c r="E955" s="25"/>
      <c r="F955" s="25"/>
      <c r="G955" s="25"/>
      <c r="H955" s="25"/>
      <c r="I955" s="25"/>
      <c r="J955" s="25"/>
      <c r="K955" s="25"/>
      <c r="L955" s="25"/>
    </row>
    <row r="956" spans="2:12" x14ac:dyDescent="0.25">
      <c r="B956" s="133" t="s">
        <v>191</v>
      </c>
      <c r="C956" s="134"/>
      <c r="D956" s="29" t="s">
        <v>192</v>
      </c>
      <c r="E956" s="25"/>
      <c r="F956" s="25"/>
      <c r="G956" s="25"/>
      <c r="H956" s="25"/>
      <c r="I956" s="25"/>
      <c r="J956" s="25"/>
      <c r="K956" s="25"/>
      <c r="L956" s="25"/>
    </row>
    <row r="957" spans="2:12" ht="96" x14ac:dyDescent="0.25">
      <c r="B957" s="135" t="s">
        <v>193</v>
      </c>
      <c r="C957" s="30" t="s">
        <v>270</v>
      </c>
      <c r="D957" s="29" t="s">
        <v>271</v>
      </c>
      <c r="E957" s="25"/>
      <c r="F957" s="25"/>
      <c r="G957" s="25"/>
      <c r="H957" s="25"/>
      <c r="I957" s="25"/>
      <c r="J957" s="25"/>
      <c r="K957" s="25"/>
      <c r="L957" s="25"/>
    </row>
    <row r="958" spans="2:12" ht="24" x14ac:dyDescent="0.25">
      <c r="B958" s="136"/>
      <c r="C958" s="30" t="s">
        <v>194</v>
      </c>
      <c r="D958" s="29" t="s">
        <v>195</v>
      </c>
      <c r="E958" s="25"/>
      <c r="F958" s="25"/>
      <c r="G958" s="25"/>
      <c r="H958" s="25"/>
      <c r="I958" s="25"/>
      <c r="J958" s="25"/>
      <c r="K958" s="25"/>
      <c r="L958" s="25"/>
    </row>
    <row r="959" spans="2:12" ht="24" x14ac:dyDescent="0.25">
      <c r="B959" s="136"/>
      <c r="C959" s="30" t="s">
        <v>196</v>
      </c>
      <c r="D959" s="29" t="s">
        <v>272</v>
      </c>
      <c r="E959" s="25"/>
      <c r="F959" s="25"/>
      <c r="G959" s="25"/>
      <c r="H959" s="25"/>
      <c r="I959" s="25"/>
      <c r="J959" s="25"/>
      <c r="K959" s="25"/>
      <c r="L959" s="25"/>
    </row>
    <row r="960" spans="2:12" x14ac:dyDescent="0.25">
      <c r="B960" s="136"/>
      <c r="C960" s="30" t="s">
        <v>198</v>
      </c>
      <c r="D960" s="29" t="s">
        <v>197</v>
      </c>
      <c r="E960" s="25"/>
      <c r="F960" s="25"/>
      <c r="G960" s="25"/>
      <c r="H960" s="25"/>
      <c r="I960" s="25"/>
      <c r="J960" s="25"/>
      <c r="K960" s="25"/>
      <c r="L960" s="25"/>
    </row>
    <row r="961" spans="2:12" x14ac:dyDescent="0.25">
      <c r="B961" s="136"/>
      <c r="C961" s="30" t="s">
        <v>199</v>
      </c>
      <c r="D961" s="29" t="s">
        <v>197</v>
      </c>
      <c r="E961" s="25"/>
      <c r="F961" s="25"/>
      <c r="G961" s="25"/>
      <c r="H961" s="25"/>
      <c r="I961" s="25"/>
      <c r="J961" s="25"/>
      <c r="K961" s="25"/>
      <c r="L961" s="25"/>
    </row>
    <row r="962" spans="2:12" ht="36" x14ac:dyDescent="0.25">
      <c r="B962" s="136"/>
      <c r="C962" s="30" t="s">
        <v>200</v>
      </c>
      <c r="D962" s="31">
        <v>336</v>
      </c>
      <c r="E962" s="25"/>
      <c r="F962" s="25"/>
      <c r="G962" s="25"/>
      <c r="H962" s="25"/>
      <c r="I962" s="25"/>
      <c r="J962" s="25"/>
      <c r="K962" s="25"/>
      <c r="L962" s="25"/>
    </row>
    <row r="963" spans="2:12" ht="36" x14ac:dyDescent="0.25">
      <c r="B963" s="135" t="s">
        <v>201</v>
      </c>
      <c r="C963" s="30" t="s">
        <v>202</v>
      </c>
      <c r="D963" s="29" t="s">
        <v>203</v>
      </c>
      <c r="E963" s="25"/>
      <c r="F963" s="25"/>
      <c r="G963" s="25"/>
      <c r="H963" s="25"/>
      <c r="I963" s="25"/>
      <c r="J963" s="25"/>
      <c r="K963" s="25"/>
      <c r="L963" s="25"/>
    </row>
    <row r="964" spans="2:12" ht="48" x14ac:dyDescent="0.25">
      <c r="B964" s="136"/>
      <c r="C964" s="30" t="s">
        <v>204</v>
      </c>
      <c r="D964" s="29" t="s">
        <v>273</v>
      </c>
      <c r="E964" s="25"/>
      <c r="F964" s="25"/>
      <c r="G964" s="25"/>
      <c r="H964" s="25"/>
      <c r="I964" s="25"/>
      <c r="J964" s="25"/>
      <c r="K964" s="25"/>
      <c r="L964" s="25"/>
    </row>
    <row r="965" spans="2:12" ht="240" x14ac:dyDescent="0.25">
      <c r="B965" s="133" t="s">
        <v>206</v>
      </c>
      <c r="C965" s="134"/>
      <c r="D965" s="29" t="s">
        <v>347</v>
      </c>
      <c r="E965" s="25"/>
      <c r="F965" s="25"/>
      <c r="G965" s="25"/>
      <c r="H965" s="25"/>
      <c r="I965" s="25"/>
      <c r="J965" s="25"/>
      <c r="K965" s="25"/>
      <c r="L965" s="25"/>
    </row>
    <row r="966" spans="2:12" ht="24.75" thickBot="1" x14ac:dyDescent="0.3">
      <c r="B966" s="148" t="s">
        <v>208</v>
      </c>
      <c r="C966" s="30" t="s">
        <v>209</v>
      </c>
      <c r="D966" s="32" t="s">
        <v>325</v>
      </c>
      <c r="E966" s="25"/>
      <c r="F966" s="25"/>
      <c r="G966" s="25"/>
      <c r="H966" s="25"/>
      <c r="I966" s="25"/>
      <c r="J966" s="25"/>
      <c r="K966" s="25"/>
      <c r="L966" s="25"/>
    </row>
    <row r="967" spans="2:12" ht="24.75" thickBot="1" x14ac:dyDescent="0.3">
      <c r="B967" s="143"/>
      <c r="C967" s="33" t="s">
        <v>211</v>
      </c>
      <c r="D967" s="34" t="s">
        <v>325</v>
      </c>
      <c r="E967" s="25"/>
      <c r="F967" s="25"/>
      <c r="G967" s="25"/>
      <c r="H967" s="25"/>
      <c r="I967" s="25"/>
      <c r="J967" s="25"/>
      <c r="K967" s="25"/>
      <c r="L967" s="25"/>
    </row>
    <row r="968" spans="2:12" x14ac:dyDescent="0.25">
      <c r="B968" s="25"/>
      <c r="C968" s="25"/>
      <c r="D968" s="25"/>
      <c r="E968" s="25"/>
      <c r="F968" s="25"/>
      <c r="G968" s="25"/>
      <c r="H968" s="25"/>
      <c r="I968" s="25"/>
      <c r="J968" s="25"/>
      <c r="K968" s="25"/>
      <c r="L968" s="25"/>
    </row>
    <row r="969" spans="2:12" x14ac:dyDescent="0.25">
      <c r="B969" s="25"/>
      <c r="C969" s="25"/>
      <c r="D969" s="25"/>
      <c r="E969" s="25"/>
      <c r="F969" s="25"/>
      <c r="G969" s="25"/>
      <c r="H969" s="25"/>
      <c r="I969" s="25"/>
      <c r="J969" s="25"/>
      <c r="K969" s="25"/>
      <c r="L969" s="25"/>
    </row>
    <row r="970" spans="2:12" x14ac:dyDescent="0.25">
      <c r="B970" s="26" t="s">
        <v>277</v>
      </c>
      <c r="C970" s="25"/>
      <c r="D970" s="25"/>
      <c r="E970" s="25"/>
      <c r="F970" s="25"/>
      <c r="G970" s="25"/>
      <c r="H970" s="25"/>
      <c r="I970" s="25"/>
      <c r="J970" s="25"/>
      <c r="K970" s="25"/>
      <c r="L970" s="25"/>
    </row>
    <row r="971" spans="2:12" x14ac:dyDescent="0.25">
      <c r="B971" s="25"/>
      <c r="C971" s="25"/>
      <c r="D971" s="25"/>
      <c r="E971" s="25"/>
      <c r="F971" s="25"/>
      <c r="G971" s="25"/>
      <c r="H971" s="25"/>
      <c r="I971" s="25"/>
      <c r="J971" s="25"/>
      <c r="K971" s="25"/>
      <c r="L971" s="25"/>
    </row>
    <row r="972" spans="2:12" ht="16.5" thickBot="1" x14ac:dyDescent="0.3">
      <c r="B972" s="144" t="s">
        <v>278</v>
      </c>
      <c r="C972" s="145"/>
      <c r="D972" s="145"/>
      <c r="E972" s="25"/>
      <c r="F972" s="25"/>
      <c r="G972" s="25"/>
      <c r="H972" s="25"/>
      <c r="I972" s="25"/>
      <c r="J972" s="25"/>
      <c r="K972" s="25"/>
      <c r="L972" s="25"/>
    </row>
    <row r="973" spans="2:12" ht="16.5" thickBot="1" x14ac:dyDescent="0.3">
      <c r="B973" s="146" t="s">
        <v>192</v>
      </c>
      <c r="C973" s="147"/>
      <c r="D973" s="101" t="s">
        <v>223</v>
      </c>
      <c r="E973" s="25"/>
      <c r="F973" s="25"/>
      <c r="G973" s="25"/>
      <c r="H973" s="25"/>
      <c r="I973" s="25"/>
      <c r="J973" s="25"/>
      <c r="K973" s="25"/>
      <c r="L973" s="25"/>
    </row>
    <row r="974" spans="2:12" x14ac:dyDescent="0.25">
      <c r="B974" s="159" t="s">
        <v>14</v>
      </c>
      <c r="C974" s="41" t="s">
        <v>232</v>
      </c>
      <c r="D974" s="102">
        <v>265</v>
      </c>
      <c r="E974" s="25"/>
      <c r="F974" s="25"/>
      <c r="G974" s="25"/>
      <c r="H974" s="25"/>
      <c r="I974" s="25"/>
      <c r="J974" s="25"/>
      <c r="K974" s="25"/>
      <c r="L974" s="25"/>
    </row>
    <row r="975" spans="2:12" x14ac:dyDescent="0.25">
      <c r="B975" s="136"/>
      <c r="C975" s="30" t="s">
        <v>215</v>
      </c>
      <c r="D975" s="31">
        <v>71</v>
      </c>
      <c r="E975" s="25"/>
      <c r="F975" s="25"/>
      <c r="G975" s="25"/>
      <c r="H975" s="25"/>
      <c r="I975" s="25"/>
      <c r="J975" s="25"/>
      <c r="K975" s="25"/>
      <c r="L975" s="25"/>
    </row>
    <row r="976" spans="2:12" ht="16.5" thickBot="1" x14ac:dyDescent="0.3">
      <c r="B976" s="148" t="s">
        <v>326</v>
      </c>
      <c r="C976" s="30" t="s">
        <v>327</v>
      </c>
      <c r="D976" s="31">
        <v>77</v>
      </c>
      <c r="E976" s="25"/>
      <c r="F976" s="25"/>
      <c r="G976" s="25"/>
      <c r="H976" s="25"/>
      <c r="I976" s="25"/>
      <c r="J976" s="25"/>
      <c r="K976" s="25"/>
      <c r="L976" s="25"/>
    </row>
    <row r="977" spans="2:12" x14ac:dyDescent="0.25">
      <c r="B977" s="136"/>
      <c r="C977" s="30" t="s">
        <v>328</v>
      </c>
      <c r="D977" s="31">
        <v>116</v>
      </c>
      <c r="E977" s="25"/>
      <c r="F977" s="25"/>
      <c r="G977" s="25"/>
      <c r="H977" s="25"/>
      <c r="I977" s="25"/>
      <c r="J977" s="25"/>
      <c r="K977" s="25"/>
      <c r="L977" s="25"/>
    </row>
    <row r="978" spans="2:12" x14ac:dyDescent="0.25">
      <c r="B978" s="136"/>
      <c r="C978" s="30" t="s">
        <v>329</v>
      </c>
      <c r="D978" s="31">
        <v>47</v>
      </c>
      <c r="E978" s="25"/>
      <c r="F978" s="25"/>
      <c r="G978" s="25"/>
      <c r="H978" s="25"/>
      <c r="I978" s="25"/>
      <c r="J978" s="25"/>
      <c r="K978" s="25"/>
      <c r="L978" s="25"/>
    </row>
    <row r="979" spans="2:12" ht="16.5" thickBot="1" x14ac:dyDescent="0.3">
      <c r="B979" s="143"/>
      <c r="C979" s="33" t="s">
        <v>330</v>
      </c>
      <c r="D979" s="103">
        <v>96</v>
      </c>
      <c r="E979" s="25"/>
      <c r="F979" s="25"/>
      <c r="G979" s="25"/>
      <c r="H979" s="25"/>
      <c r="I979" s="25"/>
      <c r="J979" s="25"/>
      <c r="K979" s="25"/>
      <c r="L979" s="25"/>
    </row>
    <row r="980" spans="2:12" x14ac:dyDescent="0.25">
      <c r="B980" s="25"/>
      <c r="C980" s="25"/>
      <c r="D980" s="25"/>
      <c r="E980" s="25"/>
      <c r="F980" s="25"/>
      <c r="G980" s="25"/>
      <c r="H980" s="25"/>
      <c r="I980" s="25"/>
      <c r="J980" s="25"/>
      <c r="K980" s="25"/>
      <c r="L980" s="25"/>
    </row>
    <row r="981" spans="2:12" x14ac:dyDescent="0.25">
      <c r="B981" s="144" t="s">
        <v>279</v>
      </c>
      <c r="C981" s="145"/>
      <c r="D981" s="145"/>
      <c r="E981" s="145"/>
      <c r="F981" s="145"/>
      <c r="G981" s="25"/>
      <c r="H981" s="25"/>
      <c r="I981" s="25"/>
      <c r="J981" s="25"/>
      <c r="K981" s="25"/>
      <c r="L981" s="25"/>
    </row>
    <row r="982" spans="2:12" ht="16.5" thickBot="1" x14ac:dyDescent="0.3">
      <c r="B982" s="160" t="s">
        <v>308</v>
      </c>
      <c r="C982" s="145"/>
      <c r="D982" s="145"/>
      <c r="E982" s="145"/>
      <c r="F982" s="145"/>
      <c r="G982" s="25"/>
      <c r="H982" s="25"/>
      <c r="I982" s="25"/>
      <c r="J982" s="25"/>
      <c r="K982" s="25"/>
      <c r="L982" s="25"/>
    </row>
    <row r="983" spans="2:12" ht="24.75" thickBot="1" x14ac:dyDescent="0.3">
      <c r="B983" s="104" t="s">
        <v>14</v>
      </c>
      <c r="C983" s="106" t="s">
        <v>326</v>
      </c>
      <c r="D983" s="77" t="s">
        <v>224</v>
      </c>
      <c r="E983" s="78" t="s">
        <v>225</v>
      </c>
      <c r="F983" s="79" t="s">
        <v>223</v>
      </c>
      <c r="G983" s="25"/>
      <c r="H983" s="25"/>
      <c r="I983" s="25"/>
      <c r="J983" s="25"/>
      <c r="K983" s="25"/>
      <c r="L983" s="25"/>
    </row>
    <row r="984" spans="2:12" x14ac:dyDescent="0.25">
      <c r="B984" s="139" t="s">
        <v>232</v>
      </c>
      <c r="C984" s="41" t="s">
        <v>327</v>
      </c>
      <c r="D984" s="80">
        <v>8.5789473684210513</v>
      </c>
      <c r="E984" s="44">
        <v>3.4638302932955427</v>
      </c>
      <c r="F984" s="107">
        <v>57</v>
      </c>
      <c r="G984" s="25"/>
      <c r="H984" s="25"/>
      <c r="I984" s="25"/>
      <c r="J984" s="25"/>
      <c r="K984" s="25"/>
      <c r="L984" s="25"/>
    </row>
    <row r="985" spans="2:12" x14ac:dyDescent="0.25">
      <c r="B985" s="136"/>
      <c r="C985" s="30" t="s">
        <v>328</v>
      </c>
      <c r="D985" s="83">
        <v>10.68539325842697</v>
      </c>
      <c r="E985" s="49">
        <v>4.8490756045446854</v>
      </c>
      <c r="F985" s="108">
        <v>89</v>
      </c>
      <c r="G985" s="25"/>
      <c r="H985" s="25"/>
      <c r="I985" s="25"/>
      <c r="J985" s="25"/>
      <c r="K985" s="25"/>
      <c r="L985" s="25"/>
    </row>
    <row r="986" spans="2:12" x14ac:dyDescent="0.25">
      <c r="B986" s="136"/>
      <c r="C986" s="30" t="s">
        <v>329</v>
      </c>
      <c r="D986" s="83">
        <v>9.8999999999999986</v>
      </c>
      <c r="E986" s="49">
        <v>4.2860768244928291</v>
      </c>
      <c r="F986" s="108">
        <v>45</v>
      </c>
      <c r="G986" s="25"/>
      <c r="H986" s="25"/>
      <c r="I986" s="25"/>
      <c r="J986" s="25"/>
      <c r="K986" s="25"/>
      <c r="L986" s="25"/>
    </row>
    <row r="987" spans="2:12" x14ac:dyDescent="0.25">
      <c r="B987" s="136"/>
      <c r="C987" s="30" t="s">
        <v>330</v>
      </c>
      <c r="D987" s="83">
        <v>13.959459459459456</v>
      </c>
      <c r="E987" s="49">
        <v>5.8261084292897243</v>
      </c>
      <c r="F987" s="108">
        <v>74</v>
      </c>
      <c r="G987" s="25"/>
      <c r="H987" s="25"/>
      <c r="I987" s="25"/>
      <c r="J987" s="25"/>
      <c r="K987" s="25"/>
      <c r="L987" s="25"/>
    </row>
    <row r="988" spans="2:12" x14ac:dyDescent="0.25">
      <c r="B988" s="140"/>
      <c r="C988" s="52" t="s">
        <v>233</v>
      </c>
      <c r="D988" s="87">
        <v>11.013207547169811</v>
      </c>
      <c r="E988" s="55">
        <v>5.1759583264273399</v>
      </c>
      <c r="F988" s="109">
        <v>265</v>
      </c>
      <c r="G988" s="25"/>
      <c r="H988" s="25"/>
      <c r="I988" s="25"/>
      <c r="J988" s="25"/>
      <c r="K988" s="25"/>
      <c r="L988" s="25"/>
    </row>
    <row r="989" spans="2:12" x14ac:dyDescent="0.25">
      <c r="B989" s="141" t="s">
        <v>215</v>
      </c>
      <c r="C989" s="58" t="s">
        <v>327</v>
      </c>
      <c r="D989" s="91">
        <v>8.5249999999999986</v>
      </c>
      <c r="E989" s="61">
        <v>3.0585299186305006</v>
      </c>
      <c r="F989" s="110">
        <v>20</v>
      </c>
      <c r="G989" s="25"/>
      <c r="H989" s="25"/>
      <c r="I989" s="25"/>
      <c r="J989" s="25"/>
      <c r="K989" s="25"/>
      <c r="L989" s="25"/>
    </row>
    <row r="990" spans="2:12" x14ac:dyDescent="0.25">
      <c r="B990" s="136"/>
      <c r="C990" s="30" t="s">
        <v>328</v>
      </c>
      <c r="D990" s="83">
        <v>8.8888888888888893</v>
      </c>
      <c r="E990" s="49">
        <v>3.6620016944638918</v>
      </c>
      <c r="F990" s="108">
        <v>27</v>
      </c>
      <c r="G990" s="25"/>
      <c r="H990" s="25"/>
      <c r="I990" s="25"/>
      <c r="J990" s="25"/>
      <c r="K990" s="25"/>
      <c r="L990" s="25"/>
    </row>
    <row r="991" spans="2:12" x14ac:dyDescent="0.25">
      <c r="B991" s="136"/>
      <c r="C991" s="30" t="s">
        <v>329</v>
      </c>
      <c r="D991" s="83">
        <v>8.5</v>
      </c>
      <c r="E991" s="49">
        <v>2.1213203435596428</v>
      </c>
      <c r="F991" s="108">
        <v>2</v>
      </c>
      <c r="G991" s="25"/>
      <c r="H991" s="25"/>
      <c r="I991" s="25"/>
      <c r="J991" s="25"/>
      <c r="K991" s="25"/>
      <c r="L991" s="25"/>
    </row>
    <row r="992" spans="2:12" x14ac:dyDescent="0.25">
      <c r="B992" s="136"/>
      <c r="C992" s="30" t="s">
        <v>330</v>
      </c>
      <c r="D992" s="83">
        <v>11.022727272727273</v>
      </c>
      <c r="E992" s="49">
        <v>5.6113772028401474</v>
      </c>
      <c r="F992" s="108">
        <v>22</v>
      </c>
      <c r="G992" s="25"/>
      <c r="H992" s="25"/>
      <c r="I992" s="25"/>
      <c r="J992" s="25"/>
      <c r="K992" s="25"/>
      <c r="L992" s="25"/>
    </row>
    <row r="993" spans="2:12" x14ac:dyDescent="0.25">
      <c r="B993" s="140"/>
      <c r="C993" s="52" t="s">
        <v>233</v>
      </c>
      <c r="D993" s="87">
        <v>9.4366197183098581</v>
      </c>
      <c r="E993" s="55">
        <v>4.2660868465012936</v>
      </c>
      <c r="F993" s="109">
        <v>71</v>
      </c>
      <c r="G993" s="25"/>
      <c r="H993" s="25"/>
      <c r="I993" s="25"/>
      <c r="J993" s="25"/>
      <c r="K993" s="25"/>
      <c r="L993" s="25"/>
    </row>
    <row r="994" spans="2:12" ht="16.5" thickBot="1" x14ac:dyDescent="0.3">
      <c r="B994" s="142" t="s">
        <v>233</v>
      </c>
      <c r="C994" s="58" t="s">
        <v>327</v>
      </c>
      <c r="D994" s="91">
        <v>8.5649350649350673</v>
      </c>
      <c r="E994" s="61">
        <v>3.3436415003062252</v>
      </c>
      <c r="F994" s="110">
        <v>77</v>
      </c>
      <c r="G994" s="25"/>
      <c r="H994" s="25"/>
      <c r="I994" s="25"/>
      <c r="J994" s="25"/>
      <c r="K994" s="25"/>
      <c r="L994" s="25"/>
    </row>
    <row r="995" spans="2:12" x14ac:dyDescent="0.25">
      <c r="B995" s="136"/>
      <c r="C995" s="30" t="s">
        <v>328</v>
      </c>
      <c r="D995" s="83">
        <v>10.267241379310343</v>
      </c>
      <c r="E995" s="49">
        <v>4.6482493359387966</v>
      </c>
      <c r="F995" s="108">
        <v>116</v>
      </c>
      <c r="G995" s="25"/>
      <c r="H995" s="25"/>
      <c r="I995" s="25"/>
      <c r="J995" s="25"/>
      <c r="K995" s="25"/>
      <c r="L995" s="25"/>
    </row>
    <row r="996" spans="2:12" x14ac:dyDescent="0.25">
      <c r="B996" s="136"/>
      <c r="C996" s="30" t="s">
        <v>329</v>
      </c>
      <c r="D996" s="83">
        <v>9.8404255319148977</v>
      </c>
      <c r="E996" s="49">
        <v>4.2132121162748577</v>
      </c>
      <c r="F996" s="108">
        <v>47</v>
      </c>
      <c r="G996" s="25"/>
      <c r="H996" s="25"/>
      <c r="I996" s="25"/>
      <c r="J996" s="25"/>
      <c r="K996" s="25"/>
      <c r="L996" s="25"/>
    </row>
    <row r="997" spans="2:12" x14ac:dyDescent="0.25">
      <c r="B997" s="136"/>
      <c r="C997" s="30" t="s">
        <v>330</v>
      </c>
      <c r="D997" s="83">
        <v>13.286458333333332</v>
      </c>
      <c r="E997" s="49">
        <v>5.8807199665144232</v>
      </c>
      <c r="F997" s="108">
        <v>96</v>
      </c>
      <c r="G997" s="25"/>
      <c r="H997" s="25"/>
      <c r="I997" s="25"/>
      <c r="J997" s="25"/>
      <c r="K997" s="25"/>
      <c r="L997" s="25"/>
    </row>
    <row r="998" spans="2:12" ht="16.5" thickBot="1" x14ac:dyDescent="0.3">
      <c r="B998" s="143"/>
      <c r="C998" s="33" t="s">
        <v>233</v>
      </c>
      <c r="D998" s="94">
        <v>10.680059523809533</v>
      </c>
      <c r="E998" s="111">
        <v>5.0329826766353953</v>
      </c>
      <c r="F998" s="112">
        <v>336</v>
      </c>
      <c r="G998" s="25"/>
      <c r="H998" s="25"/>
      <c r="I998" s="25"/>
      <c r="J998" s="25"/>
      <c r="K998" s="25"/>
      <c r="L998" s="25"/>
    </row>
    <row r="999" spans="2:12" x14ac:dyDescent="0.25">
      <c r="B999" s="25"/>
      <c r="C999" s="25"/>
      <c r="D999" s="25"/>
      <c r="E999" s="25"/>
      <c r="F999" s="25"/>
      <c r="G999" s="25"/>
      <c r="H999" s="25"/>
      <c r="I999" s="25"/>
      <c r="J999" s="25"/>
      <c r="K999" s="25"/>
      <c r="L999" s="25"/>
    </row>
    <row r="1000" spans="2:12" x14ac:dyDescent="0.25">
      <c r="B1000" s="144" t="s">
        <v>281</v>
      </c>
      <c r="C1000" s="145"/>
      <c r="D1000" s="145"/>
      <c r="E1000" s="145"/>
      <c r="F1000" s="145"/>
      <c r="G1000" s="145"/>
      <c r="H1000" s="145"/>
      <c r="I1000" s="25"/>
      <c r="J1000" s="25"/>
      <c r="K1000" s="25"/>
      <c r="L1000" s="25"/>
    </row>
    <row r="1001" spans="2:12" ht="16.5" thickBot="1" x14ac:dyDescent="0.3">
      <c r="B1001" s="160" t="s">
        <v>308</v>
      </c>
      <c r="C1001" s="145"/>
      <c r="D1001" s="145"/>
      <c r="E1001" s="145"/>
      <c r="F1001" s="145"/>
      <c r="G1001" s="145"/>
      <c r="H1001" s="145"/>
      <c r="I1001" s="25"/>
      <c r="J1001" s="25"/>
      <c r="K1001" s="25"/>
      <c r="L1001" s="25"/>
    </row>
    <row r="1002" spans="2:12" ht="25.5" thickBot="1" x14ac:dyDescent="0.3">
      <c r="B1002" s="161" t="s">
        <v>282</v>
      </c>
      <c r="C1002" s="147"/>
      <c r="D1002" s="77" t="s">
        <v>283</v>
      </c>
      <c r="E1002" s="78" t="s">
        <v>236</v>
      </c>
      <c r="F1002" s="78" t="s">
        <v>237</v>
      </c>
      <c r="G1002" s="78" t="s">
        <v>238</v>
      </c>
      <c r="H1002" s="79" t="s">
        <v>239</v>
      </c>
      <c r="I1002" s="25"/>
      <c r="J1002" s="25"/>
      <c r="K1002" s="25"/>
      <c r="L1002" s="25"/>
    </row>
    <row r="1003" spans="2:12" x14ac:dyDescent="0.25">
      <c r="B1003" s="159" t="s">
        <v>285</v>
      </c>
      <c r="C1003" s="41" t="s">
        <v>286</v>
      </c>
      <c r="D1003" s="80">
        <v>9195.9894625788475</v>
      </c>
      <c r="E1003" s="81">
        <v>1</v>
      </c>
      <c r="F1003" s="43">
        <v>9195.9894625788475</v>
      </c>
      <c r="G1003" s="43">
        <v>96.898648088717223</v>
      </c>
      <c r="H1003" s="82">
        <v>6.6659218774772777E-4</v>
      </c>
      <c r="I1003" s="25"/>
      <c r="J1003" s="25"/>
      <c r="K1003" s="25"/>
      <c r="L1003" s="25"/>
    </row>
    <row r="1004" spans="2:12" x14ac:dyDescent="0.25">
      <c r="B1004" s="136"/>
      <c r="C1004" s="30" t="s">
        <v>287</v>
      </c>
      <c r="D1004" s="83">
        <v>371.25169014432896</v>
      </c>
      <c r="E1004" s="48">
        <v>3.9118995320758696</v>
      </c>
      <c r="F1004" s="48">
        <v>94.90317609136612</v>
      </c>
      <c r="G1004" s="85"/>
      <c r="H1004" s="86"/>
      <c r="I1004" s="25"/>
      <c r="J1004" s="25"/>
      <c r="K1004" s="25"/>
      <c r="L1004" s="25"/>
    </row>
    <row r="1005" spans="2:12" x14ac:dyDescent="0.25">
      <c r="B1005" s="135" t="s">
        <v>14</v>
      </c>
      <c r="C1005" s="30" t="s">
        <v>286</v>
      </c>
      <c r="D1005" s="83">
        <v>54.922314434418894</v>
      </c>
      <c r="E1005" s="84">
        <v>1</v>
      </c>
      <c r="F1005" s="48">
        <v>54.922314434418894</v>
      </c>
      <c r="G1005" s="48">
        <v>2.489782470753557</v>
      </c>
      <c r="H1005" s="113">
        <v>0.13737657860015054</v>
      </c>
      <c r="I1005" s="25"/>
      <c r="J1005" s="25"/>
      <c r="K1005" s="25"/>
      <c r="L1005" s="25"/>
    </row>
    <row r="1006" spans="2:12" x14ac:dyDescent="0.25">
      <c r="B1006" s="136"/>
      <c r="C1006" s="30" t="s">
        <v>287</v>
      </c>
      <c r="D1006" s="83">
        <v>302.41532391394753</v>
      </c>
      <c r="E1006" s="48">
        <v>13.709334359302698</v>
      </c>
      <c r="F1006" s="48">
        <v>22.059081497909382</v>
      </c>
      <c r="G1006" s="85"/>
      <c r="H1006" s="86"/>
      <c r="I1006" s="25"/>
      <c r="J1006" s="25"/>
      <c r="K1006" s="25"/>
      <c r="L1006" s="25"/>
    </row>
    <row r="1007" spans="2:12" x14ac:dyDescent="0.25">
      <c r="B1007" s="135" t="s">
        <v>326</v>
      </c>
      <c r="C1007" s="30" t="s">
        <v>286</v>
      </c>
      <c r="D1007" s="83">
        <v>537.52270374283546</v>
      </c>
      <c r="E1007" s="84">
        <v>3</v>
      </c>
      <c r="F1007" s="48">
        <v>179.17423458094515</v>
      </c>
      <c r="G1007" s="48">
        <v>8.1017942545119208</v>
      </c>
      <c r="H1007" s="113">
        <v>5.9744627372107388E-2</v>
      </c>
      <c r="I1007" s="25"/>
      <c r="J1007" s="25"/>
      <c r="K1007" s="25"/>
      <c r="L1007" s="25"/>
    </row>
    <row r="1008" spans="2:12" x14ac:dyDescent="0.25">
      <c r="B1008" s="136"/>
      <c r="C1008" s="30" t="s">
        <v>287</v>
      </c>
      <c r="D1008" s="83">
        <v>66.346131098489323</v>
      </c>
      <c r="E1008" s="84">
        <v>3</v>
      </c>
      <c r="F1008" s="48">
        <v>22.115377032829773</v>
      </c>
      <c r="G1008" s="85"/>
      <c r="H1008" s="86"/>
      <c r="I1008" s="25"/>
      <c r="J1008" s="25"/>
      <c r="K1008" s="25"/>
      <c r="L1008" s="25"/>
    </row>
    <row r="1009" spans="2:12" ht="16.5" thickBot="1" x14ac:dyDescent="0.3">
      <c r="B1009" s="148" t="s">
        <v>342</v>
      </c>
      <c r="C1009" s="30" t="s">
        <v>286</v>
      </c>
      <c r="D1009" s="83">
        <v>66.346131098489323</v>
      </c>
      <c r="E1009" s="84">
        <v>3</v>
      </c>
      <c r="F1009" s="48">
        <v>22.115377032829773</v>
      </c>
      <c r="G1009" s="48">
        <v>1.0047700230251289</v>
      </c>
      <c r="H1009" s="113">
        <v>0.3908382397608271</v>
      </c>
      <c r="I1009" s="25"/>
      <c r="J1009" s="25"/>
      <c r="K1009" s="25"/>
      <c r="L1009" s="25"/>
    </row>
    <row r="1010" spans="2:12" ht="16.5" thickBot="1" x14ac:dyDescent="0.3">
      <c r="B1010" s="143"/>
      <c r="C1010" s="33" t="s">
        <v>287</v>
      </c>
      <c r="D1010" s="94">
        <v>7219.4069294867386</v>
      </c>
      <c r="E1010" s="95">
        <v>328</v>
      </c>
      <c r="F1010" s="114">
        <v>22.010386980142496</v>
      </c>
      <c r="G1010" s="96"/>
      <c r="H1010" s="97"/>
      <c r="I1010" s="25"/>
      <c r="J1010" s="25"/>
      <c r="K1010" s="25"/>
      <c r="L1010" s="25"/>
    </row>
    <row r="1011" spans="2:12" x14ac:dyDescent="0.25">
      <c r="B1011" s="25"/>
      <c r="C1011" s="25"/>
      <c r="D1011" s="25"/>
      <c r="E1011" s="25"/>
      <c r="F1011" s="25"/>
      <c r="G1011" s="25"/>
      <c r="H1011" s="25"/>
      <c r="I1011" s="25"/>
      <c r="J1011" s="25"/>
      <c r="K1011" s="25"/>
      <c r="L1011" s="25"/>
    </row>
    <row r="1012" spans="2:12" x14ac:dyDescent="0.25">
      <c r="B1012" s="25"/>
      <c r="C1012" s="25"/>
      <c r="D1012" s="25"/>
      <c r="E1012" s="25"/>
      <c r="F1012" s="25"/>
      <c r="G1012" s="25"/>
      <c r="H1012" s="25"/>
      <c r="I1012" s="25"/>
      <c r="J1012" s="25"/>
      <c r="K1012" s="25"/>
      <c r="L1012" s="25"/>
    </row>
    <row r="1013" spans="2:12" x14ac:dyDescent="0.25">
      <c r="B1013" s="25"/>
      <c r="C1013" s="25"/>
      <c r="D1013" s="25"/>
      <c r="E1013" s="25"/>
      <c r="F1013" s="25"/>
      <c r="G1013" s="25"/>
      <c r="H1013" s="25"/>
      <c r="I1013" s="25"/>
      <c r="J1013" s="25"/>
      <c r="K1013" s="25"/>
      <c r="L1013" s="25"/>
    </row>
    <row r="1014" spans="2:12" x14ac:dyDescent="0.25">
      <c r="B1014" s="25"/>
      <c r="C1014" s="25"/>
      <c r="D1014" s="25"/>
      <c r="E1014" s="25"/>
      <c r="F1014" s="25"/>
      <c r="G1014" s="25"/>
      <c r="H1014" s="25"/>
      <c r="I1014" s="25"/>
      <c r="J1014" s="25"/>
      <c r="K1014" s="25"/>
      <c r="L1014" s="25"/>
    </row>
    <row r="1015" spans="2:12" x14ac:dyDescent="0.25">
      <c r="B1015" s="25"/>
      <c r="C1015" s="25"/>
      <c r="D1015" s="25"/>
      <c r="E1015" s="25"/>
      <c r="F1015" s="25"/>
      <c r="G1015" s="25"/>
      <c r="H1015" s="25"/>
      <c r="I1015" s="25"/>
      <c r="J1015" s="25"/>
      <c r="K1015" s="25"/>
      <c r="L1015" s="25"/>
    </row>
    <row r="1016" spans="2:12" ht="16.5" thickBot="1" x14ac:dyDescent="0.3">
      <c r="B1016" s="144" t="s">
        <v>293</v>
      </c>
      <c r="C1016" s="145"/>
      <c r="D1016" s="145"/>
      <c r="E1016" s="145"/>
      <c r="F1016" s="145"/>
      <c r="G1016" s="25"/>
      <c r="H1016" s="25"/>
      <c r="I1016" s="25"/>
      <c r="J1016" s="25"/>
      <c r="K1016" s="25"/>
      <c r="L1016" s="25"/>
    </row>
    <row r="1017" spans="2:12" ht="16.5" thickBot="1" x14ac:dyDescent="0.3">
      <c r="B1017" s="161" t="s">
        <v>282</v>
      </c>
      <c r="C1017" s="164" t="s">
        <v>294</v>
      </c>
      <c r="D1017" s="165"/>
      <c r="E1017" s="165"/>
      <c r="F1017" s="132"/>
      <c r="G1017" s="25"/>
      <c r="H1017" s="25"/>
      <c r="I1017" s="25"/>
      <c r="J1017" s="25"/>
      <c r="K1017" s="25"/>
      <c r="L1017" s="25"/>
    </row>
    <row r="1018" spans="2:12" ht="25.5" thickBot="1" x14ac:dyDescent="0.3">
      <c r="B1018" s="163"/>
      <c r="C1018" s="115" t="s">
        <v>334</v>
      </c>
      <c r="D1018" s="40" t="s">
        <v>343</v>
      </c>
      <c r="E1018" s="40" t="s">
        <v>299</v>
      </c>
      <c r="F1018" s="116" t="s">
        <v>300</v>
      </c>
      <c r="G1018" s="25"/>
      <c r="H1018" s="25"/>
      <c r="I1018" s="25"/>
      <c r="J1018" s="25"/>
      <c r="K1018" s="25"/>
      <c r="L1018" s="25"/>
    </row>
    <row r="1019" spans="2:12" ht="24" x14ac:dyDescent="0.25">
      <c r="B1019" s="35" t="s">
        <v>285</v>
      </c>
      <c r="C1019" s="80">
        <v>22.955288753905077</v>
      </c>
      <c r="D1019" s="43">
        <v>11.477644376952505</v>
      </c>
      <c r="E1019" s="43">
        <v>1</v>
      </c>
      <c r="F1019" s="117" t="s">
        <v>344</v>
      </c>
      <c r="G1019" s="25"/>
      <c r="H1019" s="25"/>
      <c r="I1019" s="25"/>
      <c r="J1019" s="25"/>
      <c r="K1019" s="25"/>
      <c r="L1019" s="25"/>
    </row>
    <row r="1020" spans="2:12" ht="24" x14ac:dyDescent="0.25">
      <c r="B1020" s="37" t="s">
        <v>14</v>
      </c>
      <c r="C1020" s="83">
        <v>0</v>
      </c>
      <c r="D1020" s="48">
        <v>11.477644376952624</v>
      </c>
      <c r="E1020" s="48">
        <v>0.99999999999999989</v>
      </c>
      <c r="F1020" s="118" t="s">
        <v>14</v>
      </c>
      <c r="G1020" s="25"/>
      <c r="H1020" s="25"/>
      <c r="I1020" s="25"/>
      <c r="J1020" s="25"/>
      <c r="K1020" s="25"/>
      <c r="L1020" s="25"/>
    </row>
    <row r="1021" spans="2:12" x14ac:dyDescent="0.25">
      <c r="B1021" s="37" t="s">
        <v>326</v>
      </c>
      <c r="C1021" s="83">
        <v>49.493805180733005</v>
      </c>
      <c r="D1021" s="48">
        <v>24.746902590366485</v>
      </c>
      <c r="E1021" s="48">
        <v>1</v>
      </c>
      <c r="F1021" s="86"/>
      <c r="G1021" s="25"/>
      <c r="H1021" s="25"/>
      <c r="I1021" s="25"/>
      <c r="J1021" s="25"/>
      <c r="K1021" s="25"/>
      <c r="L1021" s="25"/>
    </row>
    <row r="1022" spans="2:12" ht="24" x14ac:dyDescent="0.25">
      <c r="B1022" s="37" t="s">
        <v>342</v>
      </c>
      <c r="C1022" s="83">
        <v>0</v>
      </c>
      <c r="D1022" s="48">
        <v>24.746902590366492</v>
      </c>
      <c r="E1022" s="48">
        <v>1</v>
      </c>
      <c r="F1022" s="86"/>
      <c r="G1022" s="25"/>
      <c r="H1022" s="25"/>
      <c r="I1022" s="25"/>
      <c r="J1022" s="25"/>
      <c r="K1022" s="25"/>
      <c r="L1022" s="25"/>
    </row>
    <row r="1023" spans="2:12" ht="16.5" thickBot="1" x14ac:dyDescent="0.3">
      <c r="B1023" s="38" t="s">
        <v>287</v>
      </c>
      <c r="C1023" s="94">
        <v>0</v>
      </c>
      <c r="D1023" s="114">
        <v>0</v>
      </c>
      <c r="E1023" s="114">
        <v>1</v>
      </c>
      <c r="F1023" s="97"/>
      <c r="G1023" s="25"/>
      <c r="H1023" s="25"/>
      <c r="I1023" s="25"/>
      <c r="J1023" s="25"/>
      <c r="K1023" s="25"/>
      <c r="L1023" s="25"/>
    </row>
    <row r="1024" spans="2:12" x14ac:dyDescent="0.25">
      <c r="B1024" s="25"/>
      <c r="C1024" s="25"/>
      <c r="D1024" s="25"/>
      <c r="E1024" s="25"/>
      <c r="F1024" s="25"/>
      <c r="G1024" s="25"/>
      <c r="H1024" s="25"/>
      <c r="I1024" s="25"/>
      <c r="J1024" s="25"/>
      <c r="K1024" s="25"/>
      <c r="L1024" s="25"/>
    </row>
    <row r="1025" spans="2:12" x14ac:dyDescent="0.25">
      <c r="B1025" s="25"/>
      <c r="C1025" s="25"/>
      <c r="D1025" s="25"/>
      <c r="E1025" s="25"/>
      <c r="F1025" s="25"/>
      <c r="G1025" s="25"/>
      <c r="H1025" s="25"/>
      <c r="I1025" s="25"/>
      <c r="J1025" s="25"/>
      <c r="K1025" s="25"/>
      <c r="L1025" s="25"/>
    </row>
    <row r="1026" spans="2:12" x14ac:dyDescent="0.25">
      <c r="B1026" s="25"/>
      <c r="C1026" s="25"/>
      <c r="D1026" s="25"/>
      <c r="E1026" s="25"/>
      <c r="F1026" s="25"/>
      <c r="G1026" s="25"/>
      <c r="H1026" s="25"/>
      <c r="I1026" s="25"/>
      <c r="J1026" s="25"/>
      <c r="K1026" s="25"/>
      <c r="L1026" s="25"/>
    </row>
    <row r="1027" spans="2:12" x14ac:dyDescent="0.25">
      <c r="B1027" s="25"/>
      <c r="C1027" s="25"/>
      <c r="D1027" s="25"/>
      <c r="E1027" s="25"/>
      <c r="F1027" s="25"/>
      <c r="G1027" s="25"/>
      <c r="H1027" s="25"/>
      <c r="I1027" s="25"/>
      <c r="J1027" s="25"/>
      <c r="K1027" s="25"/>
      <c r="L1027" s="25"/>
    </row>
    <row r="1028" spans="2:12" x14ac:dyDescent="0.25">
      <c r="B1028" s="26" t="s">
        <v>348</v>
      </c>
      <c r="C1028" s="25"/>
      <c r="D1028" s="25"/>
      <c r="E1028" s="25"/>
      <c r="F1028" s="25"/>
      <c r="G1028" s="25"/>
      <c r="H1028" s="25"/>
      <c r="I1028" s="25"/>
      <c r="J1028" s="25"/>
      <c r="K1028" s="25"/>
      <c r="L1028" s="25"/>
    </row>
    <row r="1029" spans="2:12" x14ac:dyDescent="0.25">
      <c r="B1029" s="26" t="s">
        <v>321</v>
      </c>
      <c r="C1029" s="25"/>
      <c r="D1029" s="25"/>
      <c r="E1029" s="25"/>
      <c r="F1029" s="25"/>
      <c r="G1029" s="25"/>
      <c r="H1029" s="25"/>
      <c r="I1029" s="25"/>
      <c r="J1029" s="25"/>
      <c r="K1029" s="25"/>
      <c r="L1029" s="25"/>
    </row>
    <row r="1030" spans="2:12" x14ac:dyDescent="0.25">
      <c r="B1030" s="26" t="s">
        <v>260</v>
      </c>
      <c r="C1030" s="25"/>
      <c r="D1030" s="25"/>
      <c r="E1030" s="25"/>
      <c r="F1030" s="25"/>
      <c r="G1030" s="25"/>
      <c r="H1030" s="25"/>
      <c r="I1030" s="25"/>
      <c r="J1030" s="25"/>
      <c r="K1030" s="25"/>
      <c r="L1030" s="25"/>
    </row>
    <row r="1031" spans="2:12" x14ac:dyDescent="0.25">
      <c r="B1031" s="26" t="s">
        <v>261</v>
      </c>
      <c r="C1031" s="25"/>
      <c r="D1031" s="25"/>
      <c r="E1031" s="25"/>
      <c r="F1031" s="25"/>
      <c r="G1031" s="25"/>
      <c r="H1031" s="25"/>
      <c r="I1031" s="25"/>
      <c r="J1031" s="25"/>
      <c r="K1031" s="25"/>
      <c r="L1031" s="25"/>
    </row>
    <row r="1032" spans="2:12" x14ac:dyDescent="0.25">
      <c r="B1032" s="26" t="s">
        <v>314</v>
      </c>
      <c r="C1032" s="25"/>
      <c r="D1032" s="25"/>
      <c r="E1032" s="25"/>
      <c r="F1032" s="25"/>
      <c r="G1032" s="25"/>
      <c r="H1032" s="25"/>
      <c r="I1032" s="25"/>
      <c r="J1032" s="25"/>
      <c r="K1032" s="25"/>
      <c r="L1032" s="25"/>
    </row>
    <row r="1033" spans="2:12" x14ac:dyDescent="0.25">
      <c r="B1033" s="26" t="s">
        <v>263</v>
      </c>
      <c r="C1033" s="25"/>
      <c r="D1033" s="25"/>
      <c r="E1033" s="25"/>
      <c r="F1033" s="25"/>
      <c r="G1033" s="25"/>
      <c r="H1033" s="25"/>
      <c r="I1033" s="25"/>
      <c r="J1033" s="25"/>
      <c r="K1033" s="25"/>
      <c r="L1033" s="25"/>
    </row>
    <row r="1034" spans="2:12" x14ac:dyDescent="0.25">
      <c r="B1034" s="26" t="s">
        <v>339</v>
      </c>
      <c r="C1034" s="25"/>
      <c r="D1034" s="25"/>
      <c r="E1034" s="25"/>
      <c r="F1034" s="25"/>
      <c r="G1034" s="25"/>
      <c r="H1034" s="25"/>
      <c r="I1034" s="25"/>
      <c r="J1034" s="25"/>
      <c r="K1034" s="25"/>
      <c r="L1034" s="25"/>
    </row>
    <row r="1035" spans="2:12" x14ac:dyDescent="0.25">
      <c r="B1035" s="25"/>
      <c r="C1035" s="25"/>
      <c r="D1035" s="25"/>
      <c r="E1035" s="25"/>
      <c r="F1035" s="25"/>
      <c r="G1035" s="25"/>
      <c r="H1035" s="25"/>
      <c r="I1035" s="25"/>
      <c r="J1035" s="25"/>
      <c r="K1035" s="25"/>
      <c r="L1035" s="25"/>
    </row>
    <row r="1036" spans="2:12" x14ac:dyDescent="0.25">
      <c r="B1036" s="25"/>
      <c r="C1036" s="25"/>
      <c r="D1036" s="25"/>
      <c r="E1036" s="25"/>
      <c r="F1036" s="25"/>
      <c r="G1036" s="25"/>
      <c r="H1036" s="25"/>
      <c r="I1036" s="25"/>
      <c r="J1036" s="25"/>
      <c r="K1036" s="25"/>
      <c r="L1036" s="25"/>
    </row>
    <row r="1037" spans="2:12" ht="16.5" x14ac:dyDescent="0.25">
      <c r="B1037" s="27" t="s">
        <v>268</v>
      </c>
      <c r="C1037" s="25"/>
      <c r="D1037" s="25"/>
      <c r="E1037" s="25"/>
      <c r="F1037" s="25"/>
      <c r="G1037" s="25"/>
      <c r="H1037" s="25"/>
      <c r="I1037" s="25"/>
      <c r="J1037" s="25"/>
      <c r="K1037" s="25"/>
      <c r="L1037" s="25"/>
    </row>
    <row r="1038" spans="2:12" x14ac:dyDescent="0.25">
      <c r="B1038" s="25"/>
      <c r="C1038" s="25"/>
      <c r="D1038" s="25"/>
      <c r="E1038" s="25"/>
      <c r="F1038" s="25"/>
      <c r="G1038" s="25"/>
      <c r="H1038" s="25"/>
      <c r="I1038" s="25"/>
      <c r="J1038" s="25"/>
      <c r="K1038" s="25"/>
      <c r="L1038" s="25"/>
    </row>
    <row r="1039" spans="2:12" ht="16.5" thickBot="1" x14ac:dyDescent="0.3">
      <c r="B1039" s="129" t="s">
        <v>15</v>
      </c>
      <c r="C1039" s="130"/>
      <c r="D1039" s="130"/>
      <c r="E1039" s="25"/>
      <c r="F1039" s="25"/>
      <c r="G1039" s="25"/>
      <c r="H1039" s="25"/>
      <c r="I1039" s="25"/>
      <c r="J1039" s="25"/>
      <c r="K1039" s="25"/>
      <c r="L1039" s="25"/>
    </row>
    <row r="1040" spans="2:12" x14ac:dyDescent="0.25">
      <c r="B1040" s="131" t="s">
        <v>189</v>
      </c>
      <c r="C1040" s="132"/>
      <c r="D1040" s="28" t="s">
        <v>349</v>
      </c>
      <c r="E1040" s="25"/>
      <c r="F1040" s="25"/>
      <c r="G1040" s="25"/>
      <c r="H1040" s="25"/>
      <c r="I1040" s="25"/>
      <c r="J1040" s="25"/>
      <c r="K1040" s="25"/>
      <c r="L1040" s="25"/>
    </row>
    <row r="1041" spans="2:12" x14ac:dyDescent="0.25">
      <c r="B1041" s="133" t="s">
        <v>191</v>
      </c>
      <c r="C1041" s="134"/>
      <c r="D1041" s="29" t="s">
        <v>192</v>
      </c>
      <c r="E1041" s="25"/>
      <c r="F1041" s="25"/>
      <c r="G1041" s="25"/>
      <c r="H1041" s="25"/>
      <c r="I1041" s="25"/>
      <c r="J1041" s="25"/>
      <c r="K1041" s="25"/>
      <c r="L1041" s="25"/>
    </row>
    <row r="1042" spans="2:12" ht="96" x14ac:dyDescent="0.25">
      <c r="B1042" s="135" t="s">
        <v>193</v>
      </c>
      <c r="C1042" s="30" t="s">
        <v>270</v>
      </c>
      <c r="D1042" s="29" t="s">
        <v>271</v>
      </c>
      <c r="E1042" s="25"/>
      <c r="F1042" s="25"/>
      <c r="G1042" s="25"/>
      <c r="H1042" s="25"/>
      <c r="I1042" s="25"/>
      <c r="J1042" s="25"/>
      <c r="K1042" s="25"/>
      <c r="L1042" s="25"/>
    </row>
    <row r="1043" spans="2:12" ht="24" x14ac:dyDescent="0.25">
      <c r="B1043" s="136"/>
      <c r="C1043" s="30" t="s">
        <v>194</v>
      </c>
      <c r="D1043" s="29" t="s">
        <v>195</v>
      </c>
      <c r="E1043" s="25"/>
      <c r="F1043" s="25"/>
      <c r="G1043" s="25"/>
      <c r="H1043" s="25"/>
      <c r="I1043" s="25"/>
      <c r="J1043" s="25"/>
      <c r="K1043" s="25"/>
      <c r="L1043" s="25"/>
    </row>
    <row r="1044" spans="2:12" ht="24" x14ac:dyDescent="0.25">
      <c r="B1044" s="136"/>
      <c r="C1044" s="30" t="s">
        <v>196</v>
      </c>
      <c r="D1044" s="29" t="s">
        <v>272</v>
      </c>
      <c r="E1044" s="25"/>
      <c r="F1044" s="25"/>
      <c r="G1044" s="25"/>
      <c r="H1044" s="25"/>
      <c r="I1044" s="25"/>
      <c r="J1044" s="25"/>
      <c r="K1044" s="25"/>
      <c r="L1044" s="25"/>
    </row>
    <row r="1045" spans="2:12" x14ac:dyDescent="0.25">
      <c r="B1045" s="136"/>
      <c r="C1045" s="30" t="s">
        <v>198</v>
      </c>
      <c r="D1045" s="29" t="s">
        <v>197</v>
      </c>
      <c r="E1045" s="25"/>
      <c r="F1045" s="25"/>
      <c r="G1045" s="25"/>
      <c r="H1045" s="25"/>
      <c r="I1045" s="25"/>
      <c r="J1045" s="25"/>
      <c r="K1045" s="25"/>
      <c r="L1045" s="25"/>
    </row>
    <row r="1046" spans="2:12" x14ac:dyDescent="0.25">
      <c r="B1046" s="136"/>
      <c r="C1046" s="30" t="s">
        <v>199</v>
      </c>
      <c r="D1046" s="29" t="s">
        <v>197</v>
      </c>
      <c r="E1046" s="25"/>
      <c r="F1046" s="25"/>
      <c r="G1046" s="25"/>
      <c r="H1046" s="25"/>
      <c r="I1046" s="25"/>
      <c r="J1046" s="25"/>
      <c r="K1046" s="25"/>
      <c r="L1046" s="25"/>
    </row>
    <row r="1047" spans="2:12" ht="36" x14ac:dyDescent="0.25">
      <c r="B1047" s="136"/>
      <c r="C1047" s="30" t="s">
        <v>200</v>
      </c>
      <c r="D1047" s="31">
        <v>336</v>
      </c>
      <c r="E1047" s="25"/>
      <c r="F1047" s="25"/>
      <c r="G1047" s="25"/>
      <c r="H1047" s="25"/>
      <c r="I1047" s="25"/>
      <c r="J1047" s="25"/>
      <c r="K1047" s="25"/>
      <c r="L1047" s="25"/>
    </row>
    <row r="1048" spans="2:12" ht="36" x14ac:dyDescent="0.25">
      <c r="B1048" s="135" t="s">
        <v>201</v>
      </c>
      <c r="C1048" s="30" t="s">
        <v>202</v>
      </c>
      <c r="D1048" s="29" t="s">
        <v>203</v>
      </c>
      <c r="E1048" s="25"/>
      <c r="F1048" s="25"/>
      <c r="G1048" s="25"/>
      <c r="H1048" s="25"/>
      <c r="I1048" s="25"/>
      <c r="J1048" s="25"/>
      <c r="K1048" s="25"/>
      <c r="L1048" s="25"/>
    </row>
    <row r="1049" spans="2:12" ht="48" x14ac:dyDescent="0.25">
      <c r="B1049" s="136"/>
      <c r="C1049" s="30" t="s">
        <v>204</v>
      </c>
      <c r="D1049" s="29" t="s">
        <v>273</v>
      </c>
      <c r="E1049" s="25"/>
      <c r="F1049" s="25"/>
      <c r="G1049" s="25"/>
      <c r="H1049" s="25"/>
      <c r="I1049" s="25"/>
      <c r="J1049" s="25"/>
      <c r="K1049" s="25"/>
      <c r="L1049" s="25"/>
    </row>
    <row r="1050" spans="2:12" ht="252" x14ac:dyDescent="0.25">
      <c r="B1050" s="133" t="s">
        <v>206</v>
      </c>
      <c r="C1050" s="134"/>
      <c r="D1050" s="29" t="s">
        <v>350</v>
      </c>
      <c r="E1050" s="25"/>
      <c r="F1050" s="25"/>
      <c r="G1050" s="25"/>
      <c r="H1050" s="25"/>
      <c r="I1050" s="25"/>
      <c r="J1050" s="25"/>
      <c r="K1050" s="25"/>
      <c r="L1050" s="25"/>
    </row>
    <row r="1051" spans="2:12" ht="24.75" thickBot="1" x14ac:dyDescent="0.3">
      <c r="B1051" s="148" t="s">
        <v>208</v>
      </c>
      <c r="C1051" s="30" t="s">
        <v>209</v>
      </c>
      <c r="D1051" s="32" t="s">
        <v>275</v>
      </c>
      <c r="E1051" s="25"/>
      <c r="F1051" s="25"/>
      <c r="G1051" s="25"/>
      <c r="H1051" s="25"/>
      <c r="I1051" s="25"/>
      <c r="J1051" s="25"/>
      <c r="K1051" s="25"/>
      <c r="L1051" s="25"/>
    </row>
    <row r="1052" spans="2:12" ht="24.75" thickBot="1" x14ac:dyDescent="0.3">
      <c r="B1052" s="143"/>
      <c r="C1052" s="33" t="s">
        <v>211</v>
      </c>
      <c r="D1052" s="34" t="s">
        <v>351</v>
      </c>
      <c r="E1052" s="25"/>
      <c r="F1052" s="25"/>
      <c r="G1052" s="25"/>
      <c r="H1052" s="25"/>
      <c r="I1052" s="25"/>
      <c r="J1052" s="25"/>
      <c r="K1052" s="25"/>
      <c r="L1052" s="25"/>
    </row>
    <row r="1053" spans="2:12" x14ac:dyDescent="0.25">
      <c r="B1053" s="25"/>
      <c r="C1053" s="25"/>
      <c r="D1053" s="25"/>
      <c r="E1053" s="25"/>
      <c r="F1053" s="25"/>
      <c r="G1053" s="25"/>
      <c r="H1053" s="25"/>
      <c r="I1053" s="25"/>
      <c r="J1053" s="25"/>
      <c r="K1053" s="25"/>
      <c r="L1053" s="25"/>
    </row>
    <row r="1054" spans="2:12" x14ac:dyDescent="0.25">
      <c r="B1054" s="25"/>
      <c r="C1054" s="25"/>
      <c r="D1054" s="25"/>
      <c r="E1054" s="25"/>
      <c r="F1054" s="25"/>
      <c r="G1054" s="25"/>
      <c r="H1054" s="25"/>
      <c r="I1054" s="25"/>
      <c r="J1054" s="25"/>
      <c r="K1054" s="25"/>
      <c r="L1054" s="25"/>
    </row>
    <row r="1055" spans="2:12" x14ac:dyDescent="0.25">
      <c r="B1055" s="26" t="s">
        <v>277</v>
      </c>
      <c r="C1055" s="25"/>
      <c r="D1055" s="25"/>
      <c r="E1055" s="25"/>
      <c r="F1055" s="25"/>
      <c r="G1055" s="25"/>
      <c r="H1055" s="25"/>
      <c r="I1055" s="25"/>
      <c r="J1055" s="25"/>
      <c r="K1055" s="25"/>
      <c r="L1055" s="25"/>
    </row>
    <row r="1056" spans="2:12" x14ac:dyDescent="0.25">
      <c r="B1056" s="25"/>
      <c r="C1056" s="25"/>
      <c r="D1056" s="25"/>
      <c r="E1056" s="25"/>
      <c r="F1056" s="25"/>
      <c r="G1056" s="25"/>
      <c r="H1056" s="25"/>
      <c r="I1056" s="25"/>
      <c r="J1056" s="25"/>
      <c r="K1056" s="25"/>
      <c r="L1056" s="25"/>
    </row>
    <row r="1057" spans="2:12" ht="16.5" thickBot="1" x14ac:dyDescent="0.3">
      <c r="B1057" s="144" t="s">
        <v>278</v>
      </c>
      <c r="C1057" s="145"/>
      <c r="D1057" s="145"/>
      <c r="E1057" s="25"/>
      <c r="F1057" s="25"/>
      <c r="G1057" s="25"/>
      <c r="H1057" s="25"/>
      <c r="I1057" s="25"/>
      <c r="J1057" s="25"/>
      <c r="K1057" s="25"/>
      <c r="L1057" s="25"/>
    </row>
    <row r="1058" spans="2:12" ht="16.5" thickBot="1" x14ac:dyDescent="0.3">
      <c r="B1058" s="146" t="s">
        <v>192</v>
      </c>
      <c r="C1058" s="147"/>
      <c r="D1058" s="101" t="s">
        <v>223</v>
      </c>
      <c r="E1058" s="25"/>
      <c r="F1058" s="25"/>
      <c r="G1058" s="25"/>
      <c r="H1058" s="25"/>
      <c r="I1058" s="25"/>
      <c r="J1058" s="25"/>
      <c r="K1058" s="25"/>
      <c r="L1058" s="25"/>
    </row>
    <row r="1059" spans="2:12" x14ac:dyDescent="0.25">
      <c r="B1059" s="159" t="s">
        <v>14</v>
      </c>
      <c r="C1059" s="41" t="s">
        <v>232</v>
      </c>
      <c r="D1059" s="102">
        <v>265</v>
      </c>
      <c r="E1059" s="25"/>
      <c r="F1059" s="25"/>
      <c r="G1059" s="25"/>
      <c r="H1059" s="25"/>
      <c r="I1059" s="25"/>
      <c r="J1059" s="25"/>
      <c r="K1059" s="25"/>
      <c r="L1059" s="25"/>
    </row>
    <row r="1060" spans="2:12" x14ac:dyDescent="0.25">
      <c r="B1060" s="136"/>
      <c r="C1060" s="30" t="s">
        <v>215</v>
      </c>
      <c r="D1060" s="31">
        <v>71</v>
      </c>
      <c r="E1060" s="25"/>
      <c r="F1060" s="25"/>
      <c r="G1060" s="25"/>
      <c r="H1060" s="25"/>
      <c r="I1060" s="25"/>
      <c r="J1060" s="25"/>
      <c r="K1060" s="25"/>
      <c r="L1060" s="25"/>
    </row>
    <row r="1061" spans="2:12" ht="16.5" thickBot="1" x14ac:dyDescent="0.3">
      <c r="B1061" s="148" t="s">
        <v>326</v>
      </c>
      <c r="C1061" s="30" t="s">
        <v>327</v>
      </c>
      <c r="D1061" s="31">
        <v>77</v>
      </c>
      <c r="E1061" s="25"/>
      <c r="F1061" s="25"/>
      <c r="G1061" s="25"/>
      <c r="H1061" s="25"/>
      <c r="I1061" s="25"/>
      <c r="J1061" s="25"/>
      <c r="K1061" s="25"/>
      <c r="L1061" s="25"/>
    </row>
    <row r="1062" spans="2:12" x14ac:dyDescent="0.25">
      <c r="B1062" s="136"/>
      <c r="C1062" s="30" t="s">
        <v>328</v>
      </c>
      <c r="D1062" s="31">
        <v>116</v>
      </c>
      <c r="E1062" s="25"/>
      <c r="F1062" s="25"/>
      <c r="G1062" s="25"/>
      <c r="H1062" s="25"/>
      <c r="I1062" s="25"/>
      <c r="J1062" s="25"/>
      <c r="K1062" s="25"/>
      <c r="L1062" s="25"/>
    </row>
    <row r="1063" spans="2:12" x14ac:dyDescent="0.25">
      <c r="B1063" s="136"/>
      <c r="C1063" s="30" t="s">
        <v>329</v>
      </c>
      <c r="D1063" s="31">
        <v>47</v>
      </c>
      <c r="E1063" s="25"/>
      <c r="F1063" s="25"/>
      <c r="G1063" s="25"/>
      <c r="H1063" s="25"/>
      <c r="I1063" s="25"/>
      <c r="J1063" s="25"/>
      <c r="K1063" s="25"/>
      <c r="L1063" s="25"/>
    </row>
    <row r="1064" spans="2:12" ht="16.5" thickBot="1" x14ac:dyDescent="0.3">
      <c r="B1064" s="143"/>
      <c r="C1064" s="33" t="s">
        <v>330</v>
      </c>
      <c r="D1064" s="103">
        <v>96</v>
      </c>
      <c r="E1064" s="25"/>
      <c r="F1064" s="25"/>
      <c r="G1064" s="25"/>
      <c r="H1064" s="25"/>
      <c r="I1064" s="25"/>
      <c r="J1064" s="25"/>
      <c r="K1064" s="25"/>
      <c r="L1064" s="25"/>
    </row>
    <row r="1065" spans="2:12" x14ac:dyDescent="0.25">
      <c r="B1065" s="25"/>
      <c r="C1065" s="25"/>
      <c r="D1065" s="25"/>
      <c r="E1065" s="25"/>
      <c r="F1065" s="25"/>
      <c r="G1065" s="25"/>
      <c r="H1065" s="25"/>
      <c r="I1065" s="25"/>
      <c r="J1065" s="25"/>
      <c r="K1065" s="25"/>
      <c r="L1065" s="25"/>
    </row>
    <row r="1066" spans="2:12" x14ac:dyDescent="0.25">
      <c r="B1066" s="144" t="s">
        <v>279</v>
      </c>
      <c r="C1066" s="145"/>
      <c r="D1066" s="145"/>
      <c r="E1066" s="145"/>
      <c r="F1066" s="145"/>
      <c r="G1066" s="25"/>
      <c r="H1066" s="25"/>
      <c r="I1066" s="25"/>
      <c r="J1066" s="25"/>
      <c r="K1066" s="25"/>
      <c r="L1066" s="25"/>
    </row>
    <row r="1067" spans="2:12" ht="16.5" thickBot="1" x14ac:dyDescent="0.3">
      <c r="B1067" s="160" t="s">
        <v>313</v>
      </c>
      <c r="C1067" s="145"/>
      <c r="D1067" s="145"/>
      <c r="E1067" s="145"/>
      <c r="F1067" s="145"/>
      <c r="G1067" s="25"/>
      <c r="H1067" s="25"/>
      <c r="I1067" s="25"/>
      <c r="J1067" s="25"/>
      <c r="K1067" s="25"/>
      <c r="L1067" s="25"/>
    </row>
    <row r="1068" spans="2:12" ht="24.75" thickBot="1" x14ac:dyDescent="0.3">
      <c r="B1068" s="104" t="s">
        <v>14</v>
      </c>
      <c r="C1068" s="106" t="s">
        <v>326</v>
      </c>
      <c r="D1068" s="77" t="s">
        <v>224</v>
      </c>
      <c r="E1068" s="78" t="s">
        <v>225</v>
      </c>
      <c r="F1068" s="79" t="s">
        <v>223</v>
      </c>
      <c r="G1068" s="25"/>
      <c r="H1068" s="25"/>
      <c r="I1068" s="25"/>
      <c r="J1068" s="25"/>
      <c r="K1068" s="25"/>
      <c r="L1068" s="25"/>
    </row>
    <row r="1069" spans="2:12" x14ac:dyDescent="0.25">
      <c r="B1069" s="139" t="s">
        <v>232</v>
      </c>
      <c r="C1069" s="41" t="s">
        <v>327</v>
      </c>
      <c r="D1069" s="122">
        <v>18.70685258964912</v>
      </c>
      <c r="E1069" s="123">
        <v>20.05084572427387</v>
      </c>
      <c r="F1069" s="107">
        <v>57</v>
      </c>
      <c r="G1069" s="25"/>
      <c r="H1069" s="25"/>
      <c r="I1069" s="25"/>
      <c r="J1069" s="25"/>
      <c r="K1069" s="25"/>
      <c r="L1069" s="25"/>
    </row>
    <row r="1070" spans="2:12" x14ac:dyDescent="0.25">
      <c r="B1070" s="136"/>
      <c r="C1070" s="30" t="s">
        <v>328</v>
      </c>
      <c r="D1070" s="124">
        <v>39.176527914269677</v>
      </c>
      <c r="E1070" s="69">
        <v>41.819786437725575</v>
      </c>
      <c r="F1070" s="108">
        <v>89</v>
      </c>
      <c r="G1070" s="25"/>
      <c r="H1070" s="25"/>
      <c r="I1070" s="25"/>
      <c r="J1070" s="25"/>
      <c r="K1070" s="25"/>
      <c r="L1070" s="25"/>
    </row>
    <row r="1071" spans="2:12" x14ac:dyDescent="0.25">
      <c r="B1071" s="136"/>
      <c r="C1071" s="30" t="s">
        <v>329</v>
      </c>
      <c r="D1071" s="124">
        <v>29.43468654222222</v>
      </c>
      <c r="E1071" s="69">
        <v>34.879844491641066</v>
      </c>
      <c r="F1071" s="108">
        <v>45</v>
      </c>
      <c r="G1071" s="25"/>
      <c r="H1071" s="25"/>
      <c r="I1071" s="25"/>
      <c r="J1071" s="25"/>
      <c r="K1071" s="25"/>
      <c r="L1071" s="25"/>
    </row>
    <row r="1072" spans="2:12" x14ac:dyDescent="0.25">
      <c r="B1072" s="136"/>
      <c r="C1072" s="30" t="s">
        <v>330</v>
      </c>
      <c r="D1072" s="124">
        <v>75.344404739189187</v>
      </c>
      <c r="E1072" s="69">
        <v>90.674067079306866</v>
      </c>
      <c r="F1072" s="108">
        <v>74</v>
      </c>
      <c r="G1072" s="25"/>
      <c r="H1072" s="25"/>
      <c r="I1072" s="25"/>
      <c r="J1072" s="25"/>
      <c r="K1072" s="25"/>
      <c r="L1072" s="25"/>
    </row>
    <row r="1073" spans="2:12" x14ac:dyDescent="0.25">
      <c r="B1073" s="140"/>
      <c r="C1073" s="52" t="s">
        <v>233</v>
      </c>
      <c r="D1073" s="125">
        <v>43.219050668226444</v>
      </c>
      <c r="E1073" s="126">
        <v>60.011416866580532</v>
      </c>
      <c r="F1073" s="109">
        <v>265</v>
      </c>
      <c r="G1073" s="25"/>
      <c r="H1073" s="25"/>
      <c r="I1073" s="25"/>
      <c r="J1073" s="25"/>
      <c r="K1073" s="25"/>
      <c r="L1073" s="25"/>
    </row>
    <row r="1074" spans="2:12" x14ac:dyDescent="0.25">
      <c r="B1074" s="141" t="s">
        <v>215</v>
      </c>
      <c r="C1074" s="58" t="s">
        <v>327</v>
      </c>
      <c r="D1074" s="127">
        <v>14.272779110000004</v>
      </c>
      <c r="E1074" s="65">
        <v>13.596402918399368</v>
      </c>
      <c r="F1074" s="110">
        <v>20</v>
      </c>
      <c r="G1074" s="25"/>
      <c r="H1074" s="25"/>
      <c r="I1074" s="25"/>
      <c r="J1074" s="25"/>
      <c r="K1074" s="25"/>
      <c r="L1074" s="25"/>
    </row>
    <row r="1075" spans="2:12" x14ac:dyDescent="0.25">
      <c r="B1075" s="136"/>
      <c r="C1075" s="30" t="s">
        <v>328</v>
      </c>
      <c r="D1075" s="124">
        <v>19.068885525925928</v>
      </c>
      <c r="E1075" s="69">
        <v>30.510485646102033</v>
      </c>
      <c r="F1075" s="108">
        <v>27</v>
      </c>
      <c r="G1075" s="25"/>
      <c r="H1075" s="25"/>
      <c r="I1075" s="25"/>
      <c r="J1075" s="25"/>
      <c r="K1075" s="25"/>
      <c r="L1075" s="25"/>
    </row>
    <row r="1076" spans="2:12" x14ac:dyDescent="0.25">
      <c r="B1076" s="136"/>
      <c r="C1076" s="30" t="s">
        <v>329</v>
      </c>
      <c r="D1076" s="124">
        <v>8.9692471000000005</v>
      </c>
      <c r="E1076" s="69">
        <v>3.9763801943489163</v>
      </c>
      <c r="F1076" s="108">
        <v>2</v>
      </c>
      <c r="G1076" s="25"/>
      <c r="H1076" s="25"/>
      <c r="I1076" s="25"/>
      <c r="J1076" s="25"/>
      <c r="K1076" s="25"/>
      <c r="L1076" s="25"/>
    </row>
    <row r="1077" spans="2:12" x14ac:dyDescent="0.25">
      <c r="B1077" s="136"/>
      <c r="C1077" s="30" t="s">
        <v>330</v>
      </c>
      <c r="D1077" s="124">
        <v>32.221881981818186</v>
      </c>
      <c r="E1077" s="69">
        <v>53.447161080815228</v>
      </c>
      <c r="F1077" s="108">
        <v>22</v>
      </c>
      <c r="G1077" s="25"/>
      <c r="H1077" s="25"/>
      <c r="I1077" s="25"/>
      <c r="J1077" s="25"/>
      <c r="K1077" s="25"/>
      <c r="L1077" s="25"/>
    </row>
    <row r="1078" spans="2:12" x14ac:dyDescent="0.25">
      <c r="B1078" s="140"/>
      <c r="C1078" s="52" t="s">
        <v>233</v>
      </c>
      <c r="D1078" s="125">
        <v>21.508949143661972</v>
      </c>
      <c r="E1078" s="126">
        <v>36.207194426868547</v>
      </c>
      <c r="F1078" s="109">
        <v>71</v>
      </c>
      <c r="G1078" s="25"/>
      <c r="H1078" s="25"/>
      <c r="I1078" s="25"/>
      <c r="J1078" s="25"/>
      <c r="K1078" s="25"/>
      <c r="L1078" s="25"/>
    </row>
    <row r="1079" spans="2:12" ht="16.5" thickBot="1" x14ac:dyDescent="0.3">
      <c r="B1079" s="142" t="s">
        <v>233</v>
      </c>
      <c r="C1079" s="58" t="s">
        <v>327</v>
      </c>
      <c r="D1079" s="127">
        <v>17.555145192337665</v>
      </c>
      <c r="E1079" s="65">
        <v>18.608679893391063</v>
      </c>
      <c r="F1079" s="110">
        <v>77</v>
      </c>
      <c r="G1079" s="25"/>
      <c r="H1079" s="25"/>
      <c r="I1079" s="25"/>
      <c r="J1079" s="25"/>
      <c r="K1079" s="25"/>
      <c r="L1079" s="25"/>
    </row>
    <row r="1080" spans="2:12" x14ac:dyDescent="0.25">
      <c r="B1080" s="136"/>
      <c r="C1080" s="30" t="s">
        <v>328</v>
      </c>
      <c r="D1080" s="124">
        <v>34.496300806637947</v>
      </c>
      <c r="E1080" s="69">
        <v>40.268824282469616</v>
      </c>
      <c r="F1080" s="108">
        <v>116</v>
      </c>
      <c r="G1080" s="25"/>
      <c r="H1080" s="25"/>
      <c r="I1080" s="25"/>
      <c r="J1080" s="25"/>
      <c r="K1080" s="25"/>
      <c r="L1080" s="25"/>
    </row>
    <row r="1081" spans="2:12" x14ac:dyDescent="0.25">
      <c r="B1081" s="136"/>
      <c r="C1081" s="30" t="s">
        <v>329</v>
      </c>
      <c r="D1081" s="124">
        <v>28.56381677872341</v>
      </c>
      <c r="E1081" s="69">
        <v>34.372761851326857</v>
      </c>
      <c r="F1081" s="108">
        <v>47</v>
      </c>
      <c r="G1081" s="25"/>
      <c r="H1081" s="25"/>
      <c r="I1081" s="25"/>
      <c r="J1081" s="25"/>
      <c r="K1081" s="25"/>
      <c r="L1081" s="25"/>
    </row>
    <row r="1082" spans="2:12" x14ac:dyDescent="0.25">
      <c r="B1082" s="136"/>
      <c r="C1082" s="30" t="s">
        <v>330</v>
      </c>
      <c r="D1082" s="124">
        <v>65.462159940624971</v>
      </c>
      <c r="E1082" s="69">
        <v>85.329941181346371</v>
      </c>
      <c r="F1082" s="108">
        <v>96</v>
      </c>
      <c r="G1082" s="25"/>
      <c r="H1082" s="25"/>
      <c r="I1082" s="25"/>
      <c r="J1082" s="25"/>
      <c r="K1082" s="25"/>
      <c r="L1082" s="25"/>
    </row>
    <row r="1083" spans="2:12" ht="16.5" thickBot="1" x14ac:dyDescent="0.3">
      <c r="B1083" s="143"/>
      <c r="C1083" s="33" t="s">
        <v>233</v>
      </c>
      <c r="D1083" s="128">
        <v>38.631499453214275</v>
      </c>
      <c r="E1083" s="74">
        <v>56.487271830588391</v>
      </c>
      <c r="F1083" s="112">
        <v>336</v>
      </c>
      <c r="G1083" s="25"/>
      <c r="H1083" s="25"/>
      <c r="I1083" s="25"/>
      <c r="J1083" s="25"/>
      <c r="K1083" s="25"/>
      <c r="L1083" s="25"/>
    </row>
    <row r="1084" spans="2:12" x14ac:dyDescent="0.25">
      <c r="B1084" s="25"/>
      <c r="C1084" s="25"/>
      <c r="D1084" s="25"/>
      <c r="E1084" s="25"/>
      <c r="F1084" s="25"/>
      <c r="G1084" s="25"/>
      <c r="H1084" s="25"/>
      <c r="I1084" s="25"/>
      <c r="J1084" s="25"/>
      <c r="K1084" s="25"/>
      <c r="L1084" s="25"/>
    </row>
    <row r="1085" spans="2:12" x14ac:dyDescent="0.25">
      <c r="B1085" s="144" t="s">
        <v>281</v>
      </c>
      <c r="C1085" s="145"/>
      <c r="D1085" s="145"/>
      <c r="E1085" s="145"/>
      <c r="F1085" s="145"/>
      <c r="G1085" s="145"/>
      <c r="H1085" s="145"/>
      <c r="I1085" s="25"/>
      <c r="J1085" s="25"/>
      <c r="K1085" s="25"/>
      <c r="L1085" s="25"/>
    </row>
    <row r="1086" spans="2:12" ht="16.5" thickBot="1" x14ac:dyDescent="0.3">
      <c r="B1086" s="160" t="s">
        <v>313</v>
      </c>
      <c r="C1086" s="145"/>
      <c r="D1086" s="145"/>
      <c r="E1086" s="145"/>
      <c r="F1086" s="145"/>
      <c r="G1086" s="145"/>
      <c r="H1086" s="145"/>
      <c r="I1086" s="25"/>
      <c r="J1086" s="25"/>
      <c r="K1086" s="25"/>
      <c r="L1086" s="25"/>
    </row>
    <row r="1087" spans="2:12" ht="25.5" thickBot="1" x14ac:dyDescent="0.3">
      <c r="B1087" s="161" t="s">
        <v>282</v>
      </c>
      <c r="C1087" s="147"/>
      <c r="D1087" s="77" t="s">
        <v>283</v>
      </c>
      <c r="E1087" s="78" t="s">
        <v>236</v>
      </c>
      <c r="F1087" s="78" t="s">
        <v>237</v>
      </c>
      <c r="G1087" s="78" t="s">
        <v>238</v>
      </c>
      <c r="H1087" s="79" t="s">
        <v>239</v>
      </c>
      <c r="I1087" s="25"/>
      <c r="J1087" s="25"/>
      <c r="K1087" s="25"/>
      <c r="L1087" s="25"/>
    </row>
    <row r="1088" spans="2:12" x14ac:dyDescent="0.25">
      <c r="B1088" s="159" t="s">
        <v>285</v>
      </c>
      <c r="C1088" s="41" t="s">
        <v>286</v>
      </c>
      <c r="D1088" s="80">
        <v>80718.820968667758</v>
      </c>
      <c r="E1088" s="81">
        <v>1</v>
      </c>
      <c r="F1088" s="43">
        <v>80718.820968667758</v>
      </c>
      <c r="G1088" s="43">
        <v>9.0249768826854382</v>
      </c>
      <c r="H1088" s="82">
        <v>3.5950189517283411E-2</v>
      </c>
      <c r="I1088" s="25"/>
      <c r="J1088" s="25"/>
      <c r="K1088" s="25"/>
      <c r="L1088" s="25"/>
    </row>
    <row r="1089" spans="2:12" x14ac:dyDescent="0.25">
      <c r="B1089" s="136"/>
      <c r="C1089" s="30" t="s">
        <v>287</v>
      </c>
      <c r="D1089" s="83">
        <v>38725.363585563078</v>
      </c>
      <c r="E1089" s="48">
        <v>4.3297895947830707</v>
      </c>
      <c r="F1089" s="48">
        <v>8943.9365904114511</v>
      </c>
      <c r="G1089" s="85"/>
      <c r="H1089" s="86"/>
      <c r="I1089" s="25"/>
      <c r="J1089" s="25"/>
      <c r="K1089" s="25"/>
      <c r="L1089" s="25"/>
    </row>
    <row r="1090" spans="2:12" x14ac:dyDescent="0.25">
      <c r="B1090" s="135" t="s">
        <v>14</v>
      </c>
      <c r="C1090" s="30" t="s">
        <v>286</v>
      </c>
      <c r="D1090" s="83">
        <v>11143.128655825469</v>
      </c>
      <c r="E1090" s="84">
        <v>1</v>
      </c>
      <c r="F1090" s="48">
        <v>11143.128655825469</v>
      </c>
      <c r="G1090" s="48">
        <v>3.2970598980418742</v>
      </c>
      <c r="H1090" s="113">
        <v>0.1005569310761984</v>
      </c>
      <c r="I1090" s="25"/>
      <c r="J1090" s="25"/>
      <c r="K1090" s="25"/>
      <c r="L1090" s="25"/>
    </row>
    <row r="1091" spans="2:12" x14ac:dyDescent="0.25">
      <c r="B1091" s="136"/>
      <c r="C1091" s="30" t="s">
        <v>287</v>
      </c>
      <c r="D1091" s="83">
        <v>32603.897395209071</v>
      </c>
      <c r="E1091" s="48">
        <v>9.6469318395079142</v>
      </c>
      <c r="F1091" s="48">
        <v>3379.7167781038434</v>
      </c>
      <c r="G1091" s="85"/>
      <c r="H1091" s="86"/>
      <c r="I1091" s="25"/>
      <c r="J1091" s="25"/>
      <c r="K1091" s="25"/>
      <c r="L1091" s="25"/>
    </row>
    <row r="1092" spans="2:12" x14ac:dyDescent="0.25">
      <c r="B1092" s="135" t="s">
        <v>326</v>
      </c>
      <c r="C1092" s="30" t="s">
        <v>286</v>
      </c>
      <c r="D1092" s="83">
        <v>48146.485494212757</v>
      </c>
      <c r="E1092" s="84">
        <v>3</v>
      </c>
      <c r="F1092" s="48">
        <v>16048.82849807092</v>
      </c>
      <c r="G1092" s="48">
        <v>3.9608774408897305</v>
      </c>
      <c r="H1092" s="113">
        <v>0.14398742608001214</v>
      </c>
      <c r="I1092" s="25"/>
      <c r="J1092" s="25"/>
      <c r="K1092" s="25"/>
      <c r="L1092" s="25"/>
    </row>
    <row r="1093" spans="2:12" x14ac:dyDescent="0.25">
      <c r="B1093" s="136"/>
      <c r="C1093" s="30" t="s">
        <v>287</v>
      </c>
      <c r="D1093" s="83">
        <v>12155.51003855288</v>
      </c>
      <c r="E1093" s="84">
        <v>3</v>
      </c>
      <c r="F1093" s="48">
        <v>4051.8366795176266</v>
      </c>
      <c r="G1093" s="85"/>
      <c r="H1093" s="86"/>
      <c r="I1093" s="25"/>
      <c r="J1093" s="25"/>
      <c r="K1093" s="25"/>
      <c r="L1093" s="25"/>
    </row>
    <row r="1094" spans="2:12" ht="16.5" thickBot="1" x14ac:dyDescent="0.3">
      <c r="B1094" s="148" t="s">
        <v>342</v>
      </c>
      <c r="C1094" s="30" t="s">
        <v>286</v>
      </c>
      <c r="D1094" s="83">
        <v>12155.51003855288</v>
      </c>
      <c r="E1094" s="84">
        <v>3</v>
      </c>
      <c r="F1094" s="48">
        <v>4051.8366795176266</v>
      </c>
      <c r="G1094" s="48">
        <v>1.4479396223374841</v>
      </c>
      <c r="H1094" s="113">
        <v>0.22874014444391322</v>
      </c>
      <c r="I1094" s="25"/>
      <c r="J1094" s="25"/>
      <c r="K1094" s="25"/>
      <c r="L1094" s="25"/>
    </row>
    <row r="1095" spans="2:12" ht="16.5" thickBot="1" x14ac:dyDescent="0.3">
      <c r="B1095" s="143"/>
      <c r="C1095" s="33" t="s">
        <v>287</v>
      </c>
      <c r="D1095" s="94">
        <v>917857.6305110734</v>
      </c>
      <c r="E1095" s="95">
        <v>328</v>
      </c>
      <c r="F1095" s="114">
        <v>2798.3464344849799</v>
      </c>
      <c r="G1095" s="96"/>
      <c r="H1095" s="97"/>
      <c r="I1095" s="25"/>
      <c r="J1095" s="25"/>
      <c r="K1095" s="25"/>
      <c r="L1095" s="25"/>
    </row>
    <row r="1096" spans="2:12" x14ac:dyDescent="0.25">
      <c r="B1096" s="25"/>
      <c r="C1096" s="25"/>
      <c r="D1096" s="25"/>
      <c r="E1096" s="25"/>
      <c r="F1096" s="25"/>
      <c r="G1096" s="25"/>
      <c r="H1096" s="25"/>
      <c r="I1096" s="25"/>
      <c r="J1096" s="25"/>
      <c r="K1096" s="25"/>
      <c r="L1096" s="25"/>
    </row>
    <row r="1097" spans="2:12" x14ac:dyDescent="0.25">
      <c r="B1097" s="25"/>
      <c r="C1097" s="25"/>
      <c r="D1097" s="25"/>
      <c r="E1097" s="25"/>
      <c r="F1097" s="25"/>
      <c r="G1097" s="25"/>
      <c r="H1097" s="25"/>
      <c r="I1097" s="25"/>
      <c r="J1097" s="25"/>
      <c r="K1097" s="25"/>
      <c r="L1097" s="25"/>
    </row>
    <row r="1098" spans="2:12" x14ac:dyDescent="0.25">
      <c r="B1098" s="25"/>
      <c r="C1098" s="25"/>
      <c r="D1098" s="25"/>
      <c r="E1098" s="25"/>
      <c r="F1098" s="25"/>
      <c r="G1098" s="25"/>
      <c r="H1098" s="25"/>
      <c r="I1098" s="25"/>
      <c r="J1098" s="25"/>
      <c r="K1098" s="25"/>
      <c r="L1098" s="25"/>
    </row>
    <row r="1099" spans="2:12" x14ac:dyDescent="0.25">
      <c r="B1099" s="25"/>
      <c r="C1099" s="25"/>
      <c r="D1099" s="25"/>
      <c r="E1099" s="25"/>
      <c r="F1099" s="25"/>
      <c r="G1099" s="25"/>
      <c r="H1099" s="25"/>
      <c r="I1099" s="25"/>
      <c r="J1099" s="25"/>
      <c r="K1099" s="25"/>
      <c r="L1099" s="25"/>
    </row>
    <row r="1100" spans="2:12" x14ac:dyDescent="0.25">
      <c r="B1100" s="25"/>
      <c r="C1100" s="25"/>
      <c r="D1100" s="25"/>
      <c r="E1100" s="25"/>
      <c r="F1100" s="25"/>
      <c r="G1100" s="25"/>
      <c r="H1100" s="25"/>
      <c r="I1100" s="25"/>
      <c r="J1100" s="25"/>
      <c r="K1100" s="25"/>
      <c r="L1100" s="25"/>
    </row>
    <row r="1101" spans="2:12" ht="16.5" thickBot="1" x14ac:dyDescent="0.3">
      <c r="B1101" s="144" t="s">
        <v>293</v>
      </c>
      <c r="C1101" s="145"/>
      <c r="D1101" s="145"/>
      <c r="E1101" s="145"/>
      <c r="F1101" s="145"/>
      <c r="G1101" s="25"/>
      <c r="H1101" s="25"/>
      <c r="I1101" s="25"/>
      <c r="J1101" s="25"/>
      <c r="K1101" s="25"/>
      <c r="L1101" s="25"/>
    </row>
    <row r="1102" spans="2:12" ht="16.5" thickBot="1" x14ac:dyDescent="0.3">
      <c r="B1102" s="161" t="s">
        <v>282</v>
      </c>
      <c r="C1102" s="164" t="s">
        <v>294</v>
      </c>
      <c r="D1102" s="165"/>
      <c r="E1102" s="165"/>
      <c r="F1102" s="132"/>
      <c r="G1102" s="25"/>
      <c r="H1102" s="25"/>
      <c r="I1102" s="25"/>
      <c r="J1102" s="25"/>
      <c r="K1102" s="25"/>
      <c r="L1102" s="25"/>
    </row>
    <row r="1103" spans="2:12" ht="25.5" thickBot="1" x14ac:dyDescent="0.3">
      <c r="B1103" s="163"/>
      <c r="C1103" s="115" t="s">
        <v>334</v>
      </c>
      <c r="D1103" s="40" t="s">
        <v>343</v>
      </c>
      <c r="E1103" s="40" t="s">
        <v>299</v>
      </c>
      <c r="F1103" s="116" t="s">
        <v>300</v>
      </c>
      <c r="G1103" s="25"/>
      <c r="H1103" s="25"/>
      <c r="I1103" s="25"/>
      <c r="J1103" s="25"/>
      <c r="K1103" s="25"/>
      <c r="L1103" s="25"/>
    </row>
    <row r="1104" spans="2:12" ht="24" x14ac:dyDescent="0.25">
      <c r="B1104" s="35" t="s">
        <v>285</v>
      </c>
      <c r="C1104" s="80">
        <v>22.955288753905077</v>
      </c>
      <c r="D1104" s="43">
        <v>11.477644376952505</v>
      </c>
      <c r="E1104" s="43">
        <v>1</v>
      </c>
      <c r="F1104" s="117" t="s">
        <v>344</v>
      </c>
      <c r="G1104" s="25"/>
      <c r="H1104" s="25"/>
      <c r="I1104" s="25"/>
      <c r="J1104" s="25"/>
      <c r="K1104" s="25"/>
      <c r="L1104" s="25"/>
    </row>
    <row r="1105" spans="2:12" ht="24" x14ac:dyDescent="0.25">
      <c r="B1105" s="37" t="s">
        <v>14</v>
      </c>
      <c r="C1105" s="83">
        <v>0</v>
      </c>
      <c r="D1105" s="48">
        <v>11.477644376952624</v>
      </c>
      <c r="E1105" s="48">
        <v>0.99999999999999989</v>
      </c>
      <c r="F1105" s="118" t="s">
        <v>14</v>
      </c>
      <c r="G1105" s="25"/>
      <c r="H1105" s="25"/>
      <c r="I1105" s="25"/>
      <c r="J1105" s="25"/>
      <c r="K1105" s="25"/>
      <c r="L1105" s="25"/>
    </row>
    <row r="1106" spans="2:12" x14ac:dyDescent="0.25">
      <c r="B1106" s="37" t="s">
        <v>326</v>
      </c>
      <c r="C1106" s="83">
        <v>49.493805180733005</v>
      </c>
      <c r="D1106" s="48">
        <v>24.746902590366485</v>
      </c>
      <c r="E1106" s="48">
        <v>1</v>
      </c>
      <c r="F1106" s="86"/>
      <c r="G1106" s="25"/>
      <c r="H1106" s="25"/>
      <c r="I1106" s="25"/>
      <c r="J1106" s="25"/>
      <c r="K1106" s="25"/>
      <c r="L1106" s="25"/>
    </row>
    <row r="1107" spans="2:12" ht="24" x14ac:dyDescent="0.25">
      <c r="B1107" s="37" t="s">
        <v>342</v>
      </c>
      <c r="C1107" s="83">
        <v>0</v>
      </c>
      <c r="D1107" s="48">
        <v>24.746902590366492</v>
      </c>
      <c r="E1107" s="48">
        <v>1</v>
      </c>
      <c r="F1107" s="86"/>
      <c r="G1107" s="25"/>
      <c r="H1107" s="25"/>
      <c r="I1107" s="25"/>
      <c r="J1107" s="25"/>
      <c r="K1107" s="25"/>
      <c r="L1107" s="25"/>
    </row>
    <row r="1108" spans="2:12" ht="16.5" thickBot="1" x14ac:dyDescent="0.3">
      <c r="B1108" s="38" t="s">
        <v>287</v>
      </c>
      <c r="C1108" s="94">
        <v>0</v>
      </c>
      <c r="D1108" s="114">
        <v>0</v>
      </c>
      <c r="E1108" s="114">
        <v>1</v>
      </c>
      <c r="F1108" s="97"/>
      <c r="G1108" s="25"/>
      <c r="H1108" s="25"/>
      <c r="I1108" s="25"/>
      <c r="J1108" s="25"/>
      <c r="K1108" s="25"/>
      <c r="L1108" s="25"/>
    </row>
    <row r="1109" spans="2:12" x14ac:dyDescent="0.25">
      <c r="B1109" s="25"/>
      <c r="C1109" s="25"/>
      <c r="D1109" s="25"/>
      <c r="E1109" s="25"/>
      <c r="F1109" s="25"/>
      <c r="G1109" s="25"/>
      <c r="H1109" s="25"/>
      <c r="I1109" s="25"/>
      <c r="J1109" s="25"/>
      <c r="K1109" s="25"/>
      <c r="L1109" s="25"/>
    </row>
    <row r="1110" spans="2:12" x14ac:dyDescent="0.25">
      <c r="B1110" s="25"/>
      <c r="C1110" s="25"/>
      <c r="D1110" s="25"/>
      <c r="E1110" s="25"/>
      <c r="F1110" s="25"/>
      <c r="G1110" s="25"/>
      <c r="H1110" s="25"/>
      <c r="I1110" s="25"/>
      <c r="J1110" s="25"/>
      <c r="K1110" s="25"/>
      <c r="L1110" s="25"/>
    </row>
    <row r="1111" spans="2:12" x14ac:dyDescent="0.25">
      <c r="B1111" s="25"/>
      <c r="C1111" s="25"/>
      <c r="D1111" s="25"/>
      <c r="E1111" s="25"/>
      <c r="F1111" s="25"/>
      <c r="G1111" s="25"/>
      <c r="H1111" s="25"/>
      <c r="I1111" s="25"/>
      <c r="J1111" s="25"/>
      <c r="K1111" s="25"/>
      <c r="L1111" s="25"/>
    </row>
    <row r="1112" spans="2:12" x14ac:dyDescent="0.25">
      <c r="B1112" s="25"/>
      <c r="C1112" s="25"/>
      <c r="D1112" s="25"/>
      <c r="E1112" s="25"/>
      <c r="F1112" s="25"/>
      <c r="G1112" s="25"/>
      <c r="H1112" s="25"/>
      <c r="I1112" s="25"/>
      <c r="J1112" s="25"/>
      <c r="K1112" s="25"/>
      <c r="L1112" s="25"/>
    </row>
    <row r="1113" spans="2:12" x14ac:dyDescent="0.25">
      <c r="B1113" s="26" t="s">
        <v>352</v>
      </c>
      <c r="C1113" s="25"/>
      <c r="D1113" s="25"/>
      <c r="E1113" s="25"/>
      <c r="F1113" s="25"/>
      <c r="G1113" s="25"/>
      <c r="H1113" s="25"/>
      <c r="I1113" s="25"/>
      <c r="J1113" s="25"/>
      <c r="K1113" s="25"/>
      <c r="L1113" s="25"/>
    </row>
    <row r="1114" spans="2:12" x14ac:dyDescent="0.25">
      <c r="B1114" s="26" t="s">
        <v>353</v>
      </c>
      <c r="C1114" s="25"/>
      <c r="D1114" s="25"/>
      <c r="E1114" s="25"/>
      <c r="F1114" s="25"/>
      <c r="G1114" s="25"/>
      <c r="H1114" s="25"/>
      <c r="I1114" s="25"/>
      <c r="J1114" s="25"/>
      <c r="K1114" s="25"/>
      <c r="L1114" s="25"/>
    </row>
    <row r="1115" spans="2:12" x14ac:dyDescent="0.25">
      <c r="B1115" s="26" t="s">
        <v>183</v>
      </c>
      <c r="C1115" s="25"/>
      <c r="D1115" s="25"/>
      <c r="E1115" s="25"/>
      <c r="F1115" s="25"/>
      <c r="G1115" s="25"/>
      <c r="H1115" s="25"/>
      <c r="I1115" s="25"/>
      <c r="J1115" s="25"/>
      <c r="K1115" s="25"/>
      <c r="L1115" s="25"/>
    </row>
  </sheetData>
  <mergeCells count="354">
    <mergeCell ref="B1102:B1103"/>
    <mergeCell ref="C1102:F1102"/>
    <mergeCell ref="B1087:C1087"/>
    <mergeCell ref="B1088:B1089"/>
    <mergeCell ref="B1090:B1091"/>
    <mergeCell ref="B1092:B1093"/>
    <mergeCell ref="B1094:B1095"/>
    <mergeCell ref="B1101:F1101"/>
    <mergeCell ref="B1067:F1067"/>
    <mergeCell ref="B1069:B1073"/>
    <mergeCell ref="B1074:B1078"/>
    <mergeCell ref="B1079:B1083"/>
    <mergeCell ref="B1085:H1085"/>
    <mergeCell ref="B1086:H1086"/>
    <mergeCell ref="B1051:B1052"/>
    <mergeCell ref="B1057:D1057"/>
    <mergeCell ref="B1058:C1058"/>
    <mergeCell ref="B1059:B1060"/>
    <mergeCell ref="B1061:B1064"/>
    <mergeCell ref="B1066:F1066"/>
    <mergeCell ref="B1039:D1039"/>
    <mergeCell ref="B1040:C1040"/>
    <mergeCell ref="B1041:C1041"/>
    <mergeCell ref="B1042:B1047"/>
    <mergeCell ref="B1048:B1049"/>
    <mergeCell ref="B1050:C1050"/>
    <mergeCell ref="B1005:B1006"/>
    <mergeCell ref="B1007:B1008"/>
    <mergeCell ref="B1009:B1010"/>
    <mergeCell ref="B1016:F1016"/>
    <mergeCell ref="B1017:B1018"/>
    <mergeCell ref="C1017:F1017"/>
    <mergeCell ref="B989:B993"/>
    <mergeCell ref="B994:B998"/>
    <mergeCell ref="B1000:H1000"/>
    <mergeCell ref="B1001:H1001"/>
    <mergeCell ref="B1002:C1002"/>
    <mergeCell ref="B1003:B1004"/>
    <mergeCell ref="B973:C973"/>
    <mergeCell ref="B974:B975"/>
    <mergeCell ref="B976:B979"/>
    <mergeCell ref="B981:F981"/>
    <mergeCell ref="B982:F982"/>
    <mergeCell ref="B984:B988"/>
    <mergeCell ref="B956:C956"/>
    <mergeCell ref="B957:B962"/>
    <mergeCell ref="B963:B964"/>
    <mergeCell ref="B965:C965"/>
    <mergeCell ref="B966:B967"/>
    <mergeCell ref="B972:D972"/>
    <mergeCell ref="B924:B925"/>
    <mergeCell ref="B931:F931"/>
    <mergeCell ref="B932:B933"/>
    <mergeCell ref="C932:F932"/>
    <mergeCell ref="B954:D954"/>
    <mergeCell ref="B955:C955"/>
    <mergeCell ref="B915:H915"/>
    <mergeCell ref="B916:H916"/>
    <mergeCell ref="B917:C917"/>
    <mergeCell ref="B918:B919"/>
    <mergeCell ref="B920:B921"/>
    <mergeCell ref="B922:B923"/>
    <mergeCell ref="B891:B894"/>
    <mergeCell ref="B896:F896"/>
    <mergeCell ref="B897:F897"/>
    <mergeCell ref="B899:B903"/>
    <mergeCell ref="B904:B908"/>
    <mergeCell ref="B909:B913"/>
    <mergeCell ref="B878:B879"/>
    <mergeCell ref="B880:C880"/>
    <mergeCell ref="B881:B882"/>
    <mergeCell ref="B887:D887"/>
    <mergeCell ref="B888:C888"/>
    <mergeCell ref="B889:B890"/>
    <mergeCell ref="B843:B844"/>
    <mergeCell ref="C843:H843"/>
    <mergeCell ref="B869:D869"/>
    <mergeCell ref="B870:C870"/>
    <mergeCell ref="B871:C871"/>
    <mergeCell ref="B872:B877"/>
    <mergeCell ref="B824:B825"/>
    <mergeCell ref="B826:B827"/>
    <mergeCell ref="B828:B829"/>
    <mergeCell ref="B830:B831"/>
    <mergeCell ref="B832:B833"/>
    <mergeCell ref="B842:H842"/>
    <mergeCell ref="B815:H815"/>
    <mergeCell ref="B816:H816"/>
    <mergeCell ref="B817:C817"/>
    <mergeCell ref="B818:B819"/>
    <mergeCell ref="B820:B821"/>
    <mergeCell ref="B822:B823"/>
    <mergeCell ref="B784:B798"/>
    <mergeCell ref="C784:C788"/>
    <mergeCell ref="C789:C793"/>
    <mergeCell ref="C794:C798"/>
    <mergeCell ref="B799:B813"/>
    <mergeCell ref="C799:C803"/>
    <mergeCell ref="C804:C808"/>
    <mergeCell ref="C809:C813"/>
    <mergeCell ref="B759:B760"/>
    <mergeCell ref="B761:B764"/>
    <mergeCell ref="B766:G766"/>
    <mergeCell ref="B767:G767"/>
    <mergeCell ref="B769:B783"/>
    <mergeCell ref="C769:C773"/>
    <mergeCell ref="C774:C778"/>
    <mergeCell ref="C779:C783"/>
    <mergeCell ref="B746:B747"/>
    <mergeCell ref="B748:C748"/>
    <mergeCell ref="B749:B750"/>
    <mergeCell ref="B755:D755"/>
    <mergeCell ref="B756:C756"/>
    <mergeCell ref="B757:B758"/>
    <mergeCell ref="B707:B708"/>
    <mergeCell ref="C707:H707"/>
    <mergeCell ref="B737:D737"/>
    <mergeCell ref="B738:C738"/>
    <mergeCell ref="B739:C739"/>
    <mergeCell ref="B740:B745"/>
    <mergeCell ref="B688:B689"/>
    <mergeCell ref="B690:B691"/>
    <mergeCell ref="B692:B693"/>
    <mergeCell ref="B694:B695"/>
    <mergeCell ref="B696:B697"/>
    <mergeCell ref="B706:H706"/>
    <mergeCell ref="B679:H679"/>
    <mergeCell ref="B680:H680"/>
    <mergeCell ref="B681:C681"/>
    <mergeCell ref="B682:B683"/>
    <mergeCell ref="B684:B685"/>
    <mergeCell ref="B686:B687"/>
    <mergeCell ref="B648:B662"/>
    <mergeCell ref="C648:C652"/>
    <mergeCell ref="C653:C657"/>
    <mergeCell ref="C658:C662"/>
    <mergeCell ref="B663:B677"/>
    <mergeCell ref="C663:C667"/>
    <mergeCell ref="C668:C672"/>
    <mergeCell ref="C673:C677"/>
    <mergeCell ref="B623:B624"/>
    <mergeCell ref="B625:B628"/>
    <mergeCell ref="B630:G630"/>
    <mergeCell ref="B631:G631"/>
    <mergeCell ref="B633:B647"/>
    <mergeCell ref="C633:C637"/>
    <mergeCell ref="C638:C642"/>
    <mergeCell ref="C643:C647"/>
    <mergeCell ref="B610:B611"/>
    <mergeCell ref="B612:C612"/>
    <mergeCell ref="B613:B614"/>
    <mergeCell ref="B619:D619"/>
    <mergeCell ref="B620:C620"/>
    <mergeCell ref="B621:B622"/>
    <mergeCell ref="B575:B576"/>
    <mergeCell ref="C575:H575"/>
    <mergeCell ref="B601:D601"/>
    <mergeCell ref="B602:C602"/>
    <mergeCell ref="B603:C603"/>
    <mergeCell ref="B604:B609"/>
    <mergeCell ref="B556:B557"/>
    <mergeCell ref="B558:B559"/>
    <mergeCell ref="B560:B561"/>
    <mergeCell ref="B562:B563"/>
    <mergeCell ref="B564:B565"/>
    <mergeCell ref="B574:H574"/>
    <mergeCell ref="B547:I547"/>
    <mergeCell ref="B548:I548"/>
    <mergeCell ref="B549:C549"/>
    <mergeCell ref="B550:B551"/>
    <mergeCell ref="B552:B553"/>
    <mergeCell ref="B554:B555"/>
    <mergeCell ref="B516:B530"/>
    <mergeCell ref="C516:C520"/>
    <mergeCell ref="C521:C525"/>
    <mergeCell ref="C526:C530"/>
    <mergeCell ref="B531:B545"/>
    <mergeCell ref="C531:C535"/>
    <mergeCell ref="C536:C540"/>
    <mergeCell ref="C541:C545"/>
    <mergeCell ref="B491:B492"/>
    <mergeCell ref="B493:B496"/>
    <mergeCell ref="B498:G498"/>
    <mergeCell ref="B499:G499"/>
    <mergeCell ref="B501:B515"/>
    <mergeCell ref="C501:C505"/>
    <mergeCell ref="C506:C510"/>
    <mergeCell ref="C511:C515"/>
    <mergeCell ref="B478:B479"/>
    <mergeCell ref="B480:C480"/>
    <mergeCell ref="B481:B482"/>
    <mergeCell ref="B487:D487"/>
    <mergeCell ref="B488:C488"/>
    <mergeCell ref="B489:B490"/>
    <mergeCell ref="B443:B444"/>
    <mergeCell ref="C443:H443"/>
    <mergeCell ref="B469:D469"/>
    <mergeCell ref="B470:C470"/>
    <mergeCell ref="B471:C471"/>
    <mergeCell ref="B472:B477"/>
    <mergeCell ref="B424:B425"/>
    <mergeCell ref="B426:B427"/>
    <mergeCell ref="B428:B429"/>
    <mergeCell ref="B430:B431"/>
    <mergeCell ref="B432:B433"/>
    <mergeCell ref="B442:H442"/>
    <mergeCell ref="B415:I415"/>
    <mergeCell ref="B416:I416"/>
    <mergeCell ref="B417:C417"/>
    <mergeCell ref="B418:B419"/>
    <mergeCell ref="B420:B421"/>
    <mergeCell ref="B422:B423"/>
    <mergeCell ref="B384:B398"/>
    <mergeCell ref="C384:C388"/>
    <mergeCell ref="C389:C393"/>
    <mergeCell ref="C394:C398"/>
    <mergeCell ref="B399:B413"/>
    <mergeCell ref="C399:C403"/>
    <mergeCell ref="C404:C408"/>
    <mergeCell ref="C409:C413"/>
    <mergeCell ref="B366:G366"/>
    <mergeCell ref="B367:G367"/>
    <mergeCell ref="B369:B383"/>
    <mergeCell ref="C369:C373"/>
    <mergeCell ref="C374:C378"/>
    <mergeCell ref="C379:C383"/>
    <mergeCell ref="B349:B350"/>
    <mergeCell ref="B355:D355"/>
    <mergeCell ref="B356:C356"/>
    <mergeCell ref="B357:B358"/>
    <mergeCell ref="B359:B360"/>
    <mergeCell ref="B361:B364"/>
    <mergeCell ref="B337:D337"/>
    <mergeCell ref="B338:C338"/>
    <mergeCell ref="B339:C339"/>
    <mergeCell ref="B340:B345"/>
    <mergeCell ref="B346:B347"/>
    <mergeCell ref="B348:C348"/>
    <mergeCell ref="B296:B297"/>
    <mergeCell ref="B298:B299"/>
    <mergeCell ref="B300:B301"/>
    <mergeCell ref="B310:H310"/>
    <mergeCell ref="B311:B312"/>
    <mergeCell ref="C311:H311"/>
    <mergeCell ref="B285:C285"/>
    <mergeCell ref="B286:B287"/>
    <mergeCell ref="B288:B289"/>
    <mergeCell ref="B290:B291"/>
    <mergeCell ref="B292:B293"/>
    <mergeCell ref="B294:B295"/>
    <mergeCell ref="B267:B281"/>
    <mergeCell ref="C267:C271"/>
    <mergeCell ref="C272:C276"/>
    <mergeCell ref="C277:C281"/>
    <mergeCell ref="B283:I283"/>
    <mergeCell ref="B284:I284"/>
    <mergeCell ref="B237:B251"/>
    <mergeCell ref="C237:C241"/>
    <mergeCell ref="C242:C246"/>
    <mergeCell ref="C247:C251"/>
    <mergeCell ref="B252:B266"/>
    <mergeCell ref="C252:C256"/>
    <mergeCell ref="C257:C261"/>
    <mergeCell ref="C262:C266"/>
    <mergeCell ref="B224:C224"/>
    <mergeCell ref="B225:B226"/>
    <mergeCell ref="B227:B228"/>
    <mergeCell ref="B229:B232"/>
    <mergeCell ref="B234:G234"/>
    <mergeCell ref="B235:G235"/>
    <mergeCell ref="B207:C207"/>
    <mergeCell ref="B208:B213"/>
    <mergeCell ref="B214:B215"/>
    <mergeCell ref="B216:C216"/>
    <mergeCell ref="B217:B218"/>
    <mergeCell ref="B223:D223"/>
    <mergeCell ref="B153:C153"/>
    <mergeCell ref="B154:B156"/>
    <mergeCell ref="B157:B159"/>
    <mergeCell ref="B160:B162"/>
    <mergeCell ref="B205:D205"/>
    <mergeCell ref="B206:C206"/>
    <mergeCell ref="J139:J140"/>
    <mergeCell ref="K139:K140"/>
    <mergeCell ref="B141:B143"/>
    <mergeCell ref="B144:B146"/>
    <mergeCell ref="B147:B149"/>
    <mergeCell ref="B152:H152"/>
    <mergeCell ref="B139:C140"/>
    <mergeCell ref="D139:D140"/>
    <mergeCell ref="E139:E140"/>
    <mergeCell ref="F139:F140"/>
    <mergeCell ref="G139:G140"/>
    <mergeCell ref="H139:I139"/>
    <mergeCell ref="B122:H122"/>
    <mergeCell ref="B123:C123"/>
    <mergeCell ref="B124:B126"/>
    <mergeCell ref="B127:B129"/>
    <mergeCell ref="B130:B132"/>
    <mergeCell ref="B138:K138"/>
    <mergeCell ref="H109:I109"/>
    <mergeCell ref="J109:J110"/>
    <mergeCell ref="K109:K110"/>
    <mergeCell ref="B111:B113"/>
    <mergeCell ref="B114:B116"/>
    <mergeCell ref="B117:B119"/>
    <mergeCell ref="B93:C93"/>
    <mergeCell ref="B94:B96"/>
    <mergeCell ref="B97:B99"/>
    <mergeCell ref="B100:B102"/>
    <mergeCell ref="B108:K108"/>
    <mergeCell ref="B109:C110"/>
    <mergeCell ref="D109:D110"/>
    <mergeCell ref="E109:E110"/>
    <mergeCell ref="F109:F110"/>
    <mergeCell ref="G109:G110"/>
    <mergeCell ref="J79:J80"/>
    <mergeCell ref="K79:K80"/>
    <mergeCell ref="B81:B83"/>
    <mergeCell ref="B84:B86"/>
    <mergeCell ref="B87:B89"/>
    <mergeCell ref="B92:H92"/>
    <mergeCell ref="B64:B66"/>
    <mergeCell ref="B67:B69"/>
    <mergeCell ref="B70:B72"/>
    <mergeCell ref="B78:K78"/>
    <mergeCell ref="B79:C80"/>
    <mergeCell ref="D79:D80"/>
    <mergeCell ref="E79:E80"/>
    <mergeCell ref="F79:F80"/>
    <mergeCell ref="G79:G80"/>
    <mergeCell ref="H79:I79"/>
    <mergeCell ref="B57:B59"/>
    <mergeCell ref="B62:H62"/>
    <mergeCell ref="B63:C63"/>
    <mergeCell ref="B34:B35"/>
    <mergeCell ref="B40:C40"/>
    <mergeCell ref="B48:K48"/>
    <mergeCell ref="B49:C50"/>
    <mergeCell ref="D49:D50"/>
    <mergeCell ref="E49:E50"/>
    <mergeCell ref="F49:F50"/>
    <mergeCell ref="G49:G50"/>
    <mergeCell ref="H49:I49"/>
    <mergeCell ref="J49:J50"/>
    <mergeCell ref="B23:D23"/>
    <mergeCell ref="B24:C24"/>
    <mergeCell ref="B25:C25"/>
    <mergeCell ref="B26:B30"/>
    <mergeCell ref="B31:B32"/>
    <mergeCell ref="B33:C33"/>
    <mergeCell ref="K49:K50"/>
    <mergeCell ref="B51:B53"/>
    <mergeCell ref="B54:B5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A08ADBB1247649882D30D54EFAEF68" ma:contentTypeVersion="13" ma:contentTypeDescription="Create a new document." ma:contentTypeScope="" ma:versionID="fdd5ad67f32d70cf1f069acf0a179721">
  <xsd:schema xmlns:xsd="http://www.w3.org/2001/XMLSchema" xmlns:xs="http://www.w3.org/2001/XMLSchema" xmlns:p="http://schemas.microsoft.com/office/2006/metadata/properties" xmlns:ns3="0ce27ddd-838e-4dc2-84c1-f51064e7687d" xmlns:ns4="c06f9f04-1c9b-4a26-89f6-c485a65df2b4" targetNamespace="http://schemas.microsoft.com/office/2006/metadata/properties" ma:root="true" ma:fieldsID="51c28bd516ee810f5bda1a5369fc1b25" ns3:_="" ns4:_="">
    <xsd:import namespace="0ce27ddd-838e-4dc2-84c1-f51064e7687d"/>
    <xsd:import namespace="c06f9f04-1c9b-4a26-89f6-c485a65df2b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27ddd-838e-4dc2-84c1-f51064e76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6f9f04-1c9b-4a26-89f6-c485a65df2b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641936-3EC7-4F4A-BB76-3B52B3954F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27ddd-838e-4dc2-84c1-f51064e7687d"/>
    <ds:schemaRef ds:uri="c06f9f04-1c9b-4a26-89f6-c485a65df2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14A5DC-5830-42BD-A20F-EDAB53AFAC73}">
  <ds:schemaRefs>
    <ds:schemaRef ds:uri="http://schemas.microsoft.com/sharepoint/v3/contenttype/forms"/>
  </ds:schemaRefs>
</ds:datastoreItem>
</file>

<file path=customXml/itemProps3.xml><?xml version="1.0" encoding="utf-8"?>
<ds:datastoreItem xmlns:ds="http://schemas.openxmlformats.org/officeDocument/2006/customXml" ds:itemID="{5C68B937-8923-4546-80DC-51DAFFCB1572}">
  <ds:schemaRefs>
    <ds:schemaRef ds:uri="http://purl.org/dc/terms/"/>
    <ds:schemaRef ds:uri="c06f9f04-1c9b-4a26-89f6-c485a65df2b4"/>
    <ds:schemaRef ds:uri="http://schemas.microsoft.com/office/2006/documentManagement/types"/>
    <ds:schemaRef ds:uri="0ce27ddd-838e-4dc2-84c1-f51064e7687d"/>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Site Descriptions</vt:lpstr>
      <vt:lpstr>Data</vt:lpstr>
      <vt:lpstr>Pivot Table</vt:lpstr>
      <vt:lpstr>Pivot Table for Other Seedlings</vt:lpstr>
      <vt:lpstr>Pivot Table for Unit Data</vt:lpstr>
      <vt:lpstr>Height</vt:lpstr>
      <vt:lpstr>Diameter at Base</vt:lpstr>
      <vt:lpstr>Volume</vt:lpstr>
      <vt:lpstr>Survival</vt:lpstr>
      <vt:lpstr>Percent Grazed</vt:lpstr>
      <vt:lpstr>Density by Species</vt:lpstr>
      <vt:lpstr>SPSS Output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HETTINGER, RACHEL E</dc:creator>
  <cp:lastModifiedBy>Erica</cp:lastModifiedBy>
  <dcterms:created xsi:type="dcterms:W3CDTF">2019-11-06T20:12:13Z</dcterms:created>
  <dcterms:modified xsi:type="dcterms:W3CDTF">2020-11-06T17:11:50Z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0x010100CEA08ADBB1247649882D30D54EFAEF68</vt:lpwstr>
  </property>
</Properties>
</file>