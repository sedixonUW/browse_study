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d.docs.live.net/34f38812629469e7/Documents/Pack/"/>
    </mc:Choice>
  </mc:AlternateContent>
  <xr:revisionPtr revIDLastSave="1553" documentId="13_ncr:1_{E08EC12A-3CEE-40B8-ACBE-DE7B5351B6A5}" xr6:coauthVersionLast="47" xr6:coauthVersionMax="47" xr10:uidLastSave="{BA030FAB-DB2A-4DCA-A347-DCCB584AA6F7}"/>
  <bookViews>
    <workbookView xWindow="-110" yWindow="-110" windowWidth="19420" windowHeight="11500" xr2:uid="{9C36EA50-4DE9-4151-9EE6-64991A528278}"/>
  </bookViews>
  <sheets>
    <sheet name="Metadata" sheetId="5" r:id="rId1"/>
    <sheet name="Plot Notes" sheetId="1" r:id="rId2"/>
    <sheet name="All Data" sheetId="2" r:id="rId3"/>
    <sheet name="Century Data" sheetId="6" r:id="rId4"/>
    <sheet name="Switchback Data" sheetId="7" r:id="rId5"/>
    <sheet name="RR Thin Data" sheetId="8" r:id="rId6"/>
    <sheet name="FC Data" sheetId="9" r:id="rId7"/>
    <sheet name="CP Data" sheetId="10" r:id="rId8"/>
    <sheet name="P or CC Data" sheetId="11" r:id="rId9"/>
    <sheet name="SC Data" sheetId="14" r:id="rId10"/>
    <sheet name="Vexar Data" sheetId="15" r:id="rId11"/>
    <sheet name="Blank Datasheet" sheetId="4"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9" i="15" l="1"/>
  <c r="F48" i="15"/>
  <c r="F47" i="15"/>
  <c r="F46" i="15"/>
  <c r="F45" i="15"/>
  <c r="F44" i="15"/>
  <c r="F43" i="15"/>
  <c r="F42" i="15"/>
  <c r="F41" i="15"/>
  <c r="F40" i="15"/>
  <c r="F39" i="15"/>
  <c r="F38" i="15"/>
  <c r="F37" i="15"/>
  <c r="F36" i="15"/>
  <c r="F35" i="15"/>
  <c r="F34" i="15"/>
  <c r="F33" i="15"/>
  <c r="F32" i="15"/>
  <c r="F31" i="15"/>
  <c r="F30" i="15"/>
  <c r="F29" i="15"/>
  <c r="F28" i="15"/>
  <c r="F27" i="15"/>
  <c r="F26" i="15"/>
  <c r="F25" i="15"/>
  <c r="F24" i="15"/>
  <c r="F23" i="15"/>
  <c r="F22" i="15"/>
  <c r="F21" i="15"/>
  <c r="F20" i="15"/>
  <c r="F19" i="15"/>
  <c r="F18" i="15"/>
  <c r="F17" i="15"/>
  <c r="F16" i="15"/>
  <c r="F15" i="15"/>
  <c r="F14" i="15"/>
  <c r="F13" i="15"/>
  <c r="F12" i="15"/>
  <c r="F11" i="15"/>
  <c r="F10" i="15"/>
  <c r="F9" i="15"/>
  <c r="F8" i="15"/>
  <c r="F7" i="15"/>
  <c r="F6" i="15"/>
  <c r="F5" i="15"/>
  <c r="F4" i="15"/>
  <c r="F3" i="15"/>
  <c r="F2" i="15"/>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51" i="14"/>
  <c r="F50" i="14"/>
  <c r="F49" i="14"/>
  <c r="F48" i="14"/>
  <c r="F47" i="14"/>
  <c r="F46" i="14"/>
  <c r="F45" i="14"/>
  <c r="F44" i="14"/>
  <c r="F43" i="14"/>
  <c r="F42" i="14"/>
  <c r="F41" i="14"/>
  <c r="F40" i="14"/>
  <c r="F39" i="14"/>
  <c r="F38" i="14"/>
  <c r="F37" i="14"/>
  <c r="F36" i="14"/>
  <c r="F35" i="14"/>
  <c r="F34" i="14"/>
  <c r="F33" i="14"/>
  <c r="F32" i="14"/>
  <c r="F31" i="14"/>
  <c r="F30" i="14"/>
  <c r="F29" i="14"/>
  <c r="F28" i="14"/>
  <c r="F27" i="14"/>
  <c r="F26" i="14"/>
  <c r="F25" i="14"/>
  <c r="F24" i="14"/>
  <c r="F23" i="14"/>
  <c r="F22" i="14"/>
  <c r="F21" i="14"/>
  <c r="F20" i="14"/>
  <c r="F19" i="14"/>
  <c r="F18" i="14"/>
  <c r="F17" i="14"/>
  <c r="F16" i="14"/>
  <c r="F15" i="14"/>
  <c r="F14" i="14"/>
  <c r="F13" i="14"/>
  <c r="F12" i="14"/>
  <c r="F11" i="14"/>
  <c r="F10" i="14"/>
  <c r="F9" i="14"/>
  <c r="F8" i="14"/>
  <c r="F7" i="14"/>
  <c r="F6" i="14"/>
  <c r="F5" i="14"/>
  <c r="F4" i="14"/>
  <c r="F3" i="14"/>
  <c r="F2" i="14"/>
  <c r="F52" i="11"/>
  <c r="F51" i="11"/>
  <c r="F50" i="11"/>
  <c r="F49" i="11"/>
  <c r="F48" i="11"/>
  <c r="F47" i="11"/>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7" i="11"/>
  <c r="F6" i="11"/>
  <c r="F5" i="11"/>
  <c r="F4" i="11"/>
  <c r="F3" i="11"/>
  <c r="F2" i="11"/>
  <c r="G104" i="10"/>
  <c r="G103" i="10"/>
  <c r="G102" i="10"/>
  <c r="G101" i="10"/>
  <c r="G100" i="10"/>
  <c r="G99" i="10"/>
  <c r="G98" i="10"/>
  <c r="G97" i="10"/>
  <c r="G96" i="10"/>
  <c r="G95" i="10"/>
  <c r="G94" i="10"/>
  <c r="G93" i="10"/>
  <c r="G92" i="10"/>
  <c r="G91" i="10"/>
  <c r="G90" i="10"/>
  <c r="G89" i="10"/>
  <c r="G88" i="10"/>
  <c r="G87" i="10"/>
  <c r="G86" i="10"/>
  <c r="G85" i="10"/>
  <c r="G84" i="10"/>
  <c r="G83" i="10"/>
  <c r="G82" i="10"/>
  <c r="G81" i="10"/>
  <c r="G80" i="10"/>
  <c r="G79" i="10"/>
  <c r="G78" i="10"/>
  <c r="G77" i="10"/>
  <c r="G76" i="10"/>
  <c r="G75" i="10"/>
  <c r="G74" i="10"/>
  <c r="G73" i="10"/>
  <c r="G72" i="10"/>
  <c r="G71" i="10"/>
  <c r="G70" i="10"/>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2" i="10"/>
  <c r="G31" i="10"/>
  <c r="G30" i="10"/>
  <c r="G29" i="10"/>
  <c r="G28" i="10"/>
  <c r="G26" i="10"/>
  <c r="G24" i="10"/>
  <c r="G23" i="10"/>
  <c r="G22" i="10"/>
  <c r="G21" i="10"/>
  <c r="G20" i="10"/>
  <c r="G19" i="10"/>
  <c r="G18" i="10"/>
  <c r="G17" i="10"/>
  <c r="G16" i="10"/>
  <c r="G15" i="10"/>
  <c r="G14" i="10"/>
  <c r="G13" i="10"/>
  <c r="G12" i="10"/>
  <c r="G11" i="10"/>
  <c r="G10" i="10"/>
  <c r="G9" i="10"/>
  <c r="G8" i="10"/>
  <c r="G7" i="10"/>
  <c r="G6" i="10"/>
  <c r="G5" i="10"/>
  <c r="G4" i="10"/>
  <c r="G3" i="10"/>
  <c r="G2" i="10"/>
  <c r="F104" i="9"/>
  <c r="F103" i="9"/>
  <c r="F102" i="9"/>
  <c r="F101" i="9"/>
  <c r="F100" i="9"/>
  <c r="F99" i="9"/>
  <c r="F98" i="9"/>
  <c r="F97" i="9"/>
  <c r="F96" i="9"/>
  <c r="F95" i="9"/>
  <c r="F94" i="9"/>
  <c r="F93" i="9"/>
  <c r="F92" i="9"/>
  <c r="F91" i="9"/>
  <c r="F90" i="9"/>
  <c r="F89" i="9"/>
  <c r="F88" i="9"/>
  <c r="F87" i="9"/>
  <c r="F86" i="9"/>
  <c r="F85" i="9"/>
  <c r="F84" i="9"/>
  <c r="F83" i="9"/>
  <c r="F82" i="9"/>
  <c r="F81" i="9"/>
  <c r="F80" i="9"/>
  <c r="F79" i="9"/>
  <c r="F78" i="9"/>
  <c r="F77" i="9"/>
  <c r="F76" i="9"/>
  <c r="F75" i="9"/>
  <c r="F74" i="9"/>
  <c r="F73" i="9"/>
  <c r="F72" i="9"/>
  <c r="F71" i="9"/>
  <c r="F70" i="9"/>
  <c r="F69" i="9"/>
  <c r="F68" i="9"/>
  <c r="F67" i="9"/>
  <c r="F66" i="9"/>
  <c r="F65" i="9"/>
  <c r="F64" i="9"/>
  <c r="F63" i="9"/>
  <c r="F62" i="9"/>
  <c r="F61" i="9"/>
  <c r="F60" i="9"/>
  <c r="F59" i="9"/>
  <c r="F58" i="9"/>
  <c r="F57" i="9"/>
  <c r="F56" i="9"/>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6" i="9"/>
  <c r="F24" i="9"/>
  <c r="F23" i="9"/>
  <c r="F22" i="9"/>
  <c r="F21" i="9"/>
  <c r="F19" i="9"/>
  <c r="F18" i="9"/>
  <c r="F17" i="9"/>
  <c r="F16" i="9"/>
  <c r="F15" i="9"/>
  <c r="F14" i="9"/>
  <c r="F12" i="9"/>
  <c r="F11" i="9"/>
  <c r="F10" i="9"/>
  <c r="F9" i="9"/>
  <c r="F8" i="9"/>
  <c r="F7" i="9"/>
  <c r="F6" i="9"/>
  <c r="F5" i="9"/>
  <c r="F4" i="9"/>
  <c r="F3" i="9"/>
  <c r="F2" i="9"/>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G2" i="8"/>
  <c r="G138" i="7"/>
  <c r="G137" i="7"/>
  <c r="G136" i="7"/>
  <c r="G135" i="7"/>
  <c r="G134" i="7"/>
  <c r="G133" i="7"/>
  <c r="G132" i="7"/>
  <c r="G131" i="7"/>
  <c r="G130" i="7"/>
  <c r="G129" i="7"/>
  <c r="G128" i="7"/>
  <c r="G127" i="7"/>
  <c r="G126" i="7"/>
  <c r="G125" i="7"/>
  <c r="G124" i="7"/>
  <c r="G123" i="7"/>
  <c r="G122" i="7"/>
  <c r="G121" i="7"/>
  <c r="G120" i="7"/>
  <c r="G119" i="7"/>
  <c r="G118" i="7"/>
  <c r="G117" i="7"/>
  <c r="G116" i="7"/>
  <c r="G115" i="7"/>
  <c r="G114" i="7"/>
  <c r="G113" i="7"/>
  <c r="G112" i="7"/>
  <c r="G111" i="7"/>
  <c r="G110" i="7"/>
  <c r="G109" i="7"/>
  <c r="G108" i="7"/>
  <c r="G107" i="7"/>
  <c r="G106" i="7"/>
  <c r="G105" i="7"/>
  <c r="G104" i="7"/>
  <c r="G103" i="7"/>
  <c r="G102" i="7"/>
  <c r="G101" i="7"/>
  <c r="G100" i="7"/>
  <c r="G99" i="7"/>
  <c r="G98" i="7"/>
  <c r="G97" i="7"/>
  <c r="G96" i="7"/>
  <c r="G95" i="7"/>
  <c r="G94" i="7"/>
  <c r="G93" i="7"/>
  <c r="G92" i="7"/>
  <c r="G91" i="7"/>
  <c r="G90" i="7"/>
  <c r="G89" i="7"/>
  <c r="G88" i="7"/>
  <c r="G87" i="7"/>
  <c r="G86" i="7"/>
  <c r="G85" i="7"/>
  <c r="G84" i="7"/>
  <c r="G83" i="7"/>
  <c r="G82" i="7"/>
  <c r="G81" i="7"/>
  <c r="G80" i="7"/>
  <c r="G79" i="7"/>
  <c r="G78" i="7"/>
  <c r="G77" i="7"/>
  <c r="G76" i="7"/>
  <c r="G75" i="7"/>
  <c r="G74" i="7"/>
  <c r="G73" i="7"/>
  <c r="G72" i="7"/>
  <c r="G71" i="7"/>
  <c r="G70" i="7"/>
  <c r="G69" i="7"/>
  <c r="G68" i="7"/>
  <c r="G67" i="7"/>
  <c r="G66" i="7"/>
  <c r="G65" i="7"/>
  <c r="G64" i="7"/>
  <c r="G63" i="7"/>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4" i="7"/>
  <c r="G3" i="7"/>
  <c r="G2" i="7"/>
  <c r="G2" i="2"/>
  <c r="G3" i="2"/>
  <c r="G4" i="2"/>
  <c r="G5" i="2"/>
  <c r="G6" i="2"/>
  <c r="G7" i="2"/>
  <c r="G8" i="2"/>
  <c r="G9" i="2"/>
  <c r="G10" i="2"/>
  <c r="G11" i="2"/>
  <c r="G12" i="2"/>
  <c r="G14" i="2"/>
  <c r="G15" i="2"/>
  <c r="G16" i="2"/>
  <c r="G17" i="2"/>
  <c r="G18" i="2"/>
  <c r="G19" i="2"/>
  <c r="G21" i="2"/>
  <c r="G22" i="2"/>
  <c r="G23" i="2"/>
  <c r="G24" i="2"/>
  <c r="G26"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1" i="2"/>
  <c r="G133" i="2"/>
  <c r="G134" i="2"/>
  <c r="G135" i="2"/>
  <c r="G136" i="2"/>
  <c r="G137"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7" i="6"/>
  <c r="G136" i="6"/>
  <c r="G135" i="6"/>
  <c r="G134" i="6"/>
  <c r="G133" i="6"/>
  <c r="G131"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6" i="6"/>
  <c r="G24" i="6"/>
  <c r="G23" i="6"/>
  <c r="G22" i="6"/>
  <c r="G21" i="6"/>
  <c r="G19" i="6"/>
  <c r="G18" i="6"/>
  <c r="G17" i="6"/>
  <c r="G16" i="6"/>
  <c r="G15" i="6"/>
  <c r="G14" i="6"/>
  <c r="G12" i="6"/>
  <c r="G11" i="6"/>
  <c r="G10" i="6"/>
  <c r="G9" i="6"/>
  <c r="G8" i="6"/>
  <c r="G7" i="6"/>
  <c r="G6" i="6"/>
  <c r="G5" i="6"/>
  <c r="G4" i="6"/>
  <c r="G3" i="6"/>
  <c r="G2" i="6"/>
</calcChain>
</file>

<file path=xl/sharedStrings.xml><?xml version="1.0" encoding="utf-8"?>
<sst xmlns="http://schemas.openxmlformats.org/spreadsheetml/2006/main" count="6639" uniqueCount="215">
  <si>
    <t>Date</t>
  </si>
  <si>
    <t>Crew</t>
  </si>
  <si>
    <t>Treatment</t>
  </si>
  <si>
    <t>Data Entry Date</t>
  </si>
  <si>
    <t>Data Entry Initials</t>
  </si>
  <si>
    <t>Comments</t>
  </si>
  <si>
    <t>VH</t>
  </si>
  <si>
    <t>Tree #</t>
  </si>
  <si>
    <t>Height (ft)</t>
  </si>
  <si>
    <t>Height (m)</t>
  </si>
  <si>
    <t># of leaders</t>
  </si>
  <si>
    <t>Ht. at fork (m)</t>
  </si>
  <si>
    <t>Diameter (mm)</t>
  </si>
  <si>
    <t>DfV at 1m (mm)</t>
  </si>
  <si>
    <t>Deformity Y/N</t>
  </si>
  <si>
    <t>Deformity type</t>
  </si>
  <si>
    <t>Rotation risk Y/N</t>
  </si>
  <si>
    <t>Ht. of deformity (m)</t>
  </si>
  <si>
    <t>DfS at deformity (mm)</t>
  </si>
  <si>
    <t>N</t>
  </si>
  <si>
    <t>Y</t>
  </si>
  <si>
    <t>CR</t>
  </si>
  <si>
    <t>SK</t>
  </si>
  <si>
    <t>S</t>
  </si>
  <si>
    <t xml:space="preserve">Plot </t>
  </si>
  <si>
    <t>Century</t>
  </si>
  <si>
    <t>FC</t>
  </si>
  <si>
    <t>F + CR = rotation risk</t>
  </si>
  <si>
    <t>Fork is rotation risk</t>
  </si>
  <si>
    <t>SW</t>
  </si>
  <si>
    <t>G</t>
  </si>
  <si>
    <t>L</t>
  </si>
  <si>
    <t>Vexar and fence</t>
  </si>
  <si>
    <t>Photo</t>
  </si>
  <si>
    <t>Slope</t>
  </si>
  <si>
    <t>Aspect</t>
  </si>
  <si>
    <t>E</t>
  </si>
  <si>
    <t>6/11/2024, 6/18/2024, 6/20/2024</t>
  </si>
  <si>
    <t>VH, VH CB, VH HC</t>
  </si>
  <si>
    <t>Ht is to highest live point. Dead top.</t>
  </si>
  <si>
    <t>SS</t>
  </si>
  <si>
    <t>Species</t>
  </si>
  <si>
    <t>WRC</t>
  </si>
  <si>
    <t xml:space="preserve">N </t>
  </si>
  <si>
    <t>P OR CC 1</t>
  </si>
  <si>
    <t>P OR CC 2</t>
  </si>
  <si>
    <t>Top 40mm dead. Browsed.</t>
  </si>
  <si>
    <t>Browsed</t>
  </si>
  <si>
    <t>SC</t>
  </si>
  <si>
    <t>Plot:_____________________</t>
  </si>
  <si>
    <t>Crew:________________</t>
  </si>
  <si>
    <t>Slope:_____________</t>
  </si>
  <si>
    <t>Aspect:_____________</t>
  </si>
  <si>
    <t>Date:__________________</t>
  </si>
  <si>
    <t>Plot Notes:</t>
  </si>
  <si>
    <t>Tree#</t>
  </si>
  <si>
    <t>DfV (mm)</t>
  </si>
  <si>
    <t>Deformity ht. (m)</t>
  </si>
  <si>
    <t>Deformity DfS (mm)</t>
  </si>
  <si>
    <r>
      <t xml:space="preserve">This datasheet is to be used for browse protection method row sites. Trees will be numbered starting at the top of the leftmost row (facing road from plot) and continue at the top of the next row. Treatments are </t>
    </r>
    <r>
      <rPr>
        <b/>
        <sz val="11"/>
        <color theme="1"/>
        <rFont val="Aptos Narrow"/>
        <family val="2"/>
        <scheme val="minor"/>
      </rPr>
      <t>P</t>
    </r>
    <r>
      <rPr>
        <sz val="11"/>
        <color theme="1"/>
        <rFont val="Aptos Narrow"/>
        <family val="2"/>
        <scheme val="minor"/>
      </rPr>
      <t xml:space="preserve">lantskydd, </t>
    </r>
    <r>
      <rPr>
        <b/>
        <sz val="11"/>
        <color theme="1"/>
        <rFont val="Aptos Narrow"/>
        <family val="2"/>
        <scheme val="minor"/>
      </rPr>
      <t>C</t>
    </r>
    <r>
      <rPr>
        <sz val="11"/>
        <color theme="1"/>
        <rFont val="Aptos Narrow"/>
        <family val="2"/>
        <scheme val="minor"/>
      </rPr>
      <t>o-</t>
    </r>
    <r>
      <rPr>
        <b/>
        <sz val="11"/>
        <color theme="1"/>
        <rFont val="Aptos Narrow"/>
        <family val="2"/>
        <scheme val="minor"/>
      </rPr>
      <t>p</t>
    </r>
    <r>
      <rPr>
        <sz val="11"/>
        <color theme="1"/>
        <rFont val="Aptos Narrow"/>
        <family val="2"/>
        <scheme val="minor"/>
      </rPr>
      <t xml:space="preserve">lanting, </t>
    </r>
    <r>
      <rPr>
        <b/>
        <sz val="11"/>
        <color theme="1"/>
        <rFont val="Aptos Narrow"/>
        <family val="2"/>
        <scheme val="minor"/>
      </rPr>
      <t>V</t>
    </r>
    <r>
      <rPr>
        <sz val="11"/>
        <color theme="1"/>
        <rFont val="Aptos Narrow"/>
        <family val="2"/>
        <scheme val="minor"/>
      </rPr>
      <t>exar, WR</t>
    </r>
    <r>
      <rPr>
        <b/>
        <sz val="11"/>
        <color theme="1"/>
        <rFont val="Aptos Narrow"/>
        <family val="2"/>
        <scheme val="minor"/>
      </rPr>
      <t>C C</t>
    </r>
    <r>
      <rPr>
        <sz val="11"/>
        <color theme="1"/>
        <rFont val="Aptos Narrow"/>
        <family val="2"/>
        <scheme val="minor"/>
      </rPr>
      <t xml:space="preserve">ontrol, </t>
    </r>
    <r>
      <rPr>
        <b/>
        <sz val="11"/>
        <color theme="1"/>
        <rFont val="Aptos Narrow"/>
        <family val="2"/>
        <scheme val="minor"/>
      </rPr>
      <t>S</t>
    </r>
    <r>
      <rPr>
        <sz val="11"/>
        <color theme="1"/>
        <rFont val="Aptos Narrow"/>
        <family val="2"/>
        <scheme val="minor"/>
      </rPr>
      <t xml:space="preserve">S </t>
    </r>
    <r>
      <rPr>
        <b/>
        <sz val="11"/>
        <color theme="1"/>
        <rFont val="Aptos Narrow"/>
        <family val="2"/>
        <scheme val="minor"/>
      </rPr>
      <t>C</t>
    </r>
    <r>
      <rPr>
        <sz val="11"/>
        <color theme="1"/>
        <rFont val="Aptos Narrow"/>
        <family val="2"/>
        <scheme val="minor"/>
      </rPr>
      <t xml:space="preserve">ontrol, and </t>
    </r>
    <r>
      <rPr>
        <b/>
        <sz val="11"/>
        <color theme="1"/>
        <rFont val="Aptos Narrow"/>
        <family val="2"/>
        <scheme val="minor"/>
      </rPr>
      <t>F</t>
    </r>
    <r>
      <rPr>
        <sz val="11"/>
        <color theme="1"/>
        <rFont val="Aptos Narrow"/>
        <family val="2"/>
        <scheme val="minor"/>
      </rPr>
      <t xml:space="preserve">ence </t>
    </r>
    <r>
      <rPr>
        <b/>
        <sz val="11"/>
        <color theme="1"/>
        <rFont val="Aptos Narrow"/>
        <family val="2"/>
        <scheme val="minor"/>
      </rPr>
      <t>C</t>
    </r>
    <r>
      <rPr>
        <sz val="11"/>
        <color theme="1"/>
        <rFont val="Aptos Narrow"/>
        <family val="2"/>
        <scheme val="minor"/>
      </rPr>
      <t xml:space="preserve">ontrol. DfS/V refers to displacement from stem/vertical. Record DfV for 3 randomly selected trees in each row. Diameter and DfV will be measured at 1m. If multiple leader divergences or deformities exist, record data for each instance. Record height and diameter (and aspect for pair plants) for all SS. Pair plant SS will be cut out once recorded.		</t>
    </r>
  </si>
  <si>
    <t>CP</t>
  </si>
  <si>
    <t>V</t>
  </si>
  <si>
    <t>No vexar</t>
  </si>
  <si>
    <t>Offset from row</t>
  </si>
  <si>
    <t>D, DfV, S taken at 0.25m</t>
  </si>
  <si>
    <t>LP</t>
  </si>
  <si>
    <t>PB</t>
  </si>
  <si>
    <t>Aspect (pair plant SS)</t>
  </si>
  <si>
    <t>W</t>
  </si>
  <si>
    <t>NE</t>
  </si>
  <si>
    <t>NW</t>
  </si>
  <si>
    <t>SE</t>
  </si>
  <si>
    <t>P71</t>
  </si>
  <si>
    <t>P70</t>
  </si>
  <si>
    <t>P73</t>
  </si>
  <si>
    <t>P72</t>
  </si>
  <si>
    <t>P75</t>
  </si>
  <si>
    <t>P74</t>
  </si>
  <si>
    <t xml:space="preserve">Co-plant cedar missing or dead. </t>
  </si>
  <si>
    <t>Diameter taken at 1.3m because of branches. P78</t>
  </si>
  <si>
    <t>P77</t>
  </si>
  <si>
    <t>P80</t>
  </si>
  <si>
    <t>P79</t>
  </si>
  <si>
    <t>Diameter taken at 1.1m because of branches. P82</t>
  </si>
  <si>
    <t>P81</t>
  </si>
  <si>
    <t>P84</t>
  </si>
  <si>
    <t>P83</t>
  </si>
  <si>
    <t>P86</t>
  </si>
  <si>
    <t>P85</t>
  </si>
  <si>
    <t>P88</t>
  </si>
  <si>
    <t>P87</t>
  </si>
  <si>
    <t>P90</t>
  </si>
  <si>
    <t>P89</t>
  </si>
  <si>
    <t>P92</t>
  </si>
  <si>
    <t>Diameter taken at 0.5m. P91</t>
  </si>
  <si>
    <t>P94</t>
  </si>
  <si>
    <t>P93</t>
  </si>
  <si>
    <t>P96</t>
  </si>
  <si>
    <t>P95</t>
  </si>
  <si>
    <t>P98</t>
  </si>
  <si>
    <t>P97</t>
  </si>
  <si>
    <t>P100</t>
  </si>
  <si>
    <t>P102</t>
  </si>
  <si>
    <t>P101</t>
  </si>
  <si>
    <t>P104</t>
  </si>
  <si>
    <t>P103</t>
  </si>
  <si>
    <t>P105</t>
  </si>
  <si>
    <t>P106</t>
  </si>
  <si>
    <t>6/26/2024, 6/27/2024</t>
  </si>
  <si>
    <t>VH HC, VH CF</t>
  </si>
  <si>
    <t>Switchback</t>
  </si>
  <si>
    <t xml:space="preserve">Entire plot was 4-6ft blackberry, brushed prior to data collection. </t>
  </si>
  <si>
    <t>D taken at 0.9m</t>
  </si>
  <si>
    <t>D at 0.5m</t>
  </si>
  <si>
    <t>D taken at 0.99m</t>
  </si>
  <si>
    <t>P69</t>
  </si>
  <si>
    <t>P78</t>
  </si>
  <si>
    <t>P68</t>
  </si>
  <si>
    <t>P76</t>
  </si>
  <si>
    <t>P82</t>
  </si>
  <si>
    <t>P91</t>
  </si>
  <si>
    <t>P99</t>
  </si>
  <si>
    <t>Diameter at 0.97m</t>
  </si>
  <si>
    <t>Ht. to lowest live point; top dead</t>
  </si>
  <si>
    <t>6/27/2024, 7/1/2024</t>
  </si>
  <si>
    <t>VH CF, VH JA</t>
  </si>
  <si>
    <t>RR Thin</t>
  </si>
  <si>
    <t>Plot was 4-6ft blackberries, brushed prior to data collection. All rows have high early mortality / missing trees, likely due to poor (rocky) soil quality.</t>
  </si>
  <si>
    <t>Bushy</t>
  </si>
  <si>
    <t>browsed. Diameter at 0.5m</t>
  </si>
  <si>
    <t>photo</t>
  </si>
  <si>
    <t>pair missing</t>
  </si>
  <si>
    <t>BD</t>
  </si>
  <si>
    <t>ht is to lowest live branch; stem is dead at 9.6ft (2.93m). P31.</t>
  </si>
  <si>
    <t>P30</t>
  </si>
  <si>
    <t>P33</t>
  </si>
  <si>
    <t>P32</t>
  </si>
  <si>
    <t>P35</t>
  </si>
  <si>
    <t>P34</t>
  </si>
  <si>
    <t>P37</t>
  </si>
  <si>
    <t>P36</t>
  </si>
  <si>
    <t>P39</t>
  </si>
  <si>
    <t>P38</t>
  </si>
  <si>
    <t>P42</t>
  </si>
  <si>
    <t>P41</t>
  </si>
  <si>
    <t>P44</t>
  </si>
  <si>
    <t>P43</t>
  </si>
  <si>
    <t>Bird nest with egg -- moved DfV to next tree in row</t>
  </si>
  <si>
    <t>dead top</t>
  </si>
  <si>
    <t>yellowing needles</t>
  </si>
  <si>
    <t>FC row also has vexar on some trees, unsure why. Plot had significant presence of alder and 3-5ft blackberries; brushed prior to data collection.</t>
  </si>
  <si>
    <t>Diameter taken at 0.5m. Accidentally cut during SS removal. P99</t>
  </si>
  <si>
    <t>Accidentally cut during SS removal. P100</t>
  </si>
  <si>
    <t>pair dead</t>
  </si>
  <si>
    <t>Trees are numbered starting at the top of the leftmost row (facing road from plot) and continue at the top of the next row.</t>
  </si>
  <si>
    <t>This project is under the supervision of Greg Ettl at the University of Washington.</t>
  </si>
  <si>
    <t>This dataset is compiled by Violet Harris, Research Aide at UW Pack Forest.</t>
  </si>
  <si>
    <t>Data was gathered by Violet Harris and UW undergraduate intern technicians.</t>
  </si>
  <si>
    <t>This document contains:</t>
  </si>
  <si>
    <t>Metadata -- this page</t>
  </si>
  <si>
    <t>Plot notes -- plot summaries, information on data recorded, data entry notes</t>
  </si>
  <si>
    <t>All Data</t>
  </si>
  <si>
    <t>Blank Datasheet -- field datasheet example</t>
  </si>
  <si>
    <t>Plot information:</t>
  </si>
  <si>
    <t>Measurements taken:</t>
  </si>
  <si>
    <t>Height (height pole, converted in this spreadsheet from ft to m)</t>
  </si>
  <si>
    <t>Diameter at 1 meter (calipers, millimeters)</t>
  </si>
  <si>
    <t>Ht at fork</t>
  </si>
  <si>
    <t>Sweep (DfV, or deviation from vertical; measured in millimeters from the edge of the bole of the tree to the edge of a vertical pole held level 1 meter above root collar)</t>
  </si>
  <si>
    <t>Deformity (Yes or No)</t>
  </si>
  <si>
    <t xml:space="preserve">Deformity type </t>
  </si>
  <si>
    <t>Rotation risk (Yes or No; will the tree die before it reaches commercial timber harvest age)</t>
  </si>
  <si>
    <t>Deformity DfS (distance from stem; see "deformity measurements")</t>
  </si>
  <si>
    <t>Deformity measurements:</t>
  </si>
  <si>
    <t xml:space="preserve">Spike Knot (SK): DfS measured by lining up meterstick with the growth trajectory of the tree below the spike knot, then measuring from the edge of meterstick to edge of bole above spike knot. Often 0mm. </t>
  </si>
  <si>
    <t>Crook (CR): DfS measured by lining up meterstick with the growth trajectory of the tree below and above the crook, then measuring from edge of meterstick to edge of bole at widest point.</t>
  </si>
  <si>
    <t>Sweep (SW): Same measurement as DfV.</t>
  </si>
  <si>
    <t>Lean (L): Same measurement as DfV.</t>
  </si>
  <si>
    <t>Bole Damage (BD): Often 0mm, but if there is a DfS it is measured in the same way as a spike knot.</t>
  </si>
  <si>
    <t>Other notes:</t>
  </si>
  <si>
    <t>Diameter and DfV were measured at 0.5 or 0.25 meters in cases where the tree was too short to measure at 1 meter. A note in the tree comments indicates if measurements were not taken following standard procedure.</t>
  </si>
  <si>
    <t>Trees with multiple deformities are given as many rows as needed in datasheet.</t>
  </si>
  <si>
    <t>Century Data -- data from every treatment at the Century site</t>
  </si>
  <si>
    <t>Switchback Data -- data from every treatment at the Switchback site</t>
  </si>
  <si>
    <t>RR Thin Data -- data from every treatment at the Railroad Thin site</t>
  </si>
  <si>
    <t>FC Data -- all fence control data</t>
  </si>
  <si>
    <t>CP Data -- all data with the coplanting treatment</t>
  </si>
  <si>
    <t>P or CC Data -- all data with Plantskydd treatment or cedar control</t>
  </si>
  <si>
    <t>SC Data -- all spruce control data</t>
  </si>
  <si>
    <t>Each plot consists of a replicate of the 5 treatments/controls.</t>
  </si>
  <si>
    <t>Each treatment is a row of 20 trees planted 2 feet apart (40 trees in the case of the coplanting). Some mortality has occurred since planting.</t>
  </si>
  <si>
    <t xml:space="preserve">Rows are 10 to 20 feet apart. </t>
  </si>
  <si>
    <t>Plots are 10 to 20 feet from a road or trail (RR Thin is located near a trail running through the unit).</t>
  </si>
  <si>
    <t>Switchback: fence control - vexar - plantskydd or cedar control - plantskydd or cedar control - coplant - spruce control</t>
  </si>
  <si>
    <t>Century: fence control - spruce control - plantskydd or cedar control - plantskydd or cedar control - coplant - vexar</t>
  </si>
  <si>
    <t>Vexar Data -- all data with the vexar treatment</t>
  </si>
  <si>
    <t>Railroad Thin: fence control - vexar - coplant - plantskydd or cedar control - plantskydd or cedar control - spruce control</t>
  </si>
  <si>
    <t>It is no longer possible to know for certain which rows were WRC Control vs Plantskydd in the field; they are noted as "CC OR P 1/2."</t>
  </si>
  <si>
    <t>Deformity data was not gathered for spruce trees.</t>
  </si>
  <si>
    <t>Treatments are Plantskydd, Co-planting, Vexar, Western Red Cedar Control, Sitka Spruce Control, and Fence Control.</t>
  </si>
  <si>
    <t>Plots were brushed prior to measuring for tree access.</t>
  </si>
  <si>
    <t>Pair plant sitka spruce were cut out once recorded.</t>
  </si>
  <si>
    <t>Pistol Butt (PB): Same measurement as DfV.</t>
  </si>
  <si>
    <t>Loop (LP): Same measurement as crook.</t>
  </si>
  <si>
    <t>The damage code "G" refers to trees growing through and absorbing the fencing used in the fence control treatment, which creates a deformity of the bole and potential weak point. See photos.</t>
  </si>
  <si>
    <t>Growing through fencing (G): height only taken, DfS not applicable. See "other notes."</t>
  </si>
  <si>
    <t>Looking up at the road or trail from plot, the rows from left to right are:</t>
  </si>
  <si>
    <t>Ht of deformity (Height in meters to the bottom of the deformity)</t>
  </si>
  <si>
    <t>Trees with multiple rows in the datasheet do not have duplicate data with the exception of plot and tree number information.</t>
  </si>
  <si>
    <t>This study site was established and the trees represented in this dataset planted in 2015.</t>
  </si>
  <si>
    <t>Dead or missing trees do not get own row or number as not possible to identify what their position in the row was in most cases.</t>
  </si>
  <si>
    <t xml:space="preserve">DfV was measured for 3 randomly selected WRC trees in each row. </t>
  </si>
  <si>
    <t>This data was gathered from row design browse protection methods study sites at Pack Forest in 2024.</t>
  </si>
  <si>
    <t>Original (field) datasheets were transferred to Forest Manager Chase Beyer.</t>
  </si>
  <si>
    <t>Plot photos and any photos of trees which have a comment indicating they were photographed can be found in the Browse Protection Methods Study google drive, which is owned by packforestsummer@gmail.com and shared with Greg Ettl, Stacey Dixon, and Chase Beyer.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</si>
</sst>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b/>
      <sz val="11"/>
      <color theme="1"/>
      <name val="Aptos Narrow"/>
      <family val="2"/>
      <scheme val="minor"/>
    </font>
  </fonts>
  <fills count="2">
    <fill>
      <patternFill patternType="none"/>
    </fill>
    <fill>
      <patternFill patternType="gray125"/>
    </fill>
  </fills>
  <borders count="46">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s>
  <cellStyleXfs count="1">
    <xf numFmtId="0" fontId="0" fillId="0" borderId="0"/>
  </cellStyleXfs>
  <cellXfs count="98">
    <xf numFmtId="0" fontId="0" fillId="0" borderId="0" xfId="0"/>
    <xf numFmtId="0" fontId="0" fillId="0" borderId="1" xfId="0" applyBorder="1"/>
    <xf numFmtId="14" fontId="0" fillId="0" borderId="0" xfId="0" applyNumberFormat="1"/>
    <xf numFmtId="0" fontId="0" fillId="0" borderId="3" xfId="0" applyBorder="1"/>
    <xf numFmtId="14" fontId="0" fillId="0" borderId="4" xfId="0" applyNumberFormat="1" applyBorder="1"/>
    <xf numFmtId="0" fontId="0" fillId="0" borderId="4" xfId="0" applyBorder="1"/>
    <xf numFmtId="0" fontId="0" fillId="0" borderId="9" xfId="0" applyBorder="1" applyAlignment="1">
      <alignment vertical="center"/>
    </xf>
    <xf numFmtId="0" fontId="0" fillId="0" borderId="12" xfId="0" applyBorder="1" applyAlignment="1">
      <alignment vertical="top"/>
    </xf>
    <xf numFmtId="0" fontId="0" fillId="0" borderId="13" xfId="0" applyBorder="1" applyAlignment="1">
      <alignment vertical="top"/>
    </xf>
    <xf numFmtId="0" fontId="0" fillId="0" borderId="14" xfId="0" applyBorder="1" applyAlignment="1">
      <alignment vertical="top"/>
    </xf>
    <xf numFmtId="0" fontId="0" fillId="0" borderId="6" xfId="0" applyBorder="1" applyAlignment="1">
      <alignment vertical="top"/>
    </xf>
    <xf numFmtId="0" fontId="0" fillId="0" borderId="5" xfId="0" applyBorder="1" applyAlignment="1">
      <alignment vertical="top"/>
    </xf>
    <xf numFmtId="0" fontId="0" fillId="0" borderId="1" xfId="0" applyBorder="1" applyAlignment="1">
      <alignment vertical="top"/>
    </xf>
    <xf numFmtId="0" fontId="0" fillId="0" borderId="2" xfId="0" applyBorder="1" applyAlignment="1">
      <alignment vertical="top"/>
    </xf>
    <xf numFmtId="0" fontId="0" fillId="0" borderId="15" xfId="0" applyBorder="1" applyAlignment="1">
      <alignment vertical="top"/>
    </xf>
    <xf numFmtId="0" fontId="0" fillId="0" borderId="17" xfId="0" applyBorder="1" applyAlignment="1">
      <alignment vertical="top"/>
    </xf>
    <xf numFmtId="0" fontId="0" fillId="0" borderId="18"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19" xfId="0" applyBorder="1" applyAlignment="1">
      <alignment wrapText="1"/>
    </xf>
    <xf numFmtId="0" fontId="0" fillId="0" borderId="20" xfId="0" applyBorder="1" applyAlignment="1">
      <alignment wrapText="1"/>
    </xf>
    <xf numFmtId="0" fontId="0" fillId="0" borderId="11"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1" fillId="0" borderId="21" xfId="0" applyFont="1" applyBorder="1"/>
    <xf numFmtId="0" fontId="1" fillId="0" borderId="22" xfId="0" applyFont="1" applyBorder="1"/>
    <xf numFmtId="0" fontId="0" fillId="0" borderId="31" xfId="0" applyBorder="1"/>
    <xf numFmtId="0" fontId="0" fillId="0" borderId="32" xfId="0" applyBorder="1"/>
    <xf numFmtId="0" fontId="0" fillId="0" borderId="28" xfId="0" applyBorder="1"/>
    <xf numFmtId="0" fontId="0" fillId="0" borderId="30" xfId="0" applyBorder="1"/>
    <xf numFmtId="0" fontId="1" fillId="0" borderId="31" xfId="0" applyFont="1"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10" xfId="0" applyBorder="1" applyAlignment="1">
      <alignment wrapText="1"/>
    </xf>
    <xf numFmtId="0" fontId="0" fillId="0" borderId="37" xfId="0" applyBorder="1" applyAlignment="1">
      <alignment wrapText="1"/>
    </xf>
    <xf numFmtId="0" fontId="0" fillId="0" borderId="29" xfId="0" applyBorder="1"/>
    <xf numFmtId="0" fontId="0" fillId="0" borderId="12" xfId="0" applyBorder="1"/>
    <xf numFmtId="0" fontId="0" fillId="0" borderId="38" xfId="0" applyBorder="1"/>
    <xf numFmtId="0" fontId="0" fillId="0" borderId="39" xfId="0" applyBorder="1"/>
    <xf numFmtId="14" fontId="0" fillId="0" borderId="0" xfId="0" applyNumberFormat="1" applyAlignment="1">
      <alignment horizontal="left" vertical="center" wrapText="1"/>
    </xf>
    <xf numFmtId="0" fontId="0" fillId="0" borderId="0" xfId="0" applyAlignment="1">
      <alignment horizontal="left" vertical="center" wrapText="1"/>
    </xf>
    <xf numFmtId="14" fontId="0" fillId="0" borderId="4" xfId="0" applyNumberFormat="1" applyBorder="1" applyAlignment="1">
      <alignment horizontal="left" vertical="center" wrapText="1"/>
    </xf>
    <xf numFmtId="0" fontId="0" fillId="0" borderId="3" xfId="0" applyBorder="1" applyAlignment="1">
      <alignment horizontal="left" vertical="center" wrapText="1"/>
    </xf>
    <xf numFmtId="9" fontId="0" fillId="0" borderId="0" xfId="0" applyNumberFormat="1" applyAlignment="1">
      <alignment horizontal="left" vertical="center" wrapText="1"/>
    </xf>
    <xf numFmtId="0" fontId="0" fillId="0" borderId="4" xfId="0" applyBorder="1" applyAlignment="1">
      <alignment horizontal="left" vertical="center" wrapText="1"/>
    </xf>
    <xf numFmtId="14" fontId="0" fillId="0" borderId="0" xfId="0" applyNumberFormat="1" applyAlignment="1">
      <alignment horizontal="left" vertical="center"/>
    </xf>
    <xf numFmtId="0" fontId="0" fillId="0" borderId="0" xfId="0" applyAlignment="1">
      <alignment horizontal="left" vertical="center"/>
    </xf>
    <xf numFmtId="14" fontId="0" fillId="0" borderId="4" xfId="0" applyNumberFormat="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3" fillId="0" borderId="1" xfId="0" applyFont="1" applyBorder="1"/>
    <xf numFmtId="0" fontId="3" fillId="0" borderId="9" xfId="0" applyFont="1" applyBorder="1" applyAlignment="1">
      <alignment vertical="center" wrapText="1"/>
    </xf>
    <xf numFmtId="0" fontId="3" fillId="0" borderId="5" xfId="0" applyFont="1" applyBorder="1"/>
    <xf numFmtId="0" fontId="3" fillId="0" borderId="2" xfId="0" applyFont="1" applyBorder="1"/>
    <xf numFmtId="9" fontId="0" fillId="0" borderId="0" xfId="0" applyNumberFormat="1" applyAlignment="1">
      <alignment horizontal="left" vertical="center"/>
    </xf>
    <xf numFmtId="0" fontId="0" fillId="0" borderId="0" xfId="0" applyAlignment="1">
      <alignment horizontal="left" vertical="top" wrapText="1"/>
    </xf>
    <xf numFmtId="0" fontId="0" fillId="0" borderId="0" xfId="0" applyAlignment="1">
      <alignment horizontal="left" vertical="top"/>
    </xf>
    <xf numFmtId="2" fontId="0" fillId="0" borderId="0" xfId="0" applyNumberFormat="1"/>
    <xf numFmtId="2" fontId="3" fillId="0" borderId="9" xfId="0" applyNumberFormat="1" applyFont="1" applyBorder="1" applyAlignment="1">
      <alignment vertical="center" wrapText="1"/>
    </xf>
    <xf numFmtId="2" fontId="0" fillId="0" borderId="1" xfId="0" applyNumberFormat="1" applyBorder="1"/>
    <xf numFmtId="0" fontId="3" fillId="0" borderId="7" xfId="0" applyFont="1" applyBorder="1" applyAlignment="1">
      <alignment vertical="center"/>
    </xf>
    <xf numFmtId="0" fontId="0" fillId="0" borderId="40" xfId="0" applyBorder="1"/>
    <xf numFmtId="0" fontId="0" fillId="0" borderId="41" xfId="0" applyBorder="1"/>
    <xf numFmtId="0" fontId="3" fillId="0" borderId="8" xfId="0" applyFont="1" applyBorder="1" applyAlignment="1">
      <alignment vertical="center" wrapText="1"/>
    </xf>
    <xf numFmtId="0" fontId="3" fillId="0" borderId="16" xfId="0" applyFont="1" applyBorder="1" applyAlignment="1">
      <alignment vertical="center" wrapText="1"/>
    </xf>
    <xf numFmtId="0" fontId="0" fillId="0" borderId="42" xfId="0" applyBorder="1"/>
    <xf numFmtId="0" fontId="0" fillId="0" borderId="43" xfId="0" applyBorder="1"/>
    <xf numFmtId="0" fontId="0" fillId="0" borderId="44" xfId="0" applyBorder="1"/>
    <xf numFmtId="0" fontId="0" fillId="0" borderId="45" xfId="0" applyBorder="1"/>
    <xf numFmtId="2" fontId="3" fillId="0" borderId="8" xfId="0" applyNumberFormat="1" applyFont="1" applyBorder="1" applyAlignment="1">
      <alignment vertical="center" wrapText="1"/>
    </xf>
    <xf numFmtId="2" fontId="3" fillId="0" borderId="16" xfId="0" applyNumberFormat="1" applyFont="1" applyBorder="1" applyAlignment="1">
      <alignment vertical="center" wrapText="1"/>
    </xf>
    <xf numFmtId="2" fontId="0" fillId="0" borderId="42" xfId="0" applyNumberFormat="1" applyBorder="1"/>
    <xf numFmtId="2" fontId="0" fillId="0" borderId="43" xfId="0" applyNumberFormat="1" applyBorder="1"/>
    <xf numFmtId="2" fontId="0" fillId="0" borderId="44" xfId="0" applyNumberFormat="1" applyBorder="1"/>
    <xf numFmtId="2" fontId="0" fillId="0" borderId="45" xfId="0" applyNumberFormat="1" applyBorder="1"/>
    <xf numFmtId="2" fontId="3" fillId="0" borderId="7" xfId="0" applyNumberFormat="1" applyFont="1" applyBorder="1" applyAlignment="1">
      <alignment vertical="center" wrapText="1"/>
    </xf>
    <xf numFmtId="2" fontId="0" fillId="0" borderId="40" xfId="0" applyNumberFormat="1" applyBorder="1"/>
    <xf numFmtId="2" fontId="0" fillId="0" borderId="41" xfId="0" applyNumberFormat="1" applyBorder="1"/>
    <xf numFmtId="0" fontId="3" fillId="0" borderId="7" xfId="0" applyFont="1" applyBorder="1" applyAlignment="1">
      <alignment vertical="center" wrapText="1"/>
    </xf>
    <xf numFmtId="0" fontId="3" fillId="0" borderId="9" xfId="0" applyFont="1" applyBorder="1" applyAlignment="1">
      <alignment vertical="center"/>
    </xf>
    <xf numFmtId="0" fontId="1" fillId="0" borderId="16" xfId="0" applyFont="1" applyBorder="1" applyAlignment="1">
      <alignment vertical="center" wrapText="1"/>
    </xf>
    <xf numFmtId="0" fontId="1" fillId="0" borderId="0" xfId="0" applyFont="1"/>
    <xf numFmtId="0" fontId="3" fillId="0" borderId="0" xfId="0" applyFont="1"/>
    <xf numFmtId="0" fontId="0" fillId="0" borderId="0" xfId="0" applyAlignment="1">
      <alignment horizontal="left" vertical="top" wrapText="1"/>
    </xf>
    <xf numFmtId="0" fontId="0" fillId="0" borderId="15"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6"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E40C3-B8FE-A949-9BF8-E3091BECD40D}">
  <dimension ref="A1:X67"/>
  <sheetViews>
    <sheetView tabSelected="1" workbookViewId="0">
      <selection activeCell="F72" sqref="F72"/>
    </sheetView>
  </sheetViews>
  <sheetFormatPr defaultColWidth="10.90625" defaultRowHeight="14.5" x14ac:dyDescent="0.35"/>
  <sheetData>
    <row r="1" spans="1:14" s="88" customFormat="1" x14ac:dyDescent="0.35">
      <c r="A1" s="88" t="s">
        <v>212</v>
      </c>
    </row>
    <row r="2" spans="1:14" s="88" customFormat="1" x14ac:dyDescent="0.35">
      <c r="A2" s="88" t="s">
        <v>155</v>
      </c>
    </row>
    <row r="3" spans="1:14" x14ac:dyDescent="0.35">
      <c r="A3" t="s">
        <v>156</v>
      </c>
    </row>
    <row r="4" spans="1:14" x14ac:dyDescent="0.35">
      <c r="A4" t="s">
        <v>209</v>
      </c>
    </row>
    <row r="5" spans="1:14" x14ac:dyDescent="0.35">
      <c r="A5" t="s">
        <v>157</v>
      </c>
    </row>
    <row r="7" spans="1:14" x14ac:dyDescent="0.35">
      <c r="A7" s="88" t="s">
        <v>158</v>
      </c>
    </row>
    <row r="8" spans="1:14" x14ac:dyDescent="0.35">
      <c r="A8" t="s">
        <v>159</v>
      </c>
    </row>
    <row r="9" spans="1:14" x14ac:dyDescent="0.35">
      <c r="A9" t="s">
        <v>160</v>
      </c>
    </row>
    <row r="10" spans="1:14" x14ac:dyDescent="0.35">
      <c r="A10" t="s">
        <v>161</v>
      </c>
    </row>
    <row r="11" spans="1:14" x14ac:dyDescent="0.35">
      <c r="A11" t="s">
        <v>182</v>
      </c>
    </row>
    <row r="12" spans="1:14" x14ac:dyDescent="0.35">
      <c r="A12" t="s">
        <v>183</v>
      </c>
    </row>
    <row r="13" spans="1:14" x14ac:dyDescent="0.35">
      <c r="A13" t="s">
        <v>184</v>
      </c>
    </row>
    <row r="14" spans="1:14" x14ac:dyDescent="0.35">
      <c r="A14" t="s">
        <v>185</v>
      </c>
      <c r="L14" s="89"/>
      <c r="M14" s="89"/>
      <c r="N14" s="89"/>
    </row>
    <row r="15" spans="1:14" x14ac:dyDescent="0.35">
      <c r="A15" t="s">
        <v>186</v>
      </c>
    </row>
    <row r="16" spans="1:14" x14ac:dyDescent="0.35">
      <c r="A16" t="s">
        <v>187</v>
      </c>
    </row>
    <row r="17" spans="1:24" x14ac:dyDescent="0.35">
      <c r="A17" t="s">
        <v>188</v>
      </c>
    </row>
    <row r="18" spans="1:24" x14ac:dyDescent="0.35">
      <c r="A18" t="s">
        <v>195</v>
      </c>
    </row>
    <row r="19" spans="1:24" x14ac:dyDescent="0.35">
      <c r="A19" t="s">
        <v>162</v>
      </c>
    </row>
    <row r="21" spans="1:24" x14ac:dyDescent="0.35">
      <c r="A21" s="88" t="s">
        <v>163</v>
      </c>
    </row>
    <row r="22" spans="1:24" x14ac:dyDescent="0.35">
      <c r="A22" t="s">
        <v>189</v>
      </c>
    </row>
    <row r="23" spans="1:24" x14ac:dyDescent="0.35">
      <c r="A23" s="63" t="s">
        <v>199</v>
      </c>
    </row>
    <row r="24" spans="1:24" x14ac:dyDescent="0.35">
      <c r="A24" t="s">
        <v>190</v>
      </c>
    </row>
    <row r="25" spans="1:24" x14ac:dyDescent="0.35">
      <c r="A25" t="s">
        <v>191</v>
      </c>
    </row>
    <row r="26" spans="1:24" x14ac:dyDescent="0.35">
      <c r="A26" t="s">
        <v>192</v>
      </c>
    </row>
    <row r="27" spans="1:24" x14ac:dyDescent="0.35">
      <c r="A27" t="s">
        <v>206</v>
      </c>
    </row>
    <row r="28" spans="1:24" x14ac:dyDescent="0.35">
      <c r="A28" t="s">
        <v>194</v>
      </c>
      <c r="L28" s="90"/>
      <c r="M28" s="90"/>
      <c r="N28" s="90"/>
      <c r="O28" s="90"/>
      <c r="P28" s="90"/>
      <c r="Q28" s="90"/>
      <c r="R28" s="90"/>
      <c r="S28" s="90"/>
      <c r="T28" s="90"/>
      <c r="U28" s="90"/>
      <c r="V28" s="90"/>
      <c r="W28" s="90"/>
      <c r="X28" s="90"/>
    </row>
    <row r="29" spans="1:24" x14ac:dyDescent="0.35">
      <c r="A29" t="s">
        <v>193</v>
      </c>
      <c r="M29" s="62"/>
      <c r="N29" s="62"/>
      <c r="O29" s="62"/>
      <c r="P29" s="62"/>
      <c r="Q29" s="62"/>
      <c r="R29" s="62"/>
      <c r="S29" s="62"/>
      <c r="T29" s="62"/>
      <c r="U29" s="62"/>
      <c r="V29" s="62"/>
      <c r="W29" s="62"/>
      <c r="X29" s="62"/>
    </row>
    <row r="30" spans="1:24" x14ac:dyDescent="0.35">
      <c r="A30" t="s">
        <v>196</v>
      </c>
      <c r="M30" s="62"/>
      <c r="N30" s="62"/>
      <c r="O30" s="62"/>
      <c r="P30" s="62"/>
      <c r="Q30" s="62"/>
      <c r="R30" s="62"/>
      <c r="S30" s="62"/>
      <c r="T30" s="62"/>
      <c r="U30" s="62"/>
      <c r="V30" s="62"/>
      <c r="W30" s="62"/>
      <c r="X30" s="62"/>
    </row>
    <row r="31" spans="1:24" x14ac:dyDescent="0.35">
      <c r="A31" s="63" t="s">
        <v>154</v>
      </c>
    </row>
    <row r="32" spans="1:24" x14ac:dyDescent="0.35">
      <c r="A32" t="s">
        <v>197</v>
      </c>
    </row>
    <row r="33" spans="1:1" x14ac:dyDescent="0.35">
      <c r="A33" t="s">
        <v>200</v>
      </c>
    </row>
    <row r="35" spans="1:1" x14ac:dyDescent="0.35">
      <c r="A35" s="88" t="s">
        <v>164</v>
      </c>
    </row>
    <row r="36" spans="1:1" x14ac:dyDescent="0.35">
      <c r="A36" t="s">
        <v>165</v>
      </c>
    </row>
    <row r="37" spans="1:1" x14ac:dyDescent="0.35">
      <c r="A37" t="s">
        <v>166</v>
      </c>
    </row>
    <row r="38" spans="1:1" x14ac:dyDescent="0.35">
      <c r="A38" t="s">
        <v>10</v>
      </c>
    </row>
    <row r="39" spans="1:1" x14ac:dyDescent="0.35">
      <c r="A39" t="s">
        <v>167</v>
      </c>
    </row>
    <row r="40" spans="1:1" x14ac:dyDescent="0.35">
      <c r="A40" t="s">
        <v>168</v>
      </c>
    </row>
    <row r="41" spans="1:1" x14ac:dyDescent="0.35">
      <c r="A41" t="s">
        <v>169</v>
      </c>
    </row>
    <row r="42" spans="1:1" x14ac:dyDescent="0.35">
      <c r="A42" t="s">
        <v>170</v>
      </c>
    </row>
    <row r="43" spans="1:1" x14ac:dyDescent="0.35">
      <c r="A43" t="s">
        <v>171</v>
      </c>
    </row>
    <row r="44" spans="1:1" x14ac:dyDescent="0.35">
      <c r="A44" t="s">
        <v>207</v>
      </c>
    </row>
    <row r="45" spans="1:1" x14ac:dyDescent="0.35">
      <c r="A45" t="s">
        <v>172</v>
      </c>
    </row>
    <row r="47" spans="1:1" x14ac:dyDescent="0.35">
      <c r="A47" s="88" t="s">
        <v>173</v>
      </c>
    </row>
    <row r="48" spans="1:1" x14ac:dyDescent="0.35">
      <c r="A48" t="s">
        <v>174</v>
      </c>
    </row>
    <row r="49" spans="1:1" x14ac:dyDescent="0.35">
      <c r="A49" t="s">
        <v>175</v>
      </c>
    </row>
    <row r="50" spans="1:1" x14ac:dyDescent="0.35">
      <c r="A50" t="s">
        <v>203</v>
      </c>
    </row>
    <row r="51" spans="1:1" x14ac:dyDescent="0.35">
      <c r="A51" t="s">
        <v>205</v>
      </c>
    </row>
    <row r="52" spans="1:1" x14ac:dyDescent="0.35">
      <c r="A52" t="s">
        <v>176</v>
      </c>
    </row>
    <row r="53" spans="1:1" x14ac:dyDescent="0.35">
      <c r="A53" t="s">
        <v>177</v>
      </c>
    </row>
    <row r="54" spans="1:1" x14ac:dyDescent="0.35">
      <c r="A54" t="s">
        <v>202</v>
      </c>
    </row>
    <row r="55" spans="1:1" x14ac:dyDescent="0.35">
      <c r="A55" t="s">
        <v>178</v>
      </c>
    </row>
    <row r="57" spans="1:1" x14ac:dyDescent="0.35">
      <c r="A57" s="88" t="s">
        <v>179</v>
      </c>
    </row>
    <row r="58" spans="1:1" x14ac:dyDescent="0.35">
      <c r="A58" t="s">
        <v>180</v>
      </c>
    </row>
    <row r="59" spans="1:1" x14ac:dyDescent="0.35">
      <c r="A59" t="s">
        <v>181</v>
      </c>
    </row>
    <row r="60" spans="1:1" x14ac:dyDescent="0.35">
      <c r="A60" t="s">
        <v>208</v>
      </c>
    </row>
    <row r="61" spans="1:1" x14ac:dyDescent="0.35">
      <c r="A61" t="s">
        <v>210</v>
      </c>
    </row>
    <row r="62" spans="1:1" x14ac:dyDescent="0.35">
      <c r="A62" t="s">
        <v>198</v>
      </c>
    </row>
    <row r="63" spans="1:1" x14ac:dyDescent="0.35">
      <c r="A63" t="s">
        <v>211</v>
      </c>
    </row>
    <row r="64" spans="1:1" x14ac:dyDescent="0.35">
      <c r="A64" t="s">
        <v>201</v>
      </c>
    </row>
    <row r="65" spans="1:1" x14ac:dyDescent="0.35">
      <c r="A65" t="s">
        <v>204</v>
      </c>
    </row>
    <row r="66" spans="1:1" x14ac:dyDescent="0.35">
      <c r="A66" t="s">
        <v>214</v>
      </c>
    </row>
    <row r="67" spans="1:1" x14ac:dyDescent="0.35">
      <c r="A67" t="s">
        <v>213</v>
      </c>
    </row>
  </sheetData>
  <mergeCells count="1">
    <mergeCell ref="L28:X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FAA4D-9AA2-4DF6-B383-7C4BF1654F02}">
  <dimension ref="A1:M15"/>
  <sheetViews>
    <sheetView zoomScale="88" workbookViewId="0">
      <selection activeCell="D8" sqref="D8"/>
    </sheetView>
  </sheetViews>
  <sheetFormatPr defaultColWidth="8.81640625" defaultRowHeight="14.5" x14ac:dyDescent="0.35"/>
  <cols>
    <col min="1" max="1" width="10.54296875" customWidth="1"/>
    <col min="2" max="2" width="11.6328125" customWidth="1"/>
    <col min="3" max="3" width="10" customWidth="1"/>
    <col min="4" max="4" width="13.7265625" style="5" bestFit="1" customWidth="1"/>
    <col min="5" max="5" width="14.81640625" style="3" bestFit="1" customWidth="1"/>
    <col min="6" max="6" width="6.36328125" customWidth="1"/>
    <col min="7" max="7" width="6.453125" style="5" bestFit="1" customWidth="1"/>
    <col min="8" max="8" width="8.6328125" style="5"/>
    <col min="13" max="13" width="37" customWidth="1"/>
  </cols>
  <sheetData>
    <row r="1" spans="1:13" s="1" customFormat="1" x14ac:dyDescent="0.35">
      <c r="A1" s="57" t="s">
        <v>0</v>
      </c>
      <c r="B1" s="57" t="s">
        <v>1</v>
      </c>
      <c r="C1" s="57" t="s">
        <v>24</v>
      </c>
      <c r="D1" s="59" t="s">
        <v>3</v>
      </c>
      <c r="E1" s="60" t="s">
        <v>4</v>
      </c>
      <c r="F1" s="57" t="s">
        <v>34</v>
      </c>
      <c r="G1" s="59" t="s">
        <v>35</v>
      </c>
      <c r="H1" s="59" t="s">
        <v>5</v>
      </c>
    </row>
    <row r="2" spans="1:13" s="47" customFormat="1" ht="59" customHeight="1" x14ac:dyDescent="0.35">
      <c r="A2" s="46" t="s">
        <v>37</v>
      </c>
      <c r="B2" s="47" t="s">
        <v>38</v>
      </c>
      <c r="C2" s="47" t="s">
        <v>25</v>
      </c>
      <c r="D2" s="48">
        <v>45470</v>
      </c>
      <c r="E2" s="49" t="s">
        <v>6</v>
      </c>
      <c r="F2" s="50">
        <v>0.34</v>
      </c>
      <c r="G2" s="51" t="s">
        <v>36</v>
      </c>
      <c r="H2" s="91" t="s">
        <v>150</v>
      </c>
      <c r="I2" s="92"/>
      <c r="J2" s="92"/>
      <c r="K2" s="92"/>
      <c r="L2" s="92"/>
      <c r="M2" s="92"/>
    </row>
    <row r="3" spans="1:13" s="53" customFormat="1" ht="30" customHeight="1" x14ac:dyDescent="0.35">
      <c r="A3" s="46" t="s">
        <v>108</v>
      </c>
      <c r="B3" s="53" t="s">
        <v>109</v>
      </c>
      <c r="C3" s="53" t="s">
        <v>110</v>
      </c>
      <c r="D3" s="54">
        <v>45474</v>
      </c>
      <c r="E3" s="55" t="s">
        <v>6</v>
      </c>
      <c r="F3" s="61">
        <v>0.39</v>
      </c>
      <c r="G3" s="56" t="s">
        <v>29</v>
      </c>
      <c r="H3" s="56" t="s">
        <v>111</v>
      </c>
    </row>
    <row r="4" spans="1:13" s="53" customFormat="1" ht="30" customHeight="1" x14ac:dyDescent="0.35">
      <c r="A4" s="46" t="s">
        <v>124</v>
      </c>
      <c r="B4" s="53" t="s">
        <v>125</v>
      </c>
      <c r="C4" s="53" t="s">
        <v>126</v>
      </c>
      <c r="D4" s="54">
        <v>45474</v>
      </c>
      <c r="E4" s="55" t="s">
        <v>6</v>
      </c>
      <c r="F4" s="61">
        <v>0.13</v>
      </c>
      <c r="G4" s="56" t="s">
        <v>70</v>
      </c>
      <c r="H4" s="93" t="s">
        <v>127</v>
      </c>
      <c r="I4" s="94"/>
      <c r="J4" s="94"/>
      <c r="K4" s="94"/>
      <c r="L4" s="94"/>
      <c r="M4" s="94"/>
    </row>
    <row r="5" spans="1:13" s="53" customFormat="1" x14ac:dyDescent="0.35">
      <c r="A5" s="52"/>
      <c r="D5" s="54"/>
      <c r="E5" s="55"/>
      <c r="G5" s="56"/>
      <c r="H5" s="56"/>
    </row>
    <row r="6" spans="1:13" x14ac:dyDescent="0.35">
      <c r="A6" s="2"/>
      <c r="D6" s="4"/>
    </row>
    <row r="7" spans="1:13" x14ac:dyDescent="0.35">
      <c r="A7" s="2"/>
      <c r="D7" s="4"/>
    </row>
    <row r="15" spans="1:13" x14ac:dyDescent="0.35">
      <c r="H15"/>
    </row>
  </sheetData>
  <mergeCells count="2">
    <mergeCell ref="H2:M2"/>
    <mergeCell ref="H4:M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7C5BD-1824-4FCA-80E5-3209DBBF72AC}">
  <dimension ref="A1:Q724"/>
  <sheetViews>
    <sheetView zoomScale="80" workbookViewId="0">
      <pane ySplit="1" topLeftCell="A2" activePane="bottomLeft" state="frozen"/>
      <selection pane="bottomLeft" activeCell="M366" sqref="M366"/>
    </sheetView>
  </sheetViews>
  <sheetFormatPr defaultColWidth="8.81640625" defaultRowHeight="14.5" x14ac:dyDescent="0.35"/>
  <cols>
    <col min="1" max="1" width="10.08984375" style="68" bestFit="1" customWidth="1"/>
    <col min="2" max="2" width="9.7265625" style="68" bestFit="1" customWidth="1"/>
    <col min="3" max="3" width="6.6328125" style="72" customWidth="1"/>
    <col min="4" max="4" width="7.81640625" style="73" bestFit="1" customWidth="1"/>
    <col min="5" max="5" width="11.08984375" customWidth="1"/>
    <col min="6" max="6" width="7.26953125" style="78" customWidth="1"/>
    <col min="7" max="7" width="8.6328125" style="79"/>
    <col min="8" max="8" width="8.6328125" style="83"/>
    <col min="9" max="9" width="8.453125" customWidth="1"/>
    <col min="10" max="10" width="7.36328125" style="64" bestFit="1" customWidth="1"/>
    <col min="11" max="11" width="8.36328125" style="68" bestFit="1" customWidth="1"/>
    <col min="12" max="12" width="10.81640625" style="72" customWidth="1"/>
    <col min="13" max="13" width="10.54296875" customWidth="1"/>
    <col min="14" max="14" width="7.90625" bestFit="1" customWidth="1"/>
    <col min="15" max="15" width="10.08984375" style="64" customWidth="1"/>
    <col min="16" max="16" width="11.1796875" style="73" customWidth="1"/>
    <col min="17" max="17" width="44.453125" customWidth="1"/>
  </cols>
  <sheetData>
    <row r="1" spans="1:17" s="6" customFormat="1" ht="44" thickBot="1" x14ac:dyDescent="0.4">
      <c r="A1" s="67" t="s">
        <v>24</v>
      </c>
      <c r="B1" s="67" t="s">
        <v>2</v>
      </c>
      <c r="C1" s="70" t="s">
        <v>7</v>
      </c>
      <c r="D1" s="71" t="s">
        <v>41</v>
      </c>
      <c r="E1" s="58" t="s">
        <v>67</v>
      </c>
      <c r="F1" s="76" t="s">
        <v>8</v>
      </c>
      <c r="G1" s="77" t="s">
        <v>9</v>
      </c>
      <c r="H1" s="82" t="s">
        <v>12</v>
      </c>
      <c r="I1" s="58" t="s">
        <v>10</v>
      </c>
      <c r="J1" s="65" t="s">
        <v>11</v>
      </c>
      <c r="K1" s="85" t="s">
        <v>13</v>
      </c>
      <c r="L1" s="70" t="s">
        <v>14</v>
      </c>
      <c r="M1" s="58" t="s">
        <v>15</v>
      </c>
      <c r="N1" s="58" t="s">
        <v>16</v>
      </c>
      <c r="O1" s="65" t="s">
        <v>17</v>
      </c>
      <c r="P1" s="71" t="s">
        <v>18</v>
      </c>
      <c r="Q1" s="58" t="s">
        <v>5</v>
      </c>
    </row>
    <row r="2" spans="1:17" x14ac:dyDescent="0.35">
      <c r="A2" s="68" t="s">
        <v>25</v>
      </c>
      <c r="B2" s="68" t="s">
        <v>26</v>
      </c>
      <c r="C2" s="72">
        <v>1</v>
      </c>
      <c r="D2" s="73" t="s">
        <v>42</v>
      </c>
      <c r="F2" s="78">
        <v>10.7</v>
      </c>
      <c r="G2" s="79">
        <f>IF(F2 = 0, " ", IF(F2&lt;2, F2/1, F2/3.28084))</f>
        <v>3.2613598956364833</v>
      </c>
      <c r="H2" s="83">
        <v>75.430000000000007</v>
      </c>
      <c r="I2">
        <v>1</v>
      </c>
      <c r="L2" s="72" t="s">
        <v>20</v>
      </c>
      <c r="M2" t="s">
        <v>29</v>
      </c>
      <c r="N2" t="s">
        <v>19</v>
      </c>
      <c r="O2" s="64">
        <v>0</v>
      </c>
      <c r="P2" s="73">
        <v>160</v>
      </c>
      <c r="Q2" t="s">
        <v>32</v>
      </c>
    </row>
    <row r="3" spans="1:17" x14ac:dyDescent="0.35">
      <c r="A3" s="68" t="s">
        <v>25</v>
      </c>
      <c r="B3" s="68" t="s">
        <v>26</v>
      </c>
      <c r="C3" s="72">
        <v>1</v>
      </c>
      <c r="G3" s="79" t="str">
        <f t="shared" ref="G3:G70" si="0">IF(F3 = 0, " ", IF(F3&lt;2, F3/1, F3/3.28084))</f>
        <v xml:space="preserve"> </v>
      </c>
      <c r="L3" s="72" t="s">
        <v>20</v>
      </c>
      <c r="M3" t="s">
        <v>22</v>
      </c>
      <c r="N3" t="s">
        <v>19</v>
      </c>
      <c r="O3" s="64">
        <v>0.41</v>
      </c>
      <c r="P3" s="73">
        <v>0</v>
      </c>
    </row>
    <row r="4" spans="1:17" x14ac:dyDescent="0.35">
      <c r="A4" s="68" t="s">
        <v>25</v>
      </c>
      <c r="B4" s="68" t="s">
        <v>26</v>
      </c>
      <c r="C4" s="72">
        <v>2</v>
      </c>
      <c r="D4" s="73" t="s">
        <v>42</v>
      </c>
      <c r="F4" s="78">
        <v>5</v>
      </c>
      <c r="G4" s="79">
        <f t="shared" si="0"/>
        <v>1.5239999512320015</v>
      </c>
      <c r="H4" s="83">
        <v>11.04</v>
      </c>
      <c r="I4">
        <v>2</v>
      </c>
      <c r="J4" s="64">
        <v>1.4</v>
      </c>
      <c r="L4" s="72" t="s">
        <v>20</v>
      </c>
      <c r="M4" t="s">
        <v>29</v>
      </c>
      <c r="N4" t="s">
        <v>19</v>
      </c>
      <c r="O4" s="64">
        <v>0</v>
      </c>
      <c r="P4" s="73">
        <v>210</v>
      </c>
      <c r="Q4" t="s">
        <v>32</v>
      </c>
    </row>
    <row r="5" spans="1:17" x14ac:dyDescent="0.35">
      <c r="A5" s="68" t="s">
        <v>25</v>
      </c>
      <c r="B5" s="68" t="s">
        <v>26</v>
      </c>
      <c r="C5" s="72">
        <v>3</v>
      </c>
      <c r="D5" s="73" t="s">
        <v>42</v>
      </c>
      <c r="F5" s="78">
        <v>10.9</v>
      </c>
      <c r="G5" s="79">
        <f t="shared" si="0"/>
        <v>3.3223198936857634</v>
      </c>
      <c r="H5" s="83">
        <v>39.85</v>
      </c>
      <c r="I5">
        <v>1</v>
      </c>
      <c r="L5" s="72" t="s">
        <v>20</v>
      </c>
      <c r="M5" t="s">
        <v>22</v>
      </c>
      <c r="N5" t="s">
        <v>19</v>
      </c>
      <c r="O5" s="64">
        <v>0.45</v>
      </c>
      <c r="P5" s="73">
        <v>0</v>
      </c>
      <c r="Q5" t="s">
        <v>32</v>
      </c>
    </row>
    <row r="6" spans="1:17" x14ac:dyDescent="0.35">
      <c r="A6" s="68" t="s">
        <v>25</v>
      </c>
      <c r="B6" s="68" t="s">
        <v>26</v>
      </c>
      <c r="C6" s="72">
        <v>4</v>
      </c>
      <c r="D6" s="73" t="s">
        <v>42</v>
      </c>
      <c r="F6" s="78">
        <v>14</v>
      </c>
      <c r="G6" s="79">
        <f t="shared" si="0"/>
        <v>4.267199863449604</v>
      </c>
      <c r="H6" s="83">
        <v>86.6</v>
      </c>
      <c r="I6">
        <v>1</v>
      </c>
      <c r="K6" s="68">
        <v>77</v>
      </c>
      <c r="L6" s="72" t="s">
        <v>20</v>
      </c>
      <c r="M6" t="s">
        <v>21</v>
      </c>
      <c r="N6" t="s">
        <v>19</v>
      </c>
      <c r="O6" s="64">
        <v>1.4</v>
      </c>
      <c r="P6" s="73">
        <v>45</v>
      </c>
      <c r="Q6" t="s">
        <v>32</v>
      </c>
    </row>
    <row r="7" spans="1:17" x14ac:dyDescent="0.35">
      <c r="A7" s="68" t="s">
        <v>25</v>
      </c>
      <c r="B7" s="68" t="s">
        <v>26</v>
      </c>
      <c r="C7" s="72">
        <v>5</v>
      </c>
      <c r="D7" s="73" t="s">
        <v>42</v>
      </c>
      <c r="F7" s="78">
        <v>13.6</v>
      </c>
      <c r="G7" s="79">
        <f t="shared" si="0"/>
        <v>4.1452798673510438</v>
      </c>
      <c r="H7" s="83">
        <v>70.62</v>
      </c>
      <c r="I7">
        <v>1</v>
      </c>
      <c r="K7" s="68">
        <v>344</v>
      </c>
      <c r="L7" s="72" t="s">
        <v>20</v>
      </c>
      <c r="M7" t="s">
        <v>29</v>
      </c>
      <c r="N7" t="s">
        <v>19</v>
      </c>
      <c r="O7" s="64">
        <v>0</v>
      </c>
      <c r="P7" s="73">
        <v>310</v>
      </c>
    </row>
    <row r="8" spans="1:17" x14ac:dyDescent="0.35">
      <c r="A8" s="68" t="s">
        <v>25</v>
      </c>
      <c r="B8" s="68" t="s">
        <v>26</v>
      </c>
      <c r="C8" s="72">
        <v>5</v>
      </c>
      <c r="G8" s="79" t="str">
        <f t="shared" si="0"/>
        <v xml:space="preserve"> </v>
      </c>
      <c r="L8" s="72" t="s">
        <v>20</v>
      </c>
      <c r="M8" t="s">
        <v>21</v>
      </c>
      <c r="N8" t="s">
        <v>19</v>
      </c>
      <c r="O8" s="64">
        <v>0.57999999999999996</v>
      </c>
      <c r="P8" s="73">
        <v>80</v>
      </c>
    </row>
    <row r="9" spans="1:17" x14ac:dyDescent="0.35">
      <c r="A9" s="68" t="s">
        <v>25</v>
      </c>
      <c r="B9" s="68" t="s">
        <v>26</v>
      </c>
      <c r="C9" s="72">
        <v>5</v>
      </c>
      <c r="G9" s="79" t="str">
        <f t="shared" si="0"/>
        <v xml:space="preserve"> </v>
      </c>
      <c r="L9" s="72" t="s">
        <v>20</v>
      </c>
      <c r="M9" t="s">
        <v>21</v>
      </c>
      <c r="N9" t="s">
        <v>19</v>
      </c>
      <c r="O9" s="64">
        <v>1.62</v>
      </c>
      <c r="P9" s="73">
        <v>16</v>
      </c>
    </row>
    <row r="10" spans="1:17" x14ac:dyDescent="0.35">
      <c r="A10" s="68" t="s">
        <v>25</v>
      </c>
      <c r="B10" s="68" t="s">
        <v>26</v>
      </c>
      <c r="C10" s="72">
        <v>6</v>
      </c>
      <c r="D10" s="73" t="s">
        <v>42</v>
      </c>
      <c r="F10" s="78">
        <v>8.1999999999999993</v>
      </c>
      <c r="G10" s="79">
        <f t="shared" si="0"/>
        <v>2.4993599200204826</v>
      </c>
      <c r="H10" s="83">
        <v>21.46</v>
      </c>
      <c r="I10">
        <v>1</v>
      </c>
      <c r="L10" s="72" t="s">
        <v>20</v>
      </c>
      <c r="M10" t="s">
        <v>22</v>
      </c>
      <c r="N10" t="s">
        <v>19</v>
      </c>
      <c r="O10" s="64">
        <v>0.41</v>
      </c>
      <c r="P10" s="73">
        <v>0</v>
      </c>
    </row>
    <row r="11" spans="1:17" x14ac:dyDescent="0.35">
      <c r="A11" s="68" t="s">
        <v>25</v>
      </c>
      <c r="B11" s="68" t="s">
        <v>26</v>
      </c>
      <c r="C11" s="72">
        <v>6</v>
      </c>
      <c r="G11" s="79" t="str">
        <f t="shared" si="0"/>
        <v xml:space="preserve"> </v>
      </c>
      <c r="L11" s="72" t="s">
        <v>20</v>
      </c>
      <c r="M11" t="s">
        <v>22</v>
      </c>
      <c r="N11" t="s">
        <v>19</v>
      </c>
      <c r="O11" s="64">
        <v>0.57999999999999996</v>
      </c>
      <c r="P11" s="73">
        <v>0</v>
      </c>
    </row>
    <row r="12" spans="1:17" x14ac:dyDescent="0.35">
      <c r="A12" s="68" t="s">
        <v>25</v>
      </c>
      <c r="B12" s="68" t="s">
        <v>26</v>
      </c>
      <c r="C12" s="72">
        <v>6</v>
      </c>
      <c r="G12" s="79" t="str">
        <f t="shared" si="0"/>
        <v xml:space="preserve"> </v>
      </c>
      <c r="L12" s="72" t="s">
        <v>20</v>
      </c>
      <c r="M12" t="s">
        <v>22</v>
      </c>
      <c r="N12" t="s">
        <v>19</v>
      </c>
      <c r="O12" s="64">
        <v>1.23</v>
      </c>
      <c r="P12" s="73">
        <v>0</v>
      </c>
    </row>
    <row r="13" spans="1:17" x14ac:dyDescent="0.35">
      <c r="A13" s="68" t="s">
        <v>25</v>
      </c>
      <c r="B13" s="68" t="s">
        <v>26</v>
      </c>
      <c r="C13" s="72">
        <v>6</v>
      </c>
      <c r="L13" s="72" t="s">
        <v>20</v>
      </c>
      <c r="M13" t="s">
        <v>30</v>
      </c>
      <c r="N13" t="s">
        <v>19</v>
      </c>
      <c r="O13" s="64">
        <v>0.33</v>
      </c>
      <c r="P13" s="73">
        <v>0</v>
      </c>
    </row>
    <row r="14" spans="1:17" x14ac:dyDescent="0.35">
      <c r="A14" s="68" t="s">
        <v>25</v>
      </c>
      <c r="B14" s="68" t="s">
        <v>26</v>
      </c>
      <c r="C14" s="72">
        <v>7</v>
      </c>
      <c r="D14" s="73" t="s">
        <v>42</v>
      </c>
      <c r="F14" s="78">
        <v>9.3000000000000007</v>
      </c>
      <c r="G14" s="79">
        <f t="shared" si="0"/>
        <v>2.8346399092915231</v>
      </c>
      <c r="H14" s="83">
        <v>28.82</v>
      </c>
      <c r="I14">
        <v>2</v>
      </c>
      <c r="J14" s="64">
        <v>0.7</v>
      </c>
      <c r="L14" s="72" t="s">
        <v>20</v>
      </c>
      <c r="M14" t="s">
        <v>29</v>
      </c>
      <c r="N14" t="s">
        <v>20</v>
      </c>
      <c r="O14" s="64">
        <v>0</v>
      </c>
      <c r="P14" s="73">
        <v>160</v>
      </c>
    </row>
    <row r="15" spans="1:17" x14ac:dyDescent="0.35">
      <c r="A15" s="68" t="s">
        <v>25</v>
      </c>
      <c r="B15" s="68" t="s">
        <v>26</v>
      </c>
      <c r="C15" s="72">
        <v>7</v>
      </c>
      <c r="G15" s="79" t="str">
        <f t="shared" si="0"/>
        <v xml:space="preserve"> </v>
      </c>
      <c r="L15" s="72" t="s">
        <v>20</v>
      </c>
      <c r="M15" t="s">
        <v>22</v>
      </c>
      <c r="N15" t="s">
        <v>20</v>
      </c>
      <c r="O15" s="64">
        <v>0.46</v>
      </c>
      <c r="P15" s="73">
        <v>0</v>
      </c>
    </row>
    <row r="16" spans="1:17" x14ac:dyDescent="0.35">
      <c r="A16" s="68" t="s">
        <v>25</v>
      </c>
      <c r="B16" s="68" t="s">
        <v>26</v>
      </c>
      <c r="C16" s="72">
        <v>7</v>
      </c>
      <c r="G16" s="79" t="str">
        <f t="shared" si="0"/>
        <v xml:space="preserve"> </v>
      </c>
      <c r="L16" s="72" t="s">
        <v>20</v>
      </c>
      <c r="M16" t="s">
        <v>22</v>
      </c>
      <c r="N16" t="s">
        <v>20</v>
      </c>
      <c r="O16" s="64">
        <v>0.7</v>
      </c>
      <c r="P16" s="73">
        <v>0</v>
      </c>
    </row>
    <row r="17" spans="1:17" x14ac:dyDescent="0.35">
      <c r="A17" s="68" t="s">
        <v>25</v>
      </c>
      <c r="B17" s="68" t="s">
        <v>26</v>
      </c>
      <c r="C17" s="72">
        <v>8</v>
      </c>
      <c r="D17" s="73" t="s">
        <v>42</v>
      </c>
      <c r="F17" s="78">
        <v>9.9</v>
      </c>
      <c r="G17" s="79">
        <f t="shared" si="0"/>
        <v>3.0175199034393634</v>
      </c>
      <c r="H17" s="83">
        <v>35.46</v>
      </c>
      <c r="I17">
        <v>2</v>
      </c>
      <c r="J17" s="64">
        <v>0.65</v>
      </c>
      <c r="L17" s="72" t="s">
        <v>20</v>
      </c>
      <c r="M17" t="s">
        <v>21</v>
      </c>
      <c r="N17" t="s">
        <v>20</v>
      </c>
      <c r="O17" s="64">
        <v>0.21</v>
      </c>
      <c r="P17" s="73">
        <v>124</v>
      </c>
      <c r="Q17" t="s">
        <v>27</v>
      </c>
    </row>
    <row r="18" spans="1:17" x14ac:dyDescent="0.35">
      <c r="A18" s="68" t="s">
        <v>25</v>
      </c>
      <c r="B18" s="68" t="s">
        <v>26</v>
      </c>
      <c r="C18" s="72">
        <v>8</v>
      </c>
      <c r="G18" s="79" t="str">
        <f t="shared" si="0"/>
        <v xml:space="preserve"> </v>
      </c>
      <c r="L18" s="72" t="s">
        <v>20</v>
      </c>
      <c r="M18" t="s">
        <v>22</v>
      </c>
      <c r="N18" t="s">
        <v>19</v>
      </c>
      <c r="O18" s="64">
        <v>0.69</v>
      </c>
      <c r="P18" s="73">
        <v>0</v>
      </c>
    </row>
    <row r="19" spans="1:17" x14ac:dyDescent="0.35">
      <c r="A19" s="68" t="s">
        <v>25</v>
      </c>
      <c r="B19" s="68" t="s">
        <v>26</v>
      </c>
      <c r="C19" s="72">
        <v>8</v>
      </c>
      <c r="G19" s="79" t="str">
        <f t="shared" si="0"/>
        <v xml:space="preserve"> </v>
      </c>
      <c r="L19" s="72" t="s">
        <v>20</v>
      </c>
      <c r="M19" t="s">
        <v>22</v>
      </c>
      <c r="N19" t="s">
        <v>19</v>
      </c>
      <c r="O19" s="64">
        <v>1.3</v>
      </c>
      <c r="P19" s="73">
        <v>0</v>
      </c>
    </row>
    <row r="20" spans="1:17" x14ac:dyDescent="0.35">
      <c r="A20" s="68" t="s">
        <v>25</v>
      </c>
      <c r="B20" s="68" t="s">
        <v>26</v>
      </c>
      <c r="C20" s="72">
        <v>8</v>
      </c>
      <c r="L20" s="72" t="s">
        <v>20</v>
      </c>
      <c r="M20" t="s">
        <v>30</v>
      </c>
      <c r="N20" t="s">
        <v>19</v>
      </c>
      <c r="O20" s="64">
        <v>0.21</v>
      </c>
      <c r="P20" s="73">
        <v>0</v>
      </c>
    </row>
    <row r="21" spans="1:17" x14ac:dyDescent="0.35">
      <c r="A21" s="68" t="s">
        <v>25</v>
      </c>
      <c r="B21" s="68" t="s">
        <v>26</v>
      </c>
      <c r="C21" s="72">
        <v>9</v>
      </c>
      <c r="D21" s="73" t="s">
        <v>42</v>
      </c>
      <c r="F21" s="78">
        <v>11.8</v>
      </c>
      <c r="G21" s="79">
        <f t="shared" si="0"/>
        <v>3.5966398849075238</v>
      </c>
      <c r="H21" s="83">
        <v>51.65</v>
      </c>
      <c r="I21">
        <v>1</v>
      </c>
      <c r="L21" s="72" t="s">
        <v>20</v>
      </c>
      <c r="M21" t="s">
        <v>22</v>
      </c>
      <c r="N21" t="s">
        <v>19</v>
      </c>
      <c r="O21" s="64">
        <v>0</v>
      </c>
      <c r="P21" s="73">
        <v>0</v>
      </c>
    </row>
    <row r="22" spans="1:17" x14ac:dyDescent="0.35">
      <c r="A22" s="68" t="s">
        <v>25</v>
      </c>
      <c r="B22" s="68" t="s">
        <v>26</v>
      </c>
      <c r="C22" s="72">
        <v>9</v>
      </c>
      <c r="G22" s="79" t="str">
        <f t="shared" si="0"/>
        <v xml:space="preserve"> </v>
      </c>
      <c r="L22" s="72" t="s">
        <v>20</v>
      </c>
      <c r="M22" t="s">
        <v>22</v>
      </c>
      <c r="N22" t="s">
        <v>20</v>
      </c>
      <c r="O22" s="64">
        <v>0.18</v>
      </c>
      <c r="P22" s="73">
        <v>243</v>
      </c>
    </row>
    <row r="23" spans="1:17" x14ac:dyDescent="0.35">
      <c r="A23" s="68" t="s">
        <v>25</v>
      </c>
      <c r="B23" s="68" t="s">
        <v>26</v>
      </c>
      <c r="C23" s="72">
        <v>9</v>
      </c>
      <c r="G23" s="79" t="str">
        <f t="shared" si="0"/>
        <v xml:space="preserve"> </v>
      </c>
      <c r="L23" s="72" t="s">
        <v>20</v>
      </c>
      <c r="M23" t="s">
        <v>22</v>
      </c>
      <c r="N23" t="s">
        <v>19</v>
      </c>
      <c r="O23" s="64">
        <v>0.77</v>
      </c>
      <c r="P23" s="73">
        <v>0</v>
      </c>
    </row>
    <row r="24" spans="1:17" x14ac:dyDescent="0.35">
      <c r="A24" s="68" t="s">
        <v>25</v>
      </c>
      <c r="B24" s="68" t="s">
        <v>26</v>
      </c>
      <c r="C24" s="72">
        <v>9</v>
      </c>
      <c r="G24" s="79" t="str">
        <f t="shared" si="0"/>
        <v xml:space="preserve"> </v>
      </c>
      <c r="L24" s="72" t="s">
        <v>20</v>
      </c>
      <c r="M24" t="s">
        <v>21</v>
      </c>
      <c r="N24" t="s">
        <v>19</v>
      </c>
      <c r="O24" s="64">
        <v>0.77</v>
      </c>
      <c r="P24" s="73">
        <v>60</v>
      </c>
    </row>
    <row r="25" spans="1:17" x14ac:dyDescent="0.35">
      <c r="A25" s="68" t="s">
        <v>25</v>
      </c>
      <c r="B25" s="68" t="s">
        <v>26</v>
      </c>
      <c r="C25" s="72">
        <v>9</v>
      </c>
      <c r="L25" s="72" t="s">
        <v>20</v>
      </c>
      <c r="M25" t="s">
        <v>30</v>
      </c>
      <c r="N25" t="s">
        <v>19</v>
      </c>
      <c r="O25" s="64">
        <v>0.85</v>
      </c>
      <c r="P25" s="73">
        <v>0</v>
      </c>
    </row>
    <row r="26" spans="1:17" x14ac:dyDescent="0.35">
      <c r="A26" s="68" t="s">
        <v>25</v>
      </c>
      <c r="B26" s="68" t="s">
        <v>26</v>
      </c>
      <c r="C26" s="72">
        <v>10</v>
      </c>
      <c r="D26" s="73" t="s">
        <v>42</v>
      </c>
      <c r="F26" s="78">
        <v>8.5</v>
      </c>
      <c r="G26" s="79">
        <f t="shared" si="0"/>
        <v>2.5907999170944027</v>
      </c>
      <c r="H26" s="83">
        <v>28.93</v>
      </c>
      <c r="I26">
        <v>1</v>
      </c>
      <c r="K26" s="68">
        <v>382</v>
      </c>
      <c r="L26" s="72" t="s">
        <v>20</v>
      </c>
      <c r="M26" t="s">
        <v>22</v>
      </c>
      <c r="N26" t="s">
        <v>20</v>
      </c>
      <c r="O26" s="64">
        <v>1.06</v>
      </c>
      <c r="P26" s="73">
        <v>66</v>
      </c>
    </row>
    <row r="27" spans="1:17" x14ac:dyDescent="0.35">
      <c r="A27" s="68" t="s">
        <v>25</v>
      </c>
      <c r="B27" s="68" t="s">
        <v>26</v>
      </c>
      <c r="C27" s="72">
        <v>10</v>
      </c>
      <c r="L27" s="72" t="s">
        <v>20</v>
      </c>
      <c r="M27" t="s">
        <v>30</v>
      </c>
      <c r="N27" t="s">
        <v>19</v>
      </c>
      <c r="O27" s="64">
        <v>1.1200000000000001</v>
      </c>
      <c r="P27" s="73">
        <v>0</v>
      </c>
    </row>
    <row r="28" spans="1:17" x14ac:dyDescent="0.35">
      <c r="A28" s="68" t="s">
        <v>25</v>
      </c>
      <c r="B28" s="68" t="s">
        <v>26</v>
      </c>
      <c r="C28" s="72">
        <v>11</v>
      </c>
      <c r="D28" s="73" t="s">
        <v>42</v>
      </c>
      <c r="F28" s="78">
        <v>7.6</v>
      </c>
      <c r="G28" s="79">
        <f t="shared" si="0"/>
        <v>2.3164799258726423</v>
      </c>
      <c r="H28" s="83">
        <v>17.98</v>
      </c>
      <c r="I28">
        <v>2</v>
      </c>
      <c r="J28" s="64">
        <v>0.81</v>
      </c>
      <c r="L28" s="72" t="s">
        <v>20</v>
      </c>
      <c r="M28" t="s">
        <v>22</v>
      </c>
      <c r="N28" t="s">
        <v>20</v>
      </c>
      <c r="O28" s="64">
        <v>0.73</v>
      </c>
      <c r="P28" s="73">
        <v>0</v>
      </c>
      <c r="Q28" t="s">
        <v>28</v>
      </c>
    </row>
    <row r="29" spans="1:17" x14ac:dyDescent="0.35">
      <c r="A29" s="68" t="s">
        <v>25</v>
      </c>
      <c r="B29" s="68" t="s">
        <v>26</v>
      </c>
      <c r="C29" s="72">
        <v>11</v>
      </c>
      <c r="G29" s="79" t="str">
        <f t="shared" si="0"/>
        <v xml:space="preserve"> </v>
      </c>
      <c r="L29" s="72" t="s">
        <v>20</v>
      </c>
      <c r="M29" t="s">
        <v>22</v>
      </c>
      <c r="N29" t="s">
        <v>19</v>
      </c>
      <c r="O29" s="64">
        <v>0.65</v>
      </c>
      <c r="P29" s="73">
        <v>0</v>
      </c>
    </row>
    <row r="30" spans="1:17" x14ac:dyDescent="0.35">
      <c r="A30" s="68" t="s">
        <v>25</v>
      </c>
      <c r="B30" s="68" t="s">
        <v>26</v>
      </c>
      <c r="C30" s="72">
        <v>12</v>
      </c>
      <c r="D30" s="73" t="s">
        <v>42</v>
      </c>
      <c r="F30" s="78">
        <v>11.11</v>
      </c>
      <c r="G30" s="79">
        <f t="shared" si="0"/>
        <v>3.3863278916375075</v>
      </c>
      <c r="H30" s="83">
        <v>54.06</v>
      </c>
      <c r="I30">
        <v>1</v>
      </c>
      <c r="L30" s="72" t="s">
        <v>20</v>
      </c>
      <c r="M30" t="s">
        <v>30</v>
      </c>
      <c r="N30" t="s">
        <v>19</v>
      </c>
      <c r="O30" s="64">
        <v>0.87</v>
      </c>
      <c r="P30" s="73">
        <v>0</v>
      </c>
      <c r="Q30" t="s">
        <v>33</v>
      </c>
    </row>
    <row r="31" spans="1:17" x14ac:dyDescent="0.35">
      <c r="A31" s="68" t="s">
        <v>25</v>
      </c>
      <c r="B31" s="68" t="s">
        <v>26</v>
      </c>
      <c r="C31" s="72">
        <v>12</v>
      </c>
      <c r="G31" s="79" t="str">
        <f t="shared" si="0"/>
        <v xml:space="preserve"> </v>
      </c>
      <c r="L31" s="72" t="s">
        <v>20</v>
      </c>
      <c r="M31" t="s">
        <v>21</v>
      </c>
      <c r="N31" t="s">
        <v>19</v>
      </c>
      <c r="O31" s="64">
        <v>0.78</v>
      </c>
      <c r="P31" s="73">
        <v>39</v>
      </c>
    </row>
    <row r="32" spans="1:17" x14ac:dyDescent="0.35">
      <c r="A32" s="68" t="s">
        <v>25</v>
      </c>
      <c r="B32" s="68" t="s">
        <v>26</v>
      </c>
      <c r="C32" s="72">
        <v>12</v>
      </c>
      <c r="G32" s="79" t="str">
        <f t="shared" si="0"/>
        <v xml:space="preserve"> </v>
      </c>
      <c r="L32" s="72" t="s">
        <v>20</v>
      </c>
      <c r="M32" t="s">
        <v>21</v>
      </c>
      <c r="N32" t="s">
        <v>19</v>
      </c>
      <c r="O32" s="64">
        <v>1.19</v>
      </c>
      <c r="P32" s="73">
        <v>68</v>
      </c>
    </row>
    <row r="33" spans="1:17" x14ac:dyDescent="0.35">
      <c r="A33" s="68" t="s">
        <v>25</v>
      </c>
      <c r="B33" s="68" t="s">
        <v>26</v>
      </c>
      <c r="C33" s="72">
        <v>13</v>
      </c>
      <c r="D33" s="73" t="s">
        <v>42</v>
      </c>
      <c r="F33" s="78">
        <v>11.1</v>
      </c>
      <c r="G33" s="79">
        <f t="shared" si="0"/>
        <v>3.3832798917350435</v>
      </c>
      <c r="H33" s="83">
        <v>57.87</v>
      </c>
      <c r="I33">
        <v>1</v>
      </c>
      <c r="L33" s="72" t="s">
        <v>20</v>
      </c>
      <c r="M33" t="s">
        <v>30</v>
      </c>
      <c r="N33" t="s">
        <v>19</v>
      </c>
      <c r="O33" s="64">
        <v>0.79</v>
      </c>
      <c r="P33" s="73">
        <v>0</v>
      </c>
    </row>
    <row r="34" spans="1:17" x14ac:dyDescent="0.35">
      <c r="A34" s="68" t="s">
        <v>25</v>
      </c>
      <c r="B34" s="68" t="s">
        <v>26</v>
      </c>
      <c r="C34" s="72">
        <v>13</v>
      </c>
      <c r="G34" s="79" t="str">
        <f t="shared" si="0"/>
        <v xml:space="preserve"> </v>
      </c>
      <c r="L34" s="72" t="s">
        <v>20</v>
      </c>
      <c r="M34" t="s">
        <v>21</v>
      </c>
      <c r="N34" t="s">
        <v>19</v>
      </c>
      <c r="O34" s="64">
        <v>0.66</v>
      </c>
      <c r="P34" s="73">
        <v>29</v>
      </c>
    </row>
    <row r="35" spans="1:17" x14ac:dyDescent="0.35">
      <c r="A35" s="68" t="s">
        <v>25</v>
      </c>
      <c r="B35" s="68" t="s">
        <v>26</v>
      </c>
      <c r="C35" s="72">
        <v>14</v>
      </c>
      <c r="D35" s="73" t="s">
        <v>42</v>
      </c>
      <c r="F35" s="78">
        <v>7.2</v>
      </c>
      <c r="G35" s="79">
        <f t="shared" si="0"/>
        <v>2.1945599297740821</v>
      </c>
      <c r="H35" s="83">
        <v>22.22</v>
      </c>
      <c r="I35">
        <v>1</v>
      </c>
      <c r="L35" s="72" t="s">
        <v>20</v>
      </c>
      <c r="M35" t="s">
        <v>30</v>
      </c>
      <c r="N35" t="s">
        <v>19</v>
      </c>
      <c r="O35" s="64">
        <v>0.85</v>
      </c>
      <c r="P35" s="73">
        <v>0</v>
      </c>
    </row>
    <row r="36" spans="1:17" x14ac:dyDescent="0.35">
      <c r="A36" s="68" t="s">
        <v>25</v>
      </c>
      <c r="B36" s="68" t="s">
        <v>26</v>
      </c>
      <c r="C36" s="72">
        <v>14</v>
      </c>
      <c r="G36" s="79" t="str">
        <f t="shared" si="0"/>
        <v xml:space="preserve"> </v>
      </c>
      <c r="L36" s="72" t="s">
        <v>20</v>
      </c>
      <c r="M36" t="s">
        <v>31</v>
      </c>
      <c r="N36" t="s">
        <v>19</v>
      </c>
      <c r="O36" s="64">
        <v>0</v>
      </c>
      <c r="P36" s="73">
        <v>363</v>
      </c>
    </row>
    <row r="37" spans="1:17" x14ac:dyDescent="0.35">
      <c r="A37" s="68" t="s">
        <v>25</v>
      </c>
      <c r="B37" s="68" t="s">
        <v>26</v>
      </c>
      <c r="C37" s="72">
        <v>14</v>
      </c>
      <c r="G37" s="79" t="str">
        <f t="shared" si="0"/>
        <v xml:space="preserve"> </v>
      </c>
      <c r="L37" s="72" t="s">
        <v>20</v>
      </c>
      <c r="M37" t="s">
        <v>22</v>
      </c>
      <c r="N37" t="s">
        <v>19</v>
      </c>
      <c r="O37" s="64">
        <v>1.75</v>
      </c>
      <c r="P37" s="73">
        <v>0</v>
      </c>
    </row>
    <row r="38" spans="1:17" x14ac:dyDescent="0.35">
      <c r="A38" s="68" t="s">
        <v>25</v>
      </c>
      <c r="B38" s="68" t="s">
        <v>26</v>
      </c>
      <c r="C38" s="72">
        <v>15</v>
      </c>
      <c r="D38" s="73" t="s">
        <v>42</v>
      </c>
      <c r="F38" s="78">
        <v>1.3</v>
      </c>
      <c r="G38" s="79">
        <f t="shared" si="0"/>
        <v>1.3</v>
      </c>
      <c r="H38" s="83">
        <v>5.44</v>
      </c>
      <c r="I38">
        <v>1</v>
      </c>
      <c r="L38" s="72" t="s">
        <v>20</v>
      </c>
      <c r="M38" t="s">
        <v>21</v>
      </c>
      <c r="N38" t="s">
        <v>20</v>
      </c>
      <c r="O38" s="64">
        <v>0.5</v>
      </c>
      <c r="P38" s="73">
        <v>490</v>
      </c>
      <c r="Q38" t="s">
        <v>33</v>
      </c>
    </row>
    <row r="39" spans="1:17" x14ac:dyDescent="0.35">
      <c r="A39" s="68" t="s">
        <v>25</v>
      </c>
      <c r="B39" s="68" t="s">
        <v>26</v>
      </c>
      <c r="C39" s="72">
        <v>16</v>
      </c>
      <c r="D39" s="73" t="s">
        <v>42</v>
      </c>
      <c r="F39" s="78">
        <v>7.4</v>
      </c>
      <c r="G39" s="79">
        <f t="shared" si="0"/>
        <v>2.2555199278233626</v>
      </c>
      <c r="H39" s="83">
        <v>22.05</v>
      </c>
      <c r="I39">
        <v>1</v>
      </c>
      <c r="L39" s="72" t="s">
        <v>20</v>
      </c>
      <c r="M39" t="s">
        <v>21</v>
      </c>
      <c r="N39" t="s">
        <v>19</v>
      </c>
      <c r="O39" s="64">
        <v>0.67</v>
      </c>
      <c r="P39" s="73">
        <v>106</v>
      </c>
    </row>
    <row r="40" spans="1:17" x14ac:dyDescent="0.35">
      <c r="A40" s="68" t="s">
        <v>25</v>
      </c>
      <c r="B40" s="68" t="s">
        <v>26</v>
      </c>
      <c r="C40" s="72">
        <v>16</v>
      </c>
      <c r="G40" s="79" t="str">
        <f t="shared" si="0"/>
        <v xml:space="preserve"> </v>
      </c>
      <c r="L40" s="72" t="s">
        <v>20</v>
      </c>
      <c r="M40" t="s">
        <v>29</v>
      </c>
      <c r="N40" t="s">
        <v>19</v>
      </c>
      <c r="O40" s="64">
        <v>0</v>
      </c>
      <c r="P40" s="73">
        <v>222</v>
      </c>
    </row>
    <row r="41" spans="1:17" x14ac:dyDescent="0.35">
      <c r="A41" s="68" t="s">
        <v>25</v>
      </c>
      <c r="B41" s="68" t="s">
        <v>26</v>
      </c>
      <c r="C41" s="72">
        <v>17</v>
      </c>
      <c r="D41" s="73" t="s">
        <v>42</v>
      </c>
      <c r="F41" s="78">
        <v>10.5</v>
      </c>
      <c r="G41" s="79">
        <f t="shared" si="0"/>
        <v>3.2003998975872032</v>
      </c>
      <c r="H41" s="83">
        <v>42.72</v>
      </c>
      <c r="I41">
        <v>1</v>
      </c>
      <c r="L41" s="72" t="s">
        <v>20</v>
      </c>
      <c r="M41" t="s">
        <v>21</v>
      </c>
      <c r="N41" t="s">
        <v>19</v>
      </c>
      <c r="O41" s="64">
        <v>0.48</v>
      </c>
      <c r="P41" s="73">
        <v>81</v>
      </c>
    </row>
    <row r="42" spans="1:17" x14ac:dyDescent="0.35">
      <c r="A42" s="68" t="s">
        <v>25</v>
      </c>
      <c r="B42" s="68" t="s">
        <v>26</v>
      </c>
      <c r="C42" s="72">
        <v>17</v>
      </c>
      <c r="G42" s="79" t="str">
        <f t="shared" si="0"/>
        <v xml:space="preserve"> </v>
      </c>
      <c r="L42" s="72" t="s">
        <v>20</v>
      </c>
      <c r="M42" t="s">
        <v>30</v>
      </c>
      <c r="N42" t="s">
        <v>19</v>
      </c>
      <c r="O42" s="64">
        <v>0.56999999999999995</v>
      </c>
      <c r="P42" s="73">
        <v>0</v>
      </c>
    </row>
    <row r="43" spans="1:17" x14ac:dyDescent="0.35">
      <c r="A43" s="68" t="s">
        <v>25</v>
      </c>
      <c r="B43" s="68" t="s">
        <v>26</v>
      </c>
      <c r="C43" s="72">
        <v>18</v>
      </c>
      <c r="D43" s="73" t="s">
        <v>42</v>
      </c>
      <c r="F43" s="78">
        <v>9.9</v>
      </c>
      <c r="G43" s="79">
        <f t="shared" si="0"/>
        <v>3.0175199034393634</v>
      </c>
      <c r="H43" s="83">
        <v>44.39</v>
      </c>
      <c r="I43">
        <v>1</v>
      </c>
      <c r="L43" s="72" t="s">
        <v>20</v>
      </c>
      <c r="M43" t="s">
        <v>21</v>
      </c>
      <c r="N43" t="s">
        <v>19</v>
      </c>
      <c r="O43" s="64">
        <v>0.42</v>
      </c>
      <c r="P43" s="73">
        <v>45</v>
      </c>
    </row>
    <row r="44" spans="1:17" x14ac:dyDescent="0.35">
      <c r="A44" s="68" t="s">
        <v>25</v>
      </c>
      <c r="B44" s="68" t="s">
        <v>26</v>
      </c>
      <c r="C44" s="72">
        <v>18</v>
      </c>
      <c r="G44" s="79" t="str">
        <f t="shared" si="0"/>
        <v xml:space="preserve"> </v>
      </c>
      <c r="L44" s="72" t="s">
        <v>20</v>
      </c>
      <c r="M44" t="s">
        <v>30</v>
      </c>
      <c r="N44" t="s">
        <v>19</v>
      </c>
      <c r="O44" s="64">
        <v>0.61</v>
      </c>
      <c r="P44" s="73">
        <v>0</v>
      </c>
    </row>
    <row r="45" spans="1:17" x14ac:dyDescent="0.35">
      <c r="A45" s="68" t="s">
        <v>25</v>
      </c>
      <c r="B45" s="68" t="s">
        <v>48</v>
      </c>
      <c r="C45" s="72">
        <v>19</v>
      </c>
      <c r="D45" s="73" t="s">
        <v>40</v>
      </c>
      <c r="F45" s="78">
        <v>18.899999999999999</v>
      </c>
      <c r="G45" s="79">
        <f t="shared" si="0"/>
        <v>5.7607198156569659</v>
      </c>
      <c r="H45" s="83">
        <v>96.52</v>
      </c>
    </row>
    <row r="46" spans="1:17" x14ac:dyDescent="0.35">
      <c r="A46" s="68" t="s">
        <v>25</v>
      </c>
      <c r="B46" s="68" t="s">
        <v>48</v>
      </c>
      <c r="C46" s="72">
        <v>20</v>
      </c>
      <c r="D46" s="73" t="s">
        <v>40</v>
      </c>
      <c r="F46" s="78">
        <v>21.6</v>
      </c>
      <c r="G46" s="79">
        <f t="shared" si="0"/>
        <v>6.5836797893222476</v>
      </c>
      <c r="H46" s="83">
        <v>86.36</v>
      </c>
    </row>
    <row r="47" spans="1:17" x14ac:dyDescent="0.35">
      <c r="A47" s="68" t="s">
        <v>25</v>
      </c>
      <c r="B47" s="68" t="s">
        <v>48</v>
      </c>
      <c r="C47" s="72">
        <v>21</v>
      </c>
      <c r="D47" s="73" t="s">
        <v>40</v>
      </c>
      <c r="F47" s="78">
        <v>21.8</v>
      </c>
      <c r="G47" s="79">
        <f t="shared" si="0"/>
        <v>6.6446397873715268</v>
      </c>
      <c r="H47" s="83">
        <v>111.76</v>
      </c>
    </row>
    <row r="48" spans="1:17" x14ac:dyDescent="0.35">
      <c r="A48" s="68" t="s">
        <v>25</v>
      </c>
      <c r="B48" s="68" t="s">
        <v>48</v>
      </c>
      <c r="C48" s="72">
        <v>22</v>
      </c>
      <c r="D48" s="73" t="s">
        <v>40</v>
      </c>
      <c r="F48" s="78">
        <v>13.8</v>
      </c>
      <c r="G48" s="79">
        <f t="shared" si="0"/>
        <v>4.2062398654003248</v>
      </c>
      <c r="H48" s="83">
        <v>63.94</v>
      </c>
    </row>
    <row r="49" spans="1:17" x14ac:dyDescent="0.35">
      <c r="A49" s="68" t="s">
        <v>25</v>
      </c>
      <c r="B49" s="68" t="s">
        <v>48</v>
      </c>
      <c r="C49" s="72">
        <v>23</v>
      </c>
      <c r="D49" s="73" t="s">
        <v>40</v>
      </c>
      <c r="F49" s="78">
        <v>14.7</v>
      </c>
      <c r="G49" s="79">
        <f t="shared" si="0"/>
        <v>4.4805598566220848</v>
      </c>
      <c r="H49" s="83">
        <v>48.43</v>
      </c>
    </row>
    <row r="50" spans="1:17" x14ac:dyDescent="0.35">
      <c r="A50" s="68" t="s">
        <v>25</v>
      </c>
      <c r="B50" s="68" t="s">
        <v>48</v>
      </c>
      <c r="C50" s="72">
        <v>24</v>
      </c>
      <c r="D50" s="73" t="s">
        <v>40</v>
      </c>
      <c r="F50" s="78">
        <v>11.8</v>
      </c>
      <c r="G50" s="79">
        <f t="shared" si="0"/>
        <v>3.5966398849075238</v>
      </c>
      <c r="H50" s="83">
        <v>43.6</v>
      </c>
    </row>
    <row r="51" spans="1:17" x14ac:dyDescent="0.35">
      <c r="A51" s="68" t="s">
        <v>25</v>
      </c>
      <c r="B51" s="68" t="s">
        <v>48</v>
      </c>
      <c r="C51" s="72">
        <v>25</v>
      </c>
      <c r="D51" s="73" t="s">
        <v>40</v>
      </c>
      <c r="F51" s="78">
        <v>10.6</v>
      </c>
      <c r="G51" s="79">
        <f t="shared" si="0"/>
        <v>3.2308798966118433</v>
      </c>
      <c r="H51" s="83">
        <v>47.7</v>
      </c>
    </row>
    <row r="52" spans="1:17" x14ac:dyDescent="0.35">
      <c r="A52" s="68" t="s">
        <v>25</v>
      </c>
      <c r="B52" s="68" t="s">
        <v>48</v>
      </c>
      <c r="C52" s="72">
        <v>26</v>
      </c>
      <c r="D52" s="73" t="s">
        <v>40</v>
      </c>
      <c r="F52" s="78">
        <v>14.4</v>
      </c>
      <c r="G52" s="79">
        <f t="shared" si="0"/>
        <v>4.3891198595481642</v>
      </c>
      <c r="H52" s="83">
        <v>52.59</v>
      </c>
    </row>
    <row r="53" spans="1:17" x14ac:dyDescent="0.35">
      <c r="A53" s="68" t="s">
        <v>25</v>
      </c>
      <c r="B53" s="68" t="s">
        <v>48</v>
      </c>
      <c r="C53" s="72">
        <v>27</v>
      </c>
      <c r="D53" s="73" t="s">
        <v>40</v>
      </c>
      <c r="F53" s="78">
        <v>12.4</v>
      </c>
      <c r="G53" s="79">
        <f t="shared" si="0"/>
        <v>3.7795198790553641</v>
      </c>
      <c r="H53" s="83">
        <v>72.12</v>
      </c>
      <c r="Q53" t="s">
        <v>39</v>
      </c>
    </row>
    <row r="54" spans="1:17" x14ac:dyDescent="0.35">
      <c r="A54" s="68" t="s">
        <v>25</v>
      </c>
      <c r="B54" s="68" t="s">
        <v>48</v>
      </c>
      <c r="C54" s="72">
        <v>28</v>
      </c>
      <c r="D54" s="73" t="s">
        <v>40</v>
      </c>
      <c r="F54" s="78">
        <v>16.5</v>
      </c>
      <c r="G54" s="79">
        <f t="shared" si="0"/>
        <v>5.0291998390656047</v>
      </c>
      <c r="H54" s="83">
        <v>57.74</v>
      </c>
    </row>
    <row r="55" spans="1:17" x14ac:dyDescent="0.35">
      <c r="A55" s="68" t="s">
        <v>25</v>
      </c>
      <c r="B55" s="68" t="s">
        <v>48</v>
      </c>
      <c r="C55" s="72">
        <v>29</v>
      </c>
      <c r="D55" s="73" t="s">
        <v>40</v>
      </c>
      <c r="F55" s="78">
        <v>16.600000000000001</v>
      </c>
      <c r="G55" s="79">
        <f t="shared" si="0"/>
        <v>5.0596798380902452</v>
      </c>
      <c r="H55" s="83">
        <v>64.02</v>
      </c>
    </row>
    <row r="56" spans="1:17" x14ac:dyDescent="0.35">
      <c r="A56" s="68" t="s">
        <v>25</v>
      </c>
      <c r="B56" s="68" t="s">
        <v>48</v>
      </c>
      <c r="C56" s="72">
        <v>30</v>
      </c>
      <c r="D56" s="73" t="s">
        <v>40</v>
      </c>
      <c r="F56" s="78">
        <v>15.9</v>
      </c>
      <c r="G56" s="79">
        <f t="shared" si="0"/>
        <v>4.8463198449177654</v>
      </c>
      <c r="H56" s="83">
        <v>48.62</v>
      </c>
    </row>
    <row r="57" spans="1:17" x14ac:dyDescent="0.35">
      <c r="A57" s="68" t="s">
        <v>25</v>
      </c>
      <c r="B57" s="68" t="s">
        <v>48</v>
      </c>
      <c r="C57" s="72">
        <v>31</v>
      </c>
      <c r="D57" s="73" t="s">
        <v>40</v>
      </c>
      <c r="F57" s="78">
        <v>16.899999999999999</v>
      </c>
      <c r="G57" s="79">
        <f t="shared" si="0"/>
        <v>5.1511198351641649</v>
      </c>
      <c r="H57" s="83">
        <v>57.94</v>
      </c>
    </row>
    <row r="58" spans="1:17" x14ac:dyDescent="0.35">
      <c r="A58" s="68" t="s">
        <v>25</v>
      </c>
      <c r="B58" s="68" t="s">
        <v>48</v>
      </c>
      <c r="C58" s="72">
        <v>32</v>
      </c>
      <c r="D58" s="73" t="s">
        <v>40</v>
      </c>
      <c r="F58" s="78">
        <v>12.2</v>
      </c>
      <c r="G58" s="79">
        <f t="shared" si="0"/>
        <v>3.7185598810060836</v>
      </c>
      <c r="H58" s="83">
        <v>42.55</v>
      </c>
    </row>
    <row r="59" spans="1:17" x14ac:dyDescent="0.35">
      <c r="A59" s="68" t="s">
        <v>25</v>
      </c>
      <c r="B59" s="68" t="s">
        <v>48</v>
      </c>
      <c r="C59" s="72">
        <v>33</v>
      </c>
      <c r="D59" s="73" t="s">
        <v>40</v>
      </c>
      <c r="F59" s="78">
        <v>13.1</v>
      </c>
      <c r="G59" s="79">
        <f t="shared" si="0"/>
        <v>3.992879872227844</v>
      </c>
      <c r="H59" s="83">
        <v>43</v>
      </c>
    </row>
    <row r="60" spans="1:17" x14ac:dyDescent="0.35">
      <c r="A60" s="68" t="s">
        <v>25</v>
      </c>
      <c r="B60" s="68" t="s">
        <v>48</v>
      </c>
      <c r="C60" s="72">
        <v>34</v>
      </c>
      <c r="D60" s="73" t="s">
        <v>40</v>
      </c>
      <c r="F60" s="78">
        <v>15.3</v>
      </c>
      <c r="G60" s="79">
        <f t="shared" si="0"/>
        <v>4.6634398507699251</v>
      </c>
      <c r="H60" s="83">
        <v>43.03</v>
      </c>
    </row>
    <row r="61" spans="1:17" x14ac:dyDescent="0.35">
      <c r="A61" s="68" t="s">
        <v>25</v>
      </c>
      <c r="B61" s="68" t="s">
        <v>48</v>
      </c>
      <c r="C61" s="72">
        <v>35</v>
      </c>
      <c r="D61" s="73" t="s">
        <v>40</v>
      </c>
      <c r="F61" s="78">
        <v>13.9</v>
      </c>
      <c r="G61" s="79">
        <f t="shared" si="0"/>
        <v>4.2367198644249644</v>
      </c>
      <c r="H61" s="83">
        <v>59.29</v>
      </c>
    </row>
    <row r="62" spans="1:17" x14ac:dyDescent="0.35">
      <c r="A62" s="68" t="s">
        <v>25</v>
      </c>
      <c r="B62" s="68" t="s">
        <v>48</v>
      </c>
      <c r="C62" s="72">
        <v>36</v>
      </c>
      <c r="D62" s="73" t="s">
        <v>40</v>
      </c>
      <c r="F62" s="78">
        <v>15.8</v>
      </c>
      <c r="G62" s="79">
        <f t="shared" si="0"/>
        <v>4.8158398458931249</v>
      </c>
      <c r="H62" s="83">
        <v>60.69</v>
      </c>
    </row>
    <row r="63" spans="1:17" x14ac:dyDescent="0.35">
      <c r="A63" s="68" t="s">
        <v>25</v>
      </c>
      <c r="B63" s="68" t="s">
        <v>48</v>
      </c>
      <c r="C63" s="72">
        <v>37</v>
      </c>
      <c r="D63" s="73" t="s">
        <v>40</v>
      </c>
      <c r="F63" s="78">
        <v>17.399999999999999</v>
      </c>
      <c r="G63" s="79">
        <f t="shared" si="0"/>
        <v>5.3035198302873647</v>
      </c>
      <c r="H63" s="83">
        <v>76.290000000000006</v>
      </c>
    </row>
    <row r="64" spans="1:17" x14ac:dyDescent="0.35">
      <c r="A64" s="68" t="s">
        <v>25</v>
      </c>
      <c r="B64" s="68" t="s">
        <v>44</v>
      </c>
      <c r="C64" s="72">
        <v>38</v>
      </c>
      <c r="D64" s="73" t="s">
        <v>42</v>
      </c>
      <c r="F64" s="78">
        <v>11.7</v>
      </c>
      <c r="G64" s="79">
        <f t="shared" si="0"/>
        <v>3.5661598858828834</v>
      </c>
      <c r="H64" s="83">
        <v>54.83</v>
      </c>
      <c r="I64">
        <v>1</v>
      </c>
      <c r="L64" s="72" t="s">
        <v>20</v>
      </c>
      <c r="M64" t="s">
        <v>22</v>
      </c>
      <c r="N64" t="s">
        <v>19</v>
      </c>
      <c r="O64" s="64">
        <v>0.97</v>
      </c>
      <c r="P64" s="73">
        <v>0</v>
      </c>
    </row>
    <row r="65" spans="1:17" x14ac:dyDescent="0.35">
      <c r="A65" s="68" t="s">
        <v>25</v>
      </c>
      <c r="B65" s="68" t="s">
        <v>44</v>
      </c>
      <c r="C65" s="72">
        <v>39</v>
      </c>
      <c r="D65" s="73" t="s">
        <v>42</v>
      </c>
      <c r="F65" s="78">
        <v>10.8</v>
      </c>
      <c r="G65" s="79">
        <f t="shared" si="0"/>
        <v>3.2918398946611238</v>
      </c>
      <c r="H65" s="83">
        <v>43.67</v>
      </c>
      <c r="I65">
        <v>1</v>
      </c>
      <c r="L65" s="72" t="s">
        <v>20</v>
      </c>
      <c r="M65" t="s">
        <v>22</v>
      </c>
      <c r="N65" t="s">
        <v>19</v>
      </c>
      <c r="O65" s="64">
        <v>0.9</v>
      </c>
      <c r="P65" s="73">
        <v>7</v>
      </c>
    </row>
    <row r="66" spans="1:17" x14ac:dyDescent="0.35">
      <c r="A66" s="68" t="s">
        <v>25</v>
      </c>
      <c r="B66" s="68" t="s">
        <v>44</v>
      </c>
      <c r="C66" s="72">
        <v>39</v>
      </c>
      <c r="G66" s="79" t="str">
        <f t="shared" si="0"/>
        <v xml:space="preserve"> </v>
      </c>
      <c r="L66" s="72" t="s">
        <v>20</v>
      </c>
      <c r="M66" t="s">
        <v>22</v>
      </c>
      <c r="N66" t="s">
        <v>19</v>
      </c>
      <c r="O66" s="64">
        <v>1.38</v>
      </c>
      <c r="P66" s="73">
        <v>0</v>
      </c>
    </row>
    <row r="67" spans="1:17" x14ac:dyDescent="0.35">
      <c r="A67" s="68" t="s">
        <v>25</v>
      </c>
      <c r="B67" s="68" t="s">
        <v>44</v>
      </c>
      <c r="C67" s="72">
        <v>39</v>
      </c>
      <c r="G67" s="79" t="str">
        <f t="shared" si="0"/>
        <v xml:space="preserve"> </v>
      </c>
      <c r="L67" s="72" t="s">
        <v>20</v>
      </c>
      <c r="M67" t="s">
        <v>22</v>
      </c>
      <c r="N67" t="s">
        <v>19</v>
      </c>
      <c r="O67" s="64">
        <v>0.36</v>
      </c>
      <c r="P67" s="73">
        <v>0</v>
      </c>
    </row>
    <row r="68" spans="1:17" x14ac:dyDescent="0.35">
      <c r="A68" s="68" t="s">
        <v>25</v>
      </c>
      <c r="B68" s="68" t="s">
        <v>44</v>
      </c>
      <c r="C68" s="72">
        <v>40</v>
      </c>
      <c r="D68" s="73" t="s">
        <v>42</v>
      </c>
      <c r="F68" s="78">
        <v>11.8</v>
      </c>
      <c r="G68" s="79">
        <f t="shared" si="0"/>
        <v>3.5966398849075238</v>
      </c>
      <c r="H68" s="83">
        <v>52.57</v>
      </c>
      <c r="I68">
        <v>1</v>
      </c>
      <c r="L68" s="72" t="s">
        <v>19</v>
      </c>
      <c r="N68" t="s">
        <v>43</v>
      </c>
    </row>
    <row r="69" spans="1:17" x14ac:dyDescent="0.35">
      <c r="A69" s="68" t="s">
        <v>25</v>
      </c>
      <c r="B69" s="68" t="s">
        <v>44</v>
      </c>
      <c r="C69" s="72">
        <v>41</v>
      </c>
      <c r="D69" s="73" t="s">
        <v>42</v>
      </c>
      <c r="F69" s="78">
        <v>7.9</v>
      </c>
      <c r="G69" s="79">
        <f t="shared" si="0"/>
        <v>2.4079199229465624</v>
      </c>
      <c r="H69" s="83">
        <v>20.96</v>
      </c>
      <c r="I69">
        <v>2</v>
      </c>
      <c r="J69" s="64">
        <v>0.2</v>
      </c>
      <c r="L69" s="72" t="s">
        <v>19</v>
      </c>
      <c r="N69" t="s">
        <v>20</v>
      </c>
      <c r="Q69" t="s">
        <v>28</v>
      </c>
    </row>
    <row r="70" spans="1:17" x14ac:dyDescent="0.35">
      <c r="A70" s="68" t="s">
        <v>25</v>
      </c>
      <c r="B70" s="68" t="s">
        <v>44</v>
      </c>
      <c r="C70" s="72">
        <v>42</v>
      </c>
      <c r="D70" s="73" t="s">
        <v>42</v>
      </c>
      <c r="F70" s="78">
        <v>10.5</v>
      </c>
      <c r="G70" s="79">
        <f t="shared" si="0"/>
        <v>3.2003998975872032</v>
      </c>
      <c r="H70" s="83">
        <v>40.86</v>
      </c>
      <c r="I70">
        <v>1</v>
      </c>
      <c r="L70" s="72" t="s">
        <v>20</v>
      </c>
      <c r="M70" t="s">
        <v>22</v>
      </c>
      <c r="N70" t="s">
        <v>19</v>
      </c>
      <c r="O70" s="64">
        <v>0.81</v>
      </c>
      <c r="P70" s="73">
        <v>0</v>
      </c>
    </row>
    <row r="71" spans="1:17" x14ac:dyDescent="0.35">
      <c r="A71" s="68" t="s">
        <v>25</v>
      </c>
      <c r="B71" s="68" t="s">
        <v>44</v>
      </c>
      <c r="C71" s="72">
        <v>43</v>
      </c>
      <c r="D71" s="73" t="s">
        <v>42</v>
      </c>
      <c r="F71" s="78">
        <v>12.4</v>
      </c>
      <c r="G71" s="79">
        <f t="shared" ref="G71:G133" si="1">IF(F71 = 0, " ", IF(F71&lt;2, F71/1, F71/3.28084))</f>
        <v>3.7795198790553641</v>
      </c>
      <c r="H71" s="83">
        <v>62.86</v>
      </c>
      <c r="I71">
        <v>1</v>
      </c>
      <c r="L71" s="72" t="s">
        <v>19</v>
      </c>
      <c r="N71" t="s">
        <v>19</v>
      </c>
    </row>
    <row r="72" spans="1:17" x14ac:dyDescent="0.35">
      <c r="A72" s="68" t="s">
        <v>25</v>
      </c>
      <c r="B72" s="68" t="s">
        <v>44</v>
      </c>
      <c r="C72" s="72">
        <v>44</v>
      </c>
      <c r="D72" s="73" t="s">
        <v>42</v>
      </c>
      <c r="F72" s="78">
        <v>6.4</v>
      </c>
      <c r="G72" s="79">
        <f t="shared" si="1"/>
        <v>1.9507199375769622</v>
      </c>
      <c r="H72" s="83">
        <v>14.51</v>
      </c>
      <c r="I72">
        <v>1</v>
      </c>
      <c r="L72" s="72" t="s">
        <v>20</v>
      </c>
      <c r="M72" t="s">
        <v>22</v>
      </c>
      <c r="N72" t="s">
        <v>19</v>
      </c>
      <c r="O72" s="64">
        <v>0.88</v>
      </c>
      <c r="P72" s="73">
        <v>0</v>
      </c>
    </row>
    <row r="73" spans="1:17" x14ac:dyDescent="0.35">
      <c r="A73" s="68" t="s">
        <v>25</v>
      </c>
      <c r="B73" s="68" t="s">
        <v>44</v>
      </c>
      <c r="C73" s="72">
        <v>44</v>
      </c>
      <c r="G73" s="79" t="str">
        <f t="shared" si="1"/>
        <v xml:space="preserve"> </v>
      </c>
      <c r="L73" s="72" t="s">
        <v>20</v>
      </c>
      <c r="M73" t="s">
        <v>22</v>
      </c>
      <c r="N73" t="s">
        <v>19</v>
      </c>
      <c r="O73" s="64">
        <v>0.7</v>
      </c>
      <c r="P73" s="73">
        <v>0</v>
      </c>
    </row>
    <row r="74" spans="1:17" x14ac:dyDescent="0.35">
      <c r="A74" s="68" t="s">
        <v>25</v>
      </c>
      <c r="B74" s="68" t="s">
        <v>44</v>
      </c>
      <c r="C74" s="72">
        <v>45</v>
      </c>
      <c r="D74" s="73" t="s">
        <v>42</v>
      </c>
      <c r="F74" s="78">
        <v>8.1</v>
      </c>
      <c r="G74" s="79">
        <f t="shared" si="1"/>
        <v>2.4688799209958425</v>
      </c>
      <c r="H74" s="83">
        <v>20.5</v>
      </c>
      <c r="I74">
        <v>1</v>
      </c>
      <c r="L74" s="72" t="s">
        <v>20</v>
      </c>
      <c r="M74" t="s">
        <v>22</v>
      </c>
      <c r="N74" t="s">
        <v>19</v>
      </c>
      <c r="O74" s="64">
        <v>0.96</v>
      </c>
      <c r="P74" s="73">
        <v>9</v>
      </c>
    </row>
    <row r="75" spans="1:17" x14ac:dyDescent="0.35">
      <c r="A75" s="68" t="s">
        <v>25</v>
      </c>
      <c r="B75" s="68" t="s">
        <v>44</v>
      </c>
      <c r="C75" s="72">
        <v>45</v>
      </c>
      <c r="G75" s="79" t="str">
        <f t="shared" si="1"/>
        <v xml:space="preserve"> </v>
      </c>
      <c r="L75" s="72" t="s">
        <v>20</v>
      </c>
      <c r="M75" t="s">
        <v>22</v>
      </c>
      <c r="N75" t="s">
        <v>19</v>
      </c>
      <c r="O75" s="64">
        <v>0.63</v>
      </c>
      <c r="P75" s="73">
        <v>0</v>
      </c>
    </row>
    <row r="76" spans="1:17" x14ac:dyDescent="0.35">
      <c r="A76" s="68" t="s">
        <v>25</v>
      </c>
      <c r="B76" s="68" t="s">
        <v>44</v>
      </c>
      <c r="C76" s="72">
        <v>45</v>
      </c>
      <c r="G76" s="79" t="str">
        <f t="shared" si="1"/>
        <v xml:space="preserve"> </v>
      </c>
      <c r="L76" s="72" t="s">
        <v>20</v>
      </c>
      <c r="M76" t="s">
        <v>22</v>
      </c>
      <c r="N76" t="s">
        <v>19</v>
      </c>
      <c r="O76" s="64">
        <v>1.35</v>
      </c>
      <c r="P76" s="73">
        <v>0</v>
      </c>
    </row>
    <row r="77" spans="1:17" x14ac:dyDescent="0.35">
      <c r="A77" s="68" t="s">
        <v>25</v>
      </c>
      <c r="B77" s="68" t="s">
        <v>44</v>
      </c>
      <c r="C77" s="72">
        <v>46</v>
      </c>
      <c r="D77" s="73" t="s">
        <v>42</v>
      </c>
      <c r="F77" s="78">
        <v>9.1</v>
      </c>
      <c r="G77" s="79">
        <f t="shared" si="1"/>
        <v>2.7736799112422426</v>
      </c>
      <c r="H77" s="83">
        <v>36.47</v>
      </c>
      <c r="I77">
        <v>1</v>
      </c>
      <c r="L77" s="72" t="s">
        <v>20</v>
      </c>
      <c r="M77" t="s">
        <v>22</v>
      </c>
      <c r="N77" t="s">
        <v>19</v>
      </c>
      <c r="O77" s="64">
        <v>0.95</v>
      </c>
      <c r="P77" s="73">
        <v>6</v>
      </c>
    </row>
    <row r="78" spans="1:17" x14ac:dyDescent="0.35">
      <c r="A78" s="68" t="s">
        <v>25</v>
      </c>
      <c r="B78" s="68" t="s">
        <v>44</v>
      </c>
      <c r="C78" s="72">
        <v>46</v>
      </c>
      <c r="G78" s="79" t="str">
        <f t="shared" si="1"/>
        <v xml:space="preserve"> </v>
      </c>
      <c r="L78" s="72" t="s">
        <v>20</v>
      </c>
      <c r="M78" t="s">
        <v>22</v>
      </c>
      <c r="N78" t="s">
        <v>19</v>
      </c>
      <c r="O78" s="64">
        <v>1.29</v>
      </c>
      <c r="P78" s="73">
        <v>0</v>
      </c>
    </row>
    <row r="79" spans="1:17" x14ac:dyDescent="0.35">
      <c r="A79" s="68" t="s">
        <v>25</v>
      </c>
      <c r="B79" s="68" t="s">
        <v>44</v>
      </c>
      <c r="C79" s="72">
        <v>47</v>
      </c>
      <c r="D79" s="73" t="s">
        <v>42</v>
      </c>
      <c r="F79" s="78">
        <v>10</v>
      </c>
      <c r="G79" s="79">
        <f t="shared" si="1"/>
        <v>3.047999902464003</v>
      </c>
      <c r="H79" s="83">
        <v>31.62</v>
      </c>
      <c r="I79">
        <v>1</v>
      </c>
      <c r="L79" s="72" t="s">
        <v>20</v>
      </c>
      <c r="M79" t="s">
        <v>22</v>
      </c>
      <c r="N79" t="s">
        <v>19</v>
      </c>
      <c r="O79" s="64">
        <v>1.17</v>
      </c>
      <c r="P79" s="73">
        <v>0</v>
      </c>
    </row>
    <row r="80" spans="1:17" x14ac:dyDescent="0.35">
      <c r="A80" s="68" t="s">
        <v>25</v>
      </c>
      <c r="B80" s="68" t="s">
        <v>44</v>
      </c>
      <c r="C80" s="72">
        <v>48</v>
      </c>
      <c r="D80" s="73" t="s">
        <v>42</v>
      </c>
      <c r="F80" s="78">
        <v>8.6999999999999993</v>
      </c>
      <c r="G80" s="79">
        <f t="shared" si="1"/>
        <v>2.6517599151436824</v>
      </c>
      <c r="H80" s="83">
        <v>22.07</v>
      </c>
      <c r="I80">
        <v>1</v>
      </c>
      <c r="K80" s="68">
        <v>34</v>
      </c>
      <c r="L80" s="72" t="s">
        <v>20</v>
      </c>
      <c r="M80" t="s">
        <v>22</v>
      </c>
      <c r="N80" t="s">
        <v>19</v>
      </c>
      <c r="O80" s="64">
        <v>0</v>
      </c>
      <c r="P80" s="73">
        <v>0</v>
      </c>
    </row>
    <row r="81" spans="1:17" x14ac:dyDescent="0.35">
      <c r="A81" s="68" t="s">
        <v>25</v>
      </c>
      <c r="B81" s="68" t="s">
        <v>44</v>
      </c>
      <c r="C81" s="72">
        <v>49</v>
      </c>
      <c r="D81" s="73" t="s">
        <v>42</v>
      </c>
      <c r="F81" s="78">
        <v>9.1</v>
      </c>
      <c r="G81" s="79">
        <f t="shared" si="1"/>
        <v>2.7736799112422426</v>
      </c>
      <c r="H81" s="83">
        <v>31.37</v>
      </c>
      <c r="I81">
        <v>1</v>
      </c>
      <c r="L81" s="72" t="s">
        <v>20</v>
      </c>
      <c r="M81" t="s">
        <v>22</v>
      </c>
      <c r="N81" t="s">
        <v>19</v>
      </c>
      <c r="O81" s="64">
        <v>1.18</v>
      </c>
      <c r="P81" s="73">
        <v>0</v>
      </c>
    </row>
    <row r="82" spans="1:17" x14ac:dyDescent="0.35">
      <c r="A82" s="68" t="s">
        <v>25</v>
      </c>
      <c r="B82" s="68" t="s">
        <v>44</v>
      </c>
      <c r="C82" s="72">
        <v>50</v>
      </c>
      <c r="D82" s="73" t="s">
        <v>42</v>
      </c>
      <c r="F82" s="78">
        <v>6.5</v>
      </c>
      <c r="G82" s="79">
        <f t="shared" si="1"/>
        <v>1.981199936601602</v>
      </c>
      <c r="H82" s="83">
        <v>17.38</v>
      </c>
      <c r="I82">
        <v>1</v>
      </c>
      <c r="K82" s="68">
        <v>173</v>
      </c>
      <c r="L82" s="72" t="s">
        <v>20</v>
      </c>
      <c r="M82" t="s">
        <v>22</v>
      </c>
      <c r="N82" t="s">
        <v>19</v>
      </c>
      <c r="O82" s="64">
        <v>0.95</v>
      </c>
      <c r="P82" s="73">
        <v>0</v>
      </c>
    </row>
    <row r="83" spans="1:17" x14ac:dyDescent="0.35">
      <c r="A83" s="68" t="s">
        <v>25</v>
      </c>
      <c r="B83" s="68" t="s">
        <v>44</v>
      </c>
      <c r="C83" s="72">
        <v>50</v>
      </c>
      <c r="G83" s="79" t="str">
        <f t="shared" si="1"/>
        <v xml:space="preserve"> </v>
      </c>
      <c r="L83" s="72" t="s">
        <v>20</v>
      </c>
      <c r="M83" t="s">
        <v>22</v>
      </c>
      <c r="N83" t="s">
        <v>19</v>
      </c>
      <c r="O83" s="64">
        <v>0.59</v>
      </c>
      <c r="P83" s="73">
        <v>0</v>
      </c>
    </row>
    <row r="84" spans="1:17" x14ac:dyDescent="0.35">
      <c r="A84" s="68" t="s">
        <v>25</v>
      </c>
      <c r="B84" s="68" t="s">
        <v>44</v>
      </c>
      <c r="C84" s="72">
        <v>50</v>
      </c>
      <c r="G84" s="79" t="str">
        <f t="shared" si="1"/>
        <v xml:space="preserve"> </v>
      </c>
      <c r="L84" s="72" t="s">
        <v>20</v>
      </c>
      <c r="M84" t="s">
        <v>22</v>
      </c>
      <c r="N84" t="s">
        <v>19</v>
      </c>
      <c r="O84" s="64">
        <v>0.16</v>
      </c>
      <c r="P84" s="73">
        <v>0</v>
      </c>
    </row>
    <row r="85" spans="1:17" x14ac:dyDescent="0.35">
      <c r="A85" s="68" t="s">
        <v>25</v>
      </c>
      <c r="B85" s="68" t="s">
        <v>44</v>
      </c>
      <c r="C85" s="72">
        <v>51</v>
      </c>
      <c r="D85" s="73" t="s">
        <v>42</v>
      </c>
      <c r="F85" s="78">
        <v>7.8</v>
      </c>
      <c r="G85" s="79">
        <f t="shared" si="1"/>
        <v>2.3774399239219224</v>
      </c>
      <c r="H85" s="83">
        <v>23.35</v>
      </c>
      <c r="I85">
        <v>1</v>
      </c>
      <c r="K85" s="68">
        <v>106</v>
      </c>
      <c r="L85" s="72" t="s">
        <v>20</v>
      </c>
      <c r="M85" t="s">
        <v>22</v>
      </c>
      <c r="N85" t="s">
        <v>19</v>
      </c>
      <c r="O85" s="64">
        <v>0.6</v>
      </c>
      <c r="P85" s="73">
        <v>0</v>
      </c>
    </row>
    <row r="86" spans="1:17" x14ac:dyDescent="0.35">
      <c r="A86" s="68" t="s">
        <v>25</v>
      </c>
      <c r="B86" s="68" t="s">
        <v>44</v>
      </c>
      <c r="C86" s="72">
        <v>52</v>
      </c>
      <c r="D86" s="73" t="s">
        <v>42</v>
      </c>
      <c r="F86" s="78">
        <v>5.7</v>
      </c>
      <c r="G86" s="79">
        <f t="shared" si="1"/>
        <v>1.7373599444044818</v>
      </c>
      <c r="H86" s="83">
        <v>12.44</v>
      </c>
      <c r="I86">
        <v>1</v>
      </c>
      <c r="L86" s="72" t="s">
        <v>20</v>
      </c>
      <c r="M86" t="s">
        <v>22</v>
      </c>
      <c r="N86" t="s">
        <v>19</v>
      </c>
      <c r="O86" s="64">
        <v>0.56999999999999995</v>
      </c>
      <c r="P86" s="73">
        <v>14</v>
      </c>
    </row>
    <row r="87" spans="1:17" x14ac:dyDescent="0.35">
      <c r="A87" s="68" t="s">
        <v>25</v>
      </c>
      <c r="B87" s="68" t="s">
        <v>44</v>
      </c>
      <c r="C87" s="72">
        <v>52</v>
      </c>
      <c r="G87" s="79" t="str">
        <f t="shared" si="1"/>
        <v xml:space="preserve"> </v>
      </c>
      <c r="L87" s="72" t="s">
        <v>20</v>
      </c>
      <c r="M87" t="s">
        <v>22</v>
      </c>
      <c r="N87" t="s">
        <v>19</v>
      </c>
      <c r="O87" s="64">
        <v>0.7</v>
      </c>
      <c r="P87" s="73">
        <v>0</v>
      </c>
    </row>
    <row r="88" spans="1:17" x14ac:dyDescent="0.35">
      <c r="A88" s="68" t="s">
        <v>25</v>
      </c>
      <c r="B88" s="68" t="s">
        <v>44</v>
      </c>
      <c r="C88" s="72">
        <v>52</v>
      </c>
      <c r="G88" s="79" t="str">
        <f t="shared" si="1"/>
        <v xml:space="preserve"> </v>
      </c>
      <c r="L88" s="72" t="s">
        <v>20</v>
      </c>
      <c r="M88" t="s">
        <v>21</v>
      </c>
      <c r="N88" t="s">
        <v>19</v>
      </c>
      <c r="O88" s="64">
        <v>1.05</v>
      </c>
      <c r="P88" s="73">
        <v>42</v>
      </c>
    </row>
    <row r="89" spans="1:17" x14ac:dyDescent="0.35">
      <c r="A89" s="68" t="s">
        <v>25</v>
      </c>
      <c r="B89" s="68" t="s">
        <v>44</v>
      </c>
      <c r="C89" s="72">
        <v>53</v>
      </c>
      <c r="D89" s="73" t="s">
        <v>42</v>
      </c>
      <c r="F89" s="78">
        <v>8</v>
      </c>
      <c r="G89" s="79">
        <f t="shared" si="1"/>
        <v>2.4383999219712025</v>
      </c>
      <c r="H89" s="83">
        <v>20.76</v>
      </c>
      <c r="I89">
        <v>2</v>
      </c>
      <c r="J89" s="64">
        <v>0.15</v>
      </c>
      <c r="L89" s="72" t="s">
        <v>20</v>
      </c>
      <c r="M89" t="s">
        <v>22</v>
      </c>
      <c r="N89" t="s">
        <v>19</v>
      </c>
      <c r="O89" s="64">
        <v>0.48</v>
      </c>
      <c r="P89" s="73">
        <v>0</v>
      </c>
    </row>
    <row r="90" spans="1:17" x14ac:dyDescent="0.35">
      <c r="A90" s="68" t="s">
        <v>25</v>
      </c>
      <c r="B90" s="68" t="s">
        <v>45</v>
      </c>
      <c r="C90" s="72">
        <v>54</v>
      </c>
      <c r="D90" s="73" t="s">
        <v>42</v>
      </c>
      <c r="F90" s="78">
        <v>10.5</v>
      </c>
      <c r="G90" s="79">
        <f t="shared" si="1"/>
        <v>3.2003998975872032</v>
      </c>
      <c r="H90" s="83">
        <v>44.98</v>
      </c>
      <c r="I90">
        <v>1</v>
      </c>
      <c r="L90" s="72" t="s">
        <v>20</v>
      </c>
      <c r="M90" t="s">
        <v>22</v>
      </c>
      <c r="N90" t="s">
        <v>19</v>
      </c>
      <c r="O90" s="64">
        <v>1.35</v>
      </c>
      <c r="P90" s="73">
        <v>0</v>
      </c>
    </row>
    <row r="91" spans="1:17" x14ac:dyDescent="0.35">
      <c r="A91" s="68" t="s">
        <v>25</v>
      </c>
      <c r="B91" s="68" t="s">
        <v>45</v>
      </c>
      <c r="C91" s="72">
        <v>55</v>
      </c>
      <c r="D91" s="73" t="s">
        <v>42</v>
      </c>
      <c r="F91" s="78">
        <v>8.1</v>
      </c>
      <c r="G91" s="79">
        <f t="shared" si="1"/>
        <v>2.4688799209958425</v>
      </c>
      <c r="H91" s="83">
        <v>27.34</v>
      </c>
      <c r="I91">
        <v>1</v>
      </c>
      <c r="L91" s="72" t="s">
        <v>19</v>
      </c>
      <c r="N91" t="s">
        <v>19</v>
      </c>
    </row>
    <row r="92" spans="1:17" x14ac:dyDescent="0.35">
      <c r="A92" s="68" t="s">
        <v>25</v>
      </c>
      <c r="B92" s="68" t="s">
        <v>45</v>
      </c>
      <c r="C92" s="72">
        <v>56</v>
      </c>
      <c r="D92" s="73" t="s">
        <v>42</v>
      </c>
      <c r="F92" s="78">
        <v>10</v>
      </c>
      <c r="G92" s="79">
        <f t="shared" si="1"/>
        <v>3.047999902464003</v>
      </c>
      <c r="H92" s="83">
        <v>43.17</v>
      </c>
      <c r="I92">
        <v>1</v>
      </c>
      <c r="K92" s="68">
        <v>55</v>
      </c>
      <c r="L92" s="72" t="s">
        <v>20</v>
      </c>
      <c r="M92" t="s">
        <v>22</v>
      </c>
      <c r="N92" t="s">
        <v>19</v>
      </c>
      <c r="O92" s="64">
        <v>1.04</v>
      </c>
      <c r="P92" s="73">
        <v>27</v>
      </c>
    </row>
    <row r="93" spans="1:17" x14ac:dyDescent="0.35">
      <c r="A93" s="68" t="s">
        <v>25</v>
      </c>
      <c r="B93" s="68" t="s">
        <v>45</v>
      </c>
      <c r="C93" s="72">
        <v>57</v>
      </c>
      <c r="D93" s="73" t="s">
        <v>42</v>
      </c>
      <c r="F93" s="78">
        <v>11.5</v>
      </c>
      <c r="G93" s="79">
        <f t="shared" si="1"/>
        <v>3.5051998878336037</v>
      </c>
      <c r="H93" s="83">
        <v>44.04</v>
      </c>
      <c r="I93">
        <v>2</v>
      </c>
      <c r="J93" s="64">
        <v>0.41</v>
      </c>
      <c r="L93" s="72" t="s">
        <v>19</v>
      </c>
      <c r="N93" t="s">
        <v>19</v>
      </c>
    </row>
    <row r="94" spans="1:17" x14ac:dyDescent="0.35">
      <c r="A94" s="68" t="s">
        <v>25</v>
      </c>
      <c r="B94" s="68" t="s">
        <v>45</v>
      </c>
      <c r="C94" s="72">
        <v>58</v>
      </c>
      <c r="D94" s="73" t="s">
        <v>42</v>
      </c>
      <c r="F94" s="78">
        <v>4.4000000000000004</v>
      </c>
      <c r="G94" s="79">
        <f t="shared" si="1"/>
        <v>1.3411199570841614</v>
      </c>
      <c r="H94" s="83">
        <v>9.42</v>
      </c>
      <c r="I94">
        <v>1</v>
      </c>
      <c r="K94" s="68">
        <v>90</v>
      </c>
      <c r="L94" s="72" t="s">
        <v>19</v>
      </c>
      <c r="N94" t="s">
        <v>19</v>
      </c>
      <c r="Q94" t="s">
        <v>46</v>
      </c>
    </row>
    <row r="95" spans="1:17" x14ac:dyDescent="0.35">
      <c r="A95" s="68" t="s">
        <v>25</v>
      </c>
      <c r="B95" s="68" t="s">
        <v>45</v>
      </c>
      <c r="C95" s="72">
        <v>59</v>
      </c>
      <c r="D95" s="73" t="s">
        <v>42</v>
      </c>
      <c r="F95" s="78">
        <v>5.5</v>
      </c>
      <c r="G95" s="79">
        <f t="shared" si="1"/>
        <v>1.6763999463552017</v>
      </c>
      <c r="H95" s="83">
        <v>13.03</v>
      </c>
      <c r="I95">
        <v>1</v>
      </c>
      <c r="K95" s="68">
        <v>115</v>
      </c>
      <c r="L95" s="72" t="s">
        <v>20</v>
      </c>
      <c r="M95" t="s">
        <v>22</v>
      </c>
      <c r="N95" t="s">
        <v>19</v>
      </c>
      <c r="O95" s="64">
        <v>0.6</v>
      </c>
      <c r="P95" s="73">
        <v>0</v>
      </c>
    </row>
    <row r="96" spans="1:17" x14ac:dyDescent="0.35">
      <c r="A96" s="68" t="s">
        <v>25</v>
      </c>
      <c r="B96" s="68" t="s">
        <v>45</v>
      </c>
      <c r="C96" s="72">
        <v>60</v>
      </c>
      <c r="D96" s="73" t="s">
        <v>42</v>
      </c>
      <c r="F96" s="78">
        <v>14.8</v>
      </c>
      <c r="G96" s="79">
        <f t="shared" si="1"/>
        <v>4.5110398556467253</v>
      </c>
      <c r="H96" s="83">
        <v>72.45</v>
      </c>
      <c r="I96">
        <v>1</v>
      </c>
      <c r="L96" s="72" t="s">
        <v>20</v>
      </c>
      <c r="M96" t="s">
        <v>22</v>
      </c>
      <c r="N96" t="s">
        <v>19</v>
      </c>
      <c r="O96" s="64">
        <v>1.1000000000000001</v>
      </c>
      <c r="P96" s="73">
        <v>0</v>
      </c>
    </row>
    <row r="97" spans="1:17" x14ac:dyDescent="0.35">
      <c r="A97" s="68" t="s">
        <v>25</v>
      </c>
      <c r="B97" s="68" t="s">
        <v>45</v>
      </c>
      <c r="C97" s="72">
        <v>61</v>
      </c>
      <c r="D97" s="73" t="s">
        <v>42</v>
      </c>
      <c r="F97" s="78">
        <v>12.3</v>
      </c>
      <c r="G97" s="79">
        <f t="shared" si="1"/>
        <v>3.7490398800307241</v>
      </c>
      <c r="H97" s="83">
        <v>49.92</v>
      </c>
      <c r="I97">
        <v>1</v>
      </c>
      <c r="L97" s="72" t="s">
        <v>20</v>
      </c>
      <c r="M97" t="s">
        <v>22</v>
      </c>
      <c r="N97" t="s">
        <v>19</v>
      </c>
      <c r="O97" s="64">
        <v>1.3</v>
      </c>
      <c r="P97" s="73">
        <v>20</v>
      </c>
    </row>
    <row r="98" spans="1:17" x14ac:dyDescent="0.35">
      <c r="A98" s="68" t="s">
        <v>25</v>
      </c>
      <c r="B98" s="68" t="s">
        <v>45</v>
      </c>
      <c r="C98" s="72">
        <v>62</v>
      </c>
      <c r="D98" s="73" t="s">
        <v>42</v>
      </c>
      <c r="F98" s="78">
        <v>16.100000000000001</v>
      </c>
      <c r="G98" s="79">
        <f t="shared" si="1"/>
        <v>4.9072798429670454</v>
      </c>
      <c r="H98" s="83">
        <v>87.28</v>
      </c>
      <c r="I98">
        <v>1</v>
      </c>
      <c r="L98" s="72" t="s">
        <v>20</v>
      </c>
      <c r="M98" t="s">
        <v>22</v>
      </c>
      <c r="N98" t="s">
        <v>19</v>
      </c>
      <c r="O98" s="64">
        <v>1.41</v>
      </c>
      <c r="P98" s="73">
        <v>0</v>
      </c>
    </row>
    <row r="99" spans="1:17" x14ac:dyDescent="0.35">
      <c r="A99" s="68" t="s">
        <v>25</v>
      </c>
      <c r="B99" s="68" t="s">
        <v>45</v>
      </c>
      <c r="C99" s="72">
        <v>63</v>
      </c>
      <c r="D99" s="73" t="s">
        <v>42</v>
      </c>
      <c r="F99" s="78">
        <v>11</v>
      </c>
      <c r="G99" s="79">
        <f t="shared" si="1"/>
        <v>3.3527998927104035</v>
      </c>
      <c r="H99" s="83">
        <v>34.47</v>
      </c>
      <c r="I99">
        <v>1</v>
      </c>
      <c r="L99" s="72" t="s">
        <v>19</v>
      </c>
      <c r="N99" t="s">
        <v>19</v>
      </c>
    </row>
    <row r="100" spans="1:17" x14ac:dyDescent="0.35">
      <c r="A100" s="68" t="s">
        <v>25</v>
      </c>
      <c r="B100" s="68" t="s">
        <v>45</v>
      </c>
      <c r="C100" s="72">
        <v>64</v>
      </c>
      <c r="D100" s="73" t="s">
        <v>42</v>
      </c>
      <c r="F100" s="78">
        <v>4.8</v>
      </c>
      <c r="G100" s="79">
        <f t="shared" si="1"/>
        <v>1.4630399531827214</v>
      </c>
      <c r="H100" s="83">
        <v>12.05</v>
      </c>
      <c r="I100">
        <v>1</v>
      </c>
      <c r="L100" s="72" t="s">
        <v>20</v>
      </c>
      <c r="M100" t="s">
        <v>22</v>
      </c>
      <c r="N100" t="s">
        <v>19</v>
      </c>
      <c r="O100" s="64">
        <v>0.54</v>
      </c>
      <c r="P100" s="73">
        <v>30</v>
      </c>
      <c r="Q100" t="s">
        <v>47</v>
      </c>
    </row>
    <row r="101" spans="1:17" x14ac:dyDescent="0.35">
      <c r="A101" s="68" t="s">
        <v>25</v>
      </c>
      <c r="B101" s="68" t="s">
        <v>45</v>
      </c>
      <c r="C101" s="72">
        <v>64</v>
      </c>
      <c r="G101" s="79" t="str">
        <f t="shared" si="1"/>
        <v xml:space="preserve"> </v>
      </c>
      <c r="L101" s="72" t="s">
        <v>20</v>
      </c>
      <c r="M101" t="s">
        <v>22</v>
      </c>
      <c r="N101" t="s">
        <v>19</v>
      </c>
      <c r="O101" s="64">
        <v>0.57999999999999996</v>
      </c>
      <c r="P101" s="73">
        <v>30</v>
      </c>
    </row>
    <row r="102" spans="1:17" x14ac:dyDescent="0.35">
      <c r="A102" s="68" t="s">
        <v>25</v>
      </c>
      <c r="B102" s="68" t="s">
        <v>45</v>
      </c>
      <c r="C102" s="72">
        <v>65</v>
      </c>
      <c r="D102" s="73" t="s">
        <v>42</v>
      </c>
      <c r="F102" s="78">
        <v>10.4</v>
      </c>
      <c r="G102" s="79">
        <f t="shared" si="1"/>
        <v>3.1699198985625632</v>
      </c>
      <c r="H102" s="83">
        <v>40.93</v>
      </c>
      <c r="I102">
        <v>1</v>
      </c>
      <c r="L102" s="72" t="s">
        <v>20</v>
      </c>
      <c r="M102" t="s">
        <v>22</v>
      </c>
      <c r="N102" t="s">
        <v>19</v>
      </c>
      <c r="O102" s="64">
        <v>1.0900000000000001</v>
      </c>
      <c r="P102" s="73">
        <v>0</v>
      </c>
    </row>
    <row r="103" spans="1:17" x14ac:dyDescent="0.35">
      <c r="A103" s="68" t="s">
        <v>25</v>
      </c>
      <c r="B103" s="68" t="s">
        <v>45</v>
      </c>
      <c r="C103" s="72">
        <v>66</v>
      </c>
      <c r="D103" s="73" t="s">
        <v>42</v>
      </c>
      <c r="F103" s="78">
        <v>8</v>
      </c>
      <c r="G103" s="79">
        <f t="shared" si="1"/>
        <v>2.4383999219712025</v>
      </c>
      <c r="H103" s="83">
        <v>26.39</v>
      </c>
      <c r="I103">
        <v>1</v>
      </c>
      <c r="L103" s="72" t="s">
        <v>19</v>
      </c>
      <c r="N103" t="s">
        <v>19</v>
      </c>
    </row>
    <row r="104" spans="1:17" x14ac:dyDescent="0.35">
      <c r="A104" s="68" t="s">
        <v>25</v>
      </c>
      <c r="B104" s="68" t="s">
        <v>45</v>
      </c>
      <c r="C104" s="72">
        <v>67</v>
      </c>
      <c r="D104" s="73" t="s">
        <v>42</v>
      </c>
      <c r="F104" s="78">
        <v>12.2</v>
      </c>
      <c r="G104" s="79">
        <f t="shared" si="1"/>
        <v>3.7185598810060836</v>
      </c>
      <c r="H104" s="83">
        <v>51.79</v>
      </c>
      <c r="I104">
        <v>1</v>
      </c>
      <c r="L104" s="72" t="s">
        <v>19</v>
      </c>
      <c r="N104" t="s">
        <v>19</v>
      </c>
    </row>
    <row r="105" spans="1:17" x14ac:dyDescent="0.35">
      <c r="A105" s="68" t="s">
        <v>25</v>
      </c>
      <c r="B105" s="68" t="s">
        <v>45</v>
      </c>
      <c r="C105" s="72">
        <v>68</v>
      </c>
      <c r="D105" s="73" t="s">
        <v>42</v>
      </c>
      <c r="F105" s="78">
        <v>8</v>
      </c>
      <c r="G105" s="79">
        <f t="shared" si="1"/>
        <v>2.4383999219712025</v>
      </c>
      <c r="H105" s="83">
        <v>28.5</v>
      </c>
      <c r="I105">
        <v>1</v>
      </c>
      <c r="L105" s="72" t="s">
        <v>20</v>
      </c>
      <c r="M105" t="s">
        <v>22</v>
      </c>
      <c r="N105" t="s">
        <v>19</v>
      </c>
      <c r="O105" s="64">
        <v>0.78</v>
      </c>
      <c r="P105" s="73">
        <v>0</v>
      </c>
    </row>
    <row r="106" spans="1:17" x14ac:dyDescent="0.35">
      <c r="A106" s="68" t="s">
        <v>25</v>
      </c>
      <c r="B106" s="68" t="s">
        <v>45</v>
      </c>
      <c r="C106" s="72">
        <v>69</v>
      </c>
      <c r="D106" s="73" t="s">
        <v>42</v>
      </c>
      <c r="F106" s="78">
        <v>9.1999999999999993</v>
      </c>
      <c r="G106" s="79">
        <f t="shared" si="1"/>
        <v>2.8041599102668826</v>
      </c>
      <c r="H106" s="83">
        <v>31.12</v>
      </c>
      <c r="I106">
        <v>1</v>
      </c>
      <c r="L106" s="72" t="s">
        <v>20</v>
      </c>
      <c r="M106" t="s">
        <v>21</v>
      </c>
      <c r="N106" t="s">
        <v>19</v>
      </c>
      <c r="O106" s="64">
        <v>0.97</v>
      </c>
      <c r="P106" s="73">
        <v>20</v>
      </c>
    </row>
    <row r="107" spans="1:17" x14ac:dyDescent="0.35">
      <c r="A107" s="68" t="s">
        <v>25</v>
      </c>
      <c r="B107" s="68" t="s">
        <v>60</v>
      </c>
      <c r="C107" s="72">
        <v>70</v>
      </c>
      <c r="D107" s="73" t="s">
        <v>42</v>
      </c>
      <c r="F107" s="78">
        <v>13</v>
      </c>
      <c r="G107" s="79">
        <f t="shared" si="1"/>
        <v>3.962399873203204</v>
      </c>
      <c r="H107" s="83">
        <v>50.02</v>
      </c>
      <c r="I107">
        <v>1</v>
      </c>
      <c r="L107" s="72" t="s">
        <v>20</v>
      </c>
      <c r="M107" t="s">
        <v>22</v>
      </c>
      <c r="N107" t="s">
        <v>19</v>
      </c>
      <c r="O107" s="64">
        <v>0.68</v>
      </c>
      <c r="P107" s="73">
        <v>12</v>
      </c>
      <c r="Q107" t="s">
        <v>72</v>
      </c>
    </row>
    <row r="108" spans="1:17" x14ac:dyDescent="0.35">
      <c r="A108" s="68" t="s">
        <v>25</v>
      </c>
      <c r="B108" s="68" t="s">
        <v>60</v>
      </c>
      <c r="C108" s="72">
        <v>71</v>
      </c>
      <c r="D108" s="73" t="s">
        <v>40</v>
      </c>
      <c r="E108" t="s">
        <v>36</v>
      </c>
      <c r="F108" s="78">
        <v>13.9</v>
      </c>
      <c r="G108" s="79">
        <f t="shared" si="1"/>
        <v>4.2367198644249644</v>
      </c>
      <c r="H108" s="83">
        <v>71.56</v>
      </c>
      <c r="Q108" t="s">
        <v>73</v>
      </c>
    </row>
    <row r="109" spans="1:17" x14ac:dyDescent="0.35">
      <c r="A109" s="68" t="s">
        <v>25</v>
      </c>
      <c r="B109" s="68" t="s">
        <v>60</v>
      </c>
      <c r="C109" s="72">
        <v>72</v>
      </c>
      <c r="D109" s="73" t="s">
        <v>40</v>
      </c>
      <c r="E109" t="s">
        <v>68</v>
      </c>
      <c r="F109" s="78">
        <v>17.399999999999999</v>
      </c>
      <c r="G109" s="79">
        <f t="shared" si="1"/>
        <v>5.3035198302873647</v>
      </c>
      <c r="H109" s="83">
        <v>58.56</v>
      </c>
      <c r="Q109" t="s">
        <v>74</v>
      </c>
    </row>
    <row r="110" spans="1:17" x14ac:dyDescent="0.35">
      <c r="A110" s="68" t="s">
        <v>25</v>
      </c>
      <c r="B110" s="68" t="s">
        <v>60</v>
      </c>
      <c r="C110" s="72">
        <v>73</v>
      </c>
      <c r="D110" s="73" t="s">
        <v>42</v>
      </c>
      <c r="F110" s="78">
        <v>9</v>
      </c>
      <c r="G110" s="79">
        <f t="shared" si="1"/>
        <v>2.743199912217603</v>
      </c>
      <c r="H110" s="83">
        <v>19.13</v>
      </c>
      <c r="I110">
        <v>1</v>
      </c>
      <c r="L110" s="72" t="s">
        <v>20</v>
      </c>
      <c r="M110" t="s">
        <v>22</v>
      </c>
      <c r="N110" t="s">
        <v>19</v>
      </c>
      <c r="O110" s="64">
        <v>0.56000000000000005</v>
      </c>
      <c r="P110" s="73">
        <v>0</v>
      </c>
      <c r="Q110" t="s">
        <v>75</v>
      </c>
    </row>
    <row r="111" spans="1:17" x14ac:dyDescent="0.35">
      <c r="A111" s="68" t="s">
        <v>25</v>
      </c>
      <c r="B111" s="68" t="s">
        <v>60</v>
      </c>
      <c r="C111" s="72">
        <v>73</v>
      </c>
      <c r="G111" s="79" t="str">
        <f t="shared" si="1"/>
        <v xml:space="preserve"> </v>
      </c>
      <c r="L111" s="72" t="s">
        <v>20</v>
      </c>
      <c r="M111" t="s">
        <v>21</v>
      </c>
      <c r="N111" t="s">
        <v>19</v>
      </c>
      <c r="O111" s="64">
        <v>0.56000000000000005</v>
      </c>
      <c r="P111" s="73">
        <v>30</v>
      </c>
    </row>
    <row r="112" spans="1:17" x14ac:dyDescent="0.35">
      <c r="A112" s="68" t="s">
        <v>25</v>
      </c>
      <c r="B112" s="68" t="s">
        <v>60</v>
      </c>
      <c r="C112" s="72">
        <v>74</v>
      </c>
      <c r="D112" s="73" t="s">
        <v>40</v>
      </c>
      <c r="E112" t="s">
        <v>69</v>
      </c>
      <c r="F112" s="78">
        <v>9.4</v>
      </c>
      <c r="G112" s="79">
        <f t="shared" si="1"/>
        <v>2.8651199083161631</v>
      </c>
      <c r="H112" s="83">
        <v>33.17</v>
      </c>
      <c r="Q112" t="s">
        <v>76</v>
      </c>
    </row>
    <row r="113" spans="1:17" x14ac:dyDescent="0.35">
      <c r="A113" s="68" t="s">
        <v>25</v>
      </c>
      <c r="B113" s="68" t="s">
        <v>60</v>
      </c>
      <c r="C113" s="72">
        <v>75</v>
      </c>
      <c r="D113" s="73" t="s">
        <v>42</v>
      </c>
      <c r="F113" s="78">
        <v>10.1</v>
      </c>
      <c r="G113" s="79">
        <f t="shared" si="1"/>
        <v>3.078479901488643</v>
      </c>
      <c r="H113" s="83">
        <v>32.61</v>
      </c>
      <c r="I113">
        <v>2</v>
      </c>
      <c r="J113" s="64">
        <v>0.14000000000000001</v>
      </c>
      <c r="K113" s="68">
        <v>95</v>
      </c>
      <c r="L113" s="72" t="s">
        <v>19</v>
      </c>
      <c r="N113" t="s">
        <v>19</v>
      </c>
      <c r="Q113" t="s">
        <v>77</v>
      </c>
    </row>
    <row r="114" spans="1:17" x14ac:dyDescent="0.35">
      <c r="A114" s="68" t="s">
        <v>25</v>
      </c>
      <c r="B114" s="68" t="s">
        <v>60</v>
      </c>
      <c r="C114" s="72">
        <v>76</v>
      </c>
      <c r="D114" s="73" t="s">
        <v>40</v>
      </c>
      <c r="F114" s="78">
        <v>11.7</v>
      </c>
      <c r="G114" s="79">
        <f t="shared" si="1"/>
        <v>3.5661598858828834</v>
      </c>
      <c r="H114" s="83">
        <v>33.92</v>
      </c>
      <c r="Q114" t="s">
        <v>78</v>
      </c>
    </row>
    <row r="115" spans="1:17" x14ac:dyDescent="0.35">
      <c r="A115" s="68" t="s">
        <v>25</v>
      </c>
      <c r="B115" s="68" t="s">
        <v>60</v>
      </c>
      <c r="C115" s="72">
        <v>77</v>
      </c>
      <c r="D115" s="73" t="s">
        <v>40</v>
      </c>
      <c r="E115" t="s">
        <v>19</v>
      </c>
      <c r="F115" s="78">
        <v>9</v>
      </c>
      <c r="G115" s="79">
        <f t="shared" si="1"/>
        <v>2.743199912217603</v>
      </c>
      <c r="H115" s="83">
        <v>25.41</v>
      </c>
      <c r="Q115" t="s">
        <v>79</v>
      </c>
    </row>
    <row r="116" spans="1:17" x14ac:dyDescent="0.35">
      <c r="A116" s="68" t="s">
        <v>25</v>
      </c>
      <c r="B116" s="68" t="s">
        <v>60</v>
      </c>
      <c r="C116" s="72">
        <v>78</v>
      </c>
      <c r="D116" s="73" t="s">
        <v>42</v>
      </c>
      <c r="F116" s="78">
        <v>10.8</v>
      </c>
      <c r="G116" s="79">
        <f t="shared" si="1"/>
        <v>3.2918398946611238</v>
      </c>
      <c r="H116" s="83">
        <v>35.4</v>
      </c>
      <c r="I116">
        <v>1</v>
      </c>
      <c r="L116" s="72" t="s">
        <v>20</v>
      </c>
      <c r="M116" t="s">
        <v>21</v>
      </c>
      <c r="N116" t="s">
        <v>19</v>
      </c>
      <c r="O116" s="64">
        <v>0.34</v>
      </c>
      <c r="P116" s="73">
        <v>47</v>
      </c>
      <c r="Q116" t="s">
        <v>80</v>
      </c>
    </row>
    <row r="117" spans="1:17" x14ac:dyDescent="0.35">
      <c r="A117" s="68" t="s">
        <v>25</v>
      </c>
      <c r="B117" s="68" t="s">
        <v>60</v>
      </c>
      <c r="C117" s="72">
        <v>79</v>
      </c>
      <c r="D117" s="73" t="s">
        <v>40</v>
      </c>
      <c r="E117" t="s">
        <v>68</v>
      </c>
      <c r="F117" s="78">
        <v>9.1999999999999993</v>
      </c>
      <c r="G117" s="79">
        <f t="shared" si="1"/>
        <v>2.8041599102668826</v>
      </c>
      <c r="H117" s="83">
        <v>23.86</v>
      </c>
      <c r="Q117" t="s">
        <v>81</v>
      </c>
    </row>
    <row r="118" spans="1:17" x14ac:dyDescent="0.35">
      <c r="A118" s="68" t="s">
        <v>25</v>
      </c>
      <c r="B118" s="68" t="s">
        <v>60</v>
      </c>
      <c r="C118" s="72">
        <v>80</v>
      </c>
      <c r="D118" s="73" t="s">
        <v>42</v>
      </c>
      <c r="F118" s="78">
        <v>7</v>
      </c>
      <c r="G118" s="79">
        <f t="shared" si="1"/>
        <v>2.133599931724802</v>
      </c>
      <c r="H118" s="83">
        <v>17.149999999999999</v>
      </c>
      <c r="I118">
        <v>1</v>
      </c>
      <c r="L118" s="72" t="s">
        <v>19</v>
      </c>
      <c r="N118" t="s">
        <v>19</v>
      </c>
      <c r="Q118" t="s">
        <v>82</v>
      </c>
    </row>
    <row r="119" spans="1:17" x14ac:dyDescent="0.35">
      <c r="A119" s="68" t="s">
        <v>25</v>
      </c>
      <c r="B119" s="68" t="s">
        <v>60</v>
      </c>
      <c r="C119" s="72">
        <v>81</v>
      </c>
      <c r="D119" s="73" t="s">
        <v>40</v>
      </c>
      <c r="E119" t="s">
        <v>68</v>
      </c>
      <c r="F119" s="78">
        <v>12.1</v>
      </c>
      <c r="G119" s="79">
        <f t="shared" si="1"/>
        <v>3.6880798819814435</v>
      </c>
      <c r="H119" s="83">
        <v>42.02</v>
      </c>
      <c r="Q119" t="s">
        <v>83</v>
      </c>
    </row>
    <row r="120" spans="1:17" x14ac:dyDescent="0.35">
      <c r="A120" s="68" t="s">
        <v>25</v>
      </c>
      <c r="B120" s="68" t="s">
        <v>60</v>
      </c>
      <c r="C120" s="72">
        <v>82</v>
      </c>
      <c r="D120" s="73" t="s">
        <v>42</v>
      </c>
      <c r="F120" s="78">
        <v>9.9</v>
      </c>
      <c r="G120" s="79">
        <f t="shared" si="1"/>
        <v>3.0175199034393634</v>
      </c>
      <c r="H120" s="83">
        <v>30.03</v>
      </c>
      <c r="I120">
        <v>1</v>
      </c>
      <c r="L120" s="72" t="s">
        <v>19</v>
      </c>
      <c r="N120" t="s">
        <v>19</v>
      </c>
      <c r="Q120" t="s">
        <v>84</v>
      </c>
    </row>
    <row r="121" spans="1:17" x14ac:dyDescent="0.35">
      <c r="A121" s="68" t="s">
        <v>25</v>
      </c>
      <c r="B121" s="68" t="s">
        <v>60</v>
      </c>
      <c r="C121" s="72">
        <v>83</v>
      </c>
      <c r="D121" s="73" t="s">
        <v>40</v>
      </c>
      <c r="E121" t="s">
        <v>19</v>
      </c>
      <c r="F121" s="78">
        <v>10.9</v>
      </c>
      <c r="G121" s="79">
        <f t="shared" si="1"/>
        <v>3.3223198936857634</v>
      </c>
      <c r="H121" s="83">
        <v>39.090000000000003</v>
      </c>
      <c r="Q121" t="s">
        <v>85</v>
      </c>
    </row>
    <row r="122" spans="1:17" x14ac:dyDescent="0.35">
      <c r="A122" s="68" t="s">
        <v>25</v>
      </c>
      <c r="B122" s="68" t="s">
        <v>60</v>
      </c>
      <c r="C122" s="72">
        <v>84</v>
      </c>
      <c r="D122" s="73" t="s">
        <v>42</v>
      </c>
      <c r="F122" s="78">
        <v>12</v>
      </c>
      <c r="G122" s="79">
        <f t="shared" si="1"/>
        <v>3.6575998829568039</v>
      </c>
      <c r="H122" s="83">
        <v>43.26</v>
      </c>
      <c r="I122">
        <v>1</v>
      </c>
      <c r="L122" s="72" t="s">
        <v>20</v>
      </c>
      <c r="M122" t="s">
        <v>22</v>
      </c>
      <c r="N122" t="s">
        <v>19</v>
      </c>
      <c r="O122" s="64">
        <v>0.85</v>
      </c>
      <c r="P122" s="73">
        <v>0</v>
      </c>
      <c r="Q122" t="s">
        <v>86</v>
      </c>
    </row>
    <row r="123" spans="1:17" x14ac:dyDescent="0.35">
      <c r="A123" s="68" t="s">
        <v>25</v>
      </c>
      <c r="B123" s="68" t="s">
        <v>60</v>
      </c>
      <c r="C123" s="72">
        <v>85</v>
      </c>
      <c r="D123" s="73" t="s">
        <v>40</v>
      </c>
      <c r="E123" t="s">
        <v>70</v>
      </c>
      <c r="F123" s="78">
        <v>11.5</v>
      </c>
      <c r="G123" s="79">
        <f t="shared" si="1"/>
        <v>3.5051998878336037</v>
      </c>
      <c r="H123" s="83">
        <v>39.93</v>
      </c>
      <c r="Q123" t="s">
        <v>87</v>
      </c>
    </row>
    <row r="124" spans="1:17" x14ac:dyDescent="0.35">
      <c r="A124" s="68" t="s">
        <v>25</v>
      </c>
      <c r="B124" s="68" t="s">
        <v>60</v>
      </c>
      <c r="C124" s="72">
        <v>86</v>
      </c>
      <c r="D124" s="73" t="s">
        <v>42</v>
      </c>
      <c r="F124" s="78">
        <v>11.9</v>
      </c>
      <c r="G124" s="79">
        <f t="shared" si="1"/>
        <v>3.6271198839321639</v>
      </c>
      <c r="H124" s="83">
        <v>38.85</v>
      </c>
      <c r="I124">
        <v>1</v>
      </c>
      <c r="K124" s="68">
        <v>57</v>
      </c>
      <c r="L124" s="72" t="s">
        <v>20</v>
      </c>
      <c r="M124" t="s">
        <v>22</v>
      </c>
      <c r="N124" t="s">
        <v>19</v>
      </c>
      <c r="O124" s="64">
        <v>1.19</v>
      </c>
      <c r="P124" s="73">
        <v>0</v>
      </c>
      <c r="Q124" t="s">
        <v>88</v>
      </c>
    </row>
    <row r="125" spans="1:17" x14ac:dyDescent="0.35">
      <c r="A125" s="68" t="s">
        <v>25</v>
      </c>
      <c r="B125" s="68" t="s">
        <v>60</v>
      </c>
      <c r="C125" s="72">
        <v>87</v>
      </c>
      <c r="D125" s="73" t="s">
        <v>40</v>
      </c>
      <c r="E125" t="s">
        <v>19</v>
      </c>
      <c r="F125" s="78">
        <v>15.4</v>
      </c>
      <c r="G125" s="79">
        <f>IF(F125 = 0, " ", IF(F125&lt;2, F125/1, F125/3.28084))</f>
        <v>4.6939198497945647</v>
      </c>
      <c r="H125" s="83">
        <v>58.23</v>
      </c>
      <c r="Q125" t="s">
        <v>89</v>
      </c>
    </row>
    <row r="126" spans="1:17" x14ac:dyDescent="0.35">
      <c r="A126" s="68" t="s">
        <v>25</v>
      </c>
      <c r="B126" s="68" t="s">
        <v>60</v>
      </c>
      <c r="C126" s="72">
        <v>88</v>
      </c>
      <c r="D126" s="73" t="s">
        <v>42</v>
      </c>
      <c r="F126" s="78">
        <v>4.2</v>
      </c>
      <c r="G126" s="79">
        <f t="shared" si="1"/>
        <v>1.2801599590348813</v>
      </c>
      <c r="H126" s="83">
        <v>4.1399999999999997</v>
      </c>
      <c r="I126">
        <v>1</v>
      </c>
      <c r="L126" s="72" t="s">
        <v>19</v>
      </c>
      <c r="N126" t="s">
        <v>19</v>
      </c>
      <c r="Q126" t="s">
        <v>90</v>
      </c>
    </row>
    <row r="127" spans="1:17" x14ac:dyDescent="0.35">
      <c r="A127" s="68" t="s">
        <v>25</v>
      </c>
      <c r="B127" s="68" t="s">
        <v>60</v>
      </c>
      <c r="C127" s="72">
        <v>89</v>
      </c>
      <c r="D127" s="73" t="s">
        <v>40</v>
      </c>
      <c r="E127" t="s">
        <v>68</v>
      </c>
      <c r="F127" s="78">
        <v>18.5</v>
      </c>
      <c r="G127" s="79">
        <f t="shared" si="1"/>
        <v>5.6387998195584057</v>
      </c>
      <c r="H127" s="83">
        <v>59.12</v>
      </c>
      <c r="Q127" t="s">
        <v>91</v>
      </c>
    </row>
    <row r="128" spans="1:17" x14ac:dyDescent="0.35">
      <c r="A128" s="68" t="s">
        <v>25</v>
      </c>
      <c r="B128" s="68" t="s">
        <v>60</v>
      </c>
      <c r="C128" s="72">
        <v>90</v>
      </c>
      <c r="D128" s="73" t="s">
        <v>42</v>
      </c>
      <c r="F128" s="78">
        <v>7.6</v>
      </c>
      <c r="G128" s="79">
        <f t="shared" si="1"/>
        <v>2.3164799258726423</v>
      </c>
      <c r="H128" s="83">
        <v>17.8</v>
      </c>
      <c r="I128">
        <v>1</v>
      </c>
      <c r="L128" s="72" t="s">
        <v>20</v>
      </c>
      <c r="M128" t="s">
        <v>21</v>
      </c>
      <c r="N128" t="s">
        <v>19</v>
      </c>
      <c r="O128" s="64">
        <v>0.53</v>
      </c>
      <c r="P128" s="73">
        <v>26</v>
      </c>
      <c r="Q128" t="s">
        <v>92</v>
      </c>
    </row>
    <row r="129" spans="1:17" x14ac:dyDescent="0.35">
      <c r="A129" s="68" t="s">
        <v>25</v>
      </c>
      <c r="B129" s="68" t="s">
        <v>60</v>
      </c>
      <c r="C129" s="72">
        <v>91</v>
      </c>
      <c r="D129" s="73" t="s">
        <v>40</v>
      </c>
      <c r="E129" t="s">
        <v>36</v>
      </c>
      <c r="F129" s="78">
        <v>17.899999999999999</v>
      </c>
      <c r="G129" s="79">
        <f t="shared" si="1"/>
        <v>5.4559198254105654</v>
      </c>
      <c r="H129" s="83">
        <v>68.150000000000006</v>
      </c>
      <c r="Q129" t="s">
        <v>93</v>
      </c>
    </row>
    <row r="130" spans="1:17" x14ac:dyDescent="0.35">
      <c r="A130" s="68" t="s">
        <v>25</v>
      </c>
      <c r="B130" s="68" t="s">
        <v>60</v>
      </c>
      <c r="C130" s="72">
        <v>92</v>
      </c>
      <c r="D130" s="73" t="s">
        <v>42</v>
      </c>
      <c r="F130" s="78">
        <v>0.96</v>
      </c>
      <c r="G130" s="79">
        <v>0.96</v>
      </c>
      <c r="H130" s="83">
        <v>5.72</v>
      </c>
      <c r="I130">
        <v>2</v>
      </c>
      <c r="J130" s="64">
        <v>0.68</v>
      </c>
      <c r="L130" s="72" t="s">
        <v>19</v>
      </c>
      <c r="N130" t="s">
        <v>19</v>
      </c>
      <c r="Q130" t="s">
        <v>94</v>
      </c>
    </row>
    <row r="131" spans="1:17" x14ac:dyDescent="0.35">
      <c r="A131" s="68" t="s">
        <v>25</v>
      </c>
      <c r="B131" s="68" t="s">
        <v>60</v>
      </c>
      <c r="C131" s="72">
        <v>93</v>
      </c>
      <c r="D131" s="73" t="s">
        <v>42</v>
      </c>
      <c r="F131" s="78">
        <v>7.3</v>
      </c>
      <c r="G131" s="79">
        <f t="shared" si="1"/>
        <v>2.2250399287987221</v>
      </c>
      <c r="H131" s="83">
        <v>24.4</v>
      </c>
      <c r="I131">
        <v>1</v>
      </c>
      <c r="L131" s="72" t="s">
        <v>20</v>
      </c>
      <c r="M131" t="s">
        <v>22</v>
      </c>
      <c r="N131" t="s">
        <v>19</v>
      </c>
      <c r="O131" s="64">
        <v>1.28</v>
      </c>
      <c r="P131" s="73">
        <v>0</v>
      </c>
      <c r="Q131" t="s">
        <v>95</v>
      </c>
    </row>
    <row r="132" spans="1:17" x14ac:dyDescent="0.35">
      <c r="A132" s="68" t="s">
        <v>25</v>
      </c>
      <c r="B132" s="68" t="s">
        <v>60</v>
      </c>
      <c r="C132" s="72">
        <v>94</v>
      </c>
      <c r="D132" s="73" t="s">
        <v>40</v>
      </c>
      <c r="E132" t="s">
        <v>36</v>
      </c>
      <c r="F132" s="78">
        <v>14.6</v>
      </c>
      <c r="G132" s="79">
        <v>1.96</v>
      </c>
      <c r="H132" s="83">
        <v>67.45</v>
      </c>
      <c r="Q132" t="s">
        <v>96</v>
      </c>
    </row>
    <row r="133" spans="1:17" x14ac:dyDescent="0.35">
      <c r="A133" s="68" t="s">
        <v>25</v>
      </c>
      <c r="B133" s="68" t="s">
        <v>60</v>
      </c>
      <c r="C133" s="72">
        <v>95</v>
      </c>
      <c r="D133" s="73" t="s">
        <v>40</v>
      </c>
      <c r="E133" t="s">
        <v>68</v>
      </c>
      <c r="F133" s="78">
        <v>9.6</v>
      </c>
      <c r="G133" s="79">
        <f t="shared" si="1"/>
        <v>2.9260799063654428</v>
      </c>
      <c r="H133" s="83">
        <v>23.29</v>
      </c>
      <c r="Q133" t="s">
        <v>97</v>
      </c>
    </row>
    <row r="134" spans="1:17" x14ac:dyDescent="0.35">
      <c r="A134" s="68" t="s">
        <v>25</v>
      </c>
      <c r="B134" s="68" t="s">
        <v>60</v>
      </c>
      <c r="C134" s="72">
        <v>96</v>
      </c>
      <c r="D134" s="73" t="s">
        <v>42</v>
      </c>
      <c r="F134" s="78">
        <v>7</v>
      </c>
      <c r="G134" s="79">
        <f t="shared" ref="G134:G137" si="2">IF(F134 = 0, " ", IF(F134&lt;2, F134/1, F134/3.28084))</f>
        <v>2.133599931724802</v>
      </c>
      <c r="H134" s="83">
        <v>14.17</v>
      </c>
      <c r="I134">
        <v>1</v>
      </c>
      <c r="K134" s="68">
        <v>98</v>
      </c>
      <c r="L134" s="72" t="s">
        <v>20</v>
      </c>
      <c r="M134" t="s">
        <v>22</v>
      </c>
      <c r="N134" t="s">
        <v>19</v>
      </c>
      <c r="O134" s="64">
        <v>0.17</v>
      </c>
      <c r="P134" s="73">
        <v>0</v>
      </c>
      <c r="Q134" t="s">
        <v>98</v>
      </c>
    </row>
    <row r="135" spans="1:17" x14ac:dyDescent="0.35">
      <c r="A135" s="68" t="s">
        <v>25</v>
      </c>
      <c r="B135" s="68" t="s">
        <v>60</v>
      </c>
      <c r="C135" s="72">
        <v>97</v>
      </c>
      <c r="D135" s="73" t="s">
        <v>40</v>
      </c>
      <c r="E135" t="s">
        <v>36</v>
      </c>
      <c r="F135" s="78">
        <v>15.6</v>
      </c>
      <c r="G135" s="79">
        <f t="shared" si="2"/>
        <v>4.7548798478438448</v>
      </c>
      <c r="H135" s="83">
        <v>59.16</v>
      </c>
      <c r="Q135" t="s">
        <v>99</v>
      </c>
    </row>
    <row r="136" spans="1:17" x14ac:dyDescent="0.35">
      <c r="A136" s="68" t="s">
        <v>25</v>
      </c>
      <c r="B136" s="68" t="s">
        <v>60</v>
      </c>
      <c r="C136" s="72">
        <v>98</v>
      </c>
      <c r="D136" s="73" t="s">
        <v>42</v>
      </c>
      <c r="F136" s="78">
        <v>7</v>
      </c>
      <c r="G136" s="79">
        <f t="shared" si="2"/>
        <v>2.133599931724802</v>
      </c>
      <c r="H136" s="83">
        <v>20.62</v>
      </c>
      <c r="I136">
        <v>1</v>
      </c>
      <c r="L136" s="72" t="s">
        <v>20</v>
      </c>
      <c r="M136" t="s">
        <v>21</v>
      </c>
      <c r="N136" t="s">
        <v>19</v>
      </c>
      <c r="O136" s="64">
        <v>0.6</v>
      </c>
      <c r="P136" s="73">
        <v>72</v>
      </c>
      <c r="Q136" t="s">
        <v>100</v>
      </c>
    </row>
    <row r="137" spans="1:17" x14ac:dyDescent="0.35">
      <c r="A137" s="68" t="s">
        <v>25</v>
      </c>
      <c r="B137" s="68" t="s">
        <v>60</v>
      </c>
      <c r="C137" s="72">
        <v>99</v>
      </c>
      <c r="D137" s="73" t="s">
        <v>40</v>
      </c>
      <c r="E137" t="s">
        <v>71</v>
      </c>
      <c r="F137" s="78">
        <v>14.8</v>
      </c>
      <c r="G137" s="79">
        <f t="shared" si="2"/>
        <v>4.5110398556467253</v>
      </c>
      <c r="Q137" t="s">
        <v>101</v>
      </c>
    </row>
    <row r="138" spans="1:17" x14ac:dyDescent="0.35">
      <c r="A138" s="68" t="s">
        <v>25</v>
      </c>
      <c r="B138" s="68" t="s">
        <v>60</v>
      </c>
      <c r="C138" s="72">
        <v>100</v>
      </c>
      <c r="D138" s="73" t="s">
        <v>42</v>
      </c>
      <c r="F138" s="78">
        <v>1.2</v>
      </c>
      <c r="G138" s="79">
        <v>1.2</v>
      </c>
      <c r="H138" s="83">
        <v>10.26</v>
      </c>
      <c r="I138">
        <v>1</v>
      </c>
      <c r="L138" s="72" t="s">
        <v>19</v>
      </c>
      <c r="N138" t="s">
        <v>19</v>
      </c>
      <c r="Q138" t="s">
        <v>151</v>
      </c>
    </row>
    <row r="139" spans="1:17" x14ac:dyDescent="0.35">
      <c r="A139" s="68" t="s">
        <v>25</v>
      </c>
      <c r="B139" s="68" t="s">
        <v>60</v>
      </c>
      <c r="C139" s="72">
        <v>101</v>
      </c>
      <c r="D139" s="73" t="s">
        <v>40</v>
      </c>
      <c r="E139" t="s">
        <v>36</v>
      </c>
      <c r="F139" s="78">
        <v>16.600000000000001</v>
      </c>
      <c r="G139" s="79">
        <f t="shared" ref="G139:G197" si="3">IF(F139 = 0, " ", IF(F139&lt;2, F139/1, F139/3.28084))</f>
        <v>5.0596798380902452</v>
      </c>
      <c r="H139" s="83">
        <v>52.57</v>
      </c>
      <c r="Q139" t="s">
        <v>102</v>
      </c>
    </row>
    <row r="140" spans="1:17" x14ac:dyDescent="0.35">
      <c r="A140" s="68" t="s">
        <v>25</v>
      </c>
      <c r="B140" s="68" t="s">
        <v>60</v>
      </c>
      <c r="C140" s="72">
        <v>102</v>
      </c>
      <c r="D140" s="73" t="s">
        <v>42</v>
      </c>
      <c r="F140" s="78">
        <v>5.4</v>
      </c>
      <c r="G140" s="79">
        <f t="shared" si="3"/>
        <v>1.6459199473305619</v>
      </c>
      <c r="H140" s="83">
        <v>17.059999999999999</v>
      </c>
      <c r="I140">
        <v>1</v>
      </c>
      <c r="L140" s="72" t="s">
        <v>19</v>
      </c>
      <c r="N140" t="s">
        <v>19</v>
      </c>
      <c r="Q140" t="s">
        <v>103</v>
      </c>
    </row>
    <row r="141" spans="1:17" x14ac:dyDescent="0.35">
      <c r="A141" s="68" t="s">
        <v>25</v>
      </c>
      <c r="B141" s="68" t="s">
        <v>60</v>
      </c>
      <c r="C141" s="72">
        <v>103</v>
      </c>
      <c r="D141" s="73" t="s">
        <v>40</v>
      </c>
      <c r="E141" t="s">
        <v>29</v>
      </c>
      <c r="F141" s="78">
        <v>15.3</v>
      </c>
      <c r="G141" s="79">
        <f t="shared" si="3"/>
        <v>4.6634398507699251</v>
      </c>
      <c r="H141" s="83">
        <v>47.56</v>
      </c>
      <c r="Q141" t="s">
        <v>104</v>
      </c>
    </row>
    <row r="142" spans="1:17" x14ac:dyDescent="0.35">
      <c r="A142" s="68" t="s">
        <v>25</v>
      </c>
      <c r="B142" s="68" t="s">
        <v>60</v>
      </c>
      <c r="C142" s="72">
        <v>104</v>
      </c>
      <c r="D142" s="73" t="s">
        <v>42</v>
      </c>
      <c r="F142" s="78">
        <v>6.5</v>
      </c>
      <c r="G142" s="79">
        <f t="shared" si="3"/>
        <v>1.981199936601602</v>
      </c>
      <c r="H142" s="83">
        <v>16.850000000000001</v>
      </c>
      <c r="I142">
        <v>1</v>
      </c>
      <c r="L142" s="72" t="s">
        <v>20</v>
      </c>
      <c r="M142" t="s">
        <v>21</v>
      </c>
      <c r="N142" t="s">
        <v>19</v>
      </c>
      <c r="O142" s="64">
        <v>0.3</v>
      </c>
      <c r="P142" s="73">
        <v>120</v>
      </c>
      <c r="Q142" t="s">
        <v>105</v>
      </c>
    </row>
    <row r="143" spans="1:17" x14ac:dyDescent="0.35">
      <c r="A143" s="68" t="s">
        <v>25</v>
      </c>
      <c r="B143" s="68" t="s">
        <v>60</v>
      </c>
      <c r="C143" s="72">
        <v>104</v>
      </c>
      <c r="G143" s="79" t="str">
        <f t="shared" si="3"/>
        <v xml:space="preserve"> </v>
      </c>
      <c r="L143" s="72" t="s">
        <v>20</v>
      </c>
      <c r="M143" t="s">
        <v>22</v>
      </c>
      <c r="N143" t="s">
        <v>19</v>
      </c>
      <c r="O143" s="64">
        <v>0.85</v>
      </c>
      <c r="P143" s="73">
        <v>0</v>
      </c>
    </row>
    <row r="144" spans="1:17" x14ac:dyDescent="0.35">
      <c r="A144" s="68" t="s">
        <v>25</v>
      </c>
      <c r="B144" s="68" t="s">
        <v>60</v>
      </c>
      <c r="C144" s="72">
        <v>105</v>
      </c>
      <c r="D144" s="73" t="s">
        <v>40</v>
      </c>
      <c r="E144" t="s">
        <v>23</v>
      </c>
      <c r="F144" s="78">
        <v>16.3</v>
      </c>
      <c r="G144" s="79">
        <f t="shared" si="3"/>
        <v>4.9682398410163255</v>
      </c>
      <c r="H144" s="83">
        <v>70.56</v>
      </c>
      <c r="Q144" t="s">
        <v>107</v>
      </c>
    </row>
    <row r="145" spans="1:17" x14ac:dyDescent="0.35">
      <c r="A145" s="68" t="s">
        <v>25</v>
      </c>
      <c r="B145" s="68" t="s">
        <v>60</v>
      </c>
      <c r="C145" s="72">
        <v>106</v>
      </c>
      <c r="D145" s="73" t="s">
        <v>42</v>
      </c>
      <c r="F145" s="78">
        <v>7</v>
      </c>
      <c r="G145" s="79">
        <f t="shared" si="3"/>
        <v>2.133599931724802</v>
      </c>
      <c r="H145" s="83">
        <v>26.96</v>
      </c>
      <c r="I145">
        <v>1</v>
      </c>
      <c r="L145" s="72" t="s">
        <v>20</v>
      </c>
      <c r="M145" t="s">
        <v>22</v>
      </c>
      <c r="N145" t="s">
        <v>19</v>
      </c>
      <c r="O145" s="64">
        <v>0.2</v>
      </c>
      <c r="P145" s="73">
        <v>0</v>
      </c>
      <c r="Q145" t="s">
        <v>106</v>
      </c>
    </row>
    <row r="146" spans="1:17" x14ac:dyDescent="0.35">
      <c r="A146" s="68" t="s">
        <v>25</v>
      </c>
      <c r="B146" s="68" t="s">
        <v>61</v>
      </c>
      <c r="C146" s="72">
        <v>107</v>
      </c>
      <c r="D146" s="73" t="s">
        <v>42</v>
      </c>
      <c r="F146" s="78">
        <v>10.9</v>
      </c>
      <c r="G146" s="79">
        <f t="shared" si="3"/>
        <v>3.3223198936857634</v>
      </c>
      <c r="H146" s="83">
        <v>38.36</v>
      </c>
      <c r="I146">
        <v>1</v>
      </c>
      <c r="L146" s="72" t="s">
        <v>20</v>
      </c>
      <c r="M146" t="s">
        <v>22</v>
      </c>
      <c r="N146" t="s">
        <v>19</v>
      </c>
      <c r="O146" s="64">
        <v>1.1599999999999999</v>
      </c>
      <c r="P146" s="73">
        <v>0</v>
      </c>
    </row>
    <row r="147" spans="1:17" x14ac:dyDescent="0.35">
      <c r="A147" s="68" t="s">
        <v>25</v>
      </c>
      <c r="B147" s="68" t="s">
        <v>61</v>
      </c>
      <c r="C147" s="72">
        <v>108</v>
      </c>
      <c r="D147" s="73" t="s">
        <v>42</v>
      </c>
      <c r="F147" s="78">
        <v>10</v>
      </c>
      <c r="G147" s="79">
        <f t="shared" si="3"/>
        <v>3.047999902464003</v>
      </c>
      <c r="H147" s="83">
        <v>27.33</v>
      </c>
      <c r="I147">
        <v>1</v>
      </c>
      <c r="K147" s="68">
        <v>35</v>
      </c>
      <c r="L147" s="72" t="s">
        <v>20</v>
      </c>
      <c r="M147" t="s">
        <v>22</v>
      </c>
      <c r="N147" t="s">
        <v>19</v>
      </c>
      <c r="O147" s="64">
        <v>0.73</v>
      </c>
      <c r="P147" s="73">
        <v>0</v>
      </c>
    </row>
    <row r="148" spans="1:17" x14ac:dyDescent="0.35">
      <c r="A148" s="68" t="s">
        <v>25</v>
      </c>
      <c r="B148" s="68" t="s">
        <v>61</v>
      </c>
      <c r="C148" s="72">
        <v>109</v>
      </c>
      <c r="D148" s="73" t="s">
        <v>42</v>
      </c>
      <c r="F148" s="78">
        <v>8.6999999999999993</v>
      </c>
      <c r="G148" s="79">
        <f t="shared" si="3"/>
        <v>2.6517599151436824</v>
      </c>
      <c r="H148" s="83">
        <v>25.97</v>
      </c>
      <c r="I148">
        <v>1</v>
      </c>
      <c r="L148" s="72" t="s">
        <v>19</v>
      </c>
      <c r="N148" t="s">
        <v>19</v>
      </c>
      <c r="Q148" t="s">
        <v>62</v>
      </c>
    </row>
    <row r="149" spans="1:17" x14ac:dyDescent="0.35">
      <c r="A149" s="68" t="s">
        <v>25</v>
      </c>
      <c r="B149" s="68" t="s">
        <v>61</v>
      </c>
      <c r="C149" s="72">
        <v>110</v>
      </c>
      <c r="D149" s="73" t="s">
        <v>42</v>
      </c>
      <c r="F149" s="78">
        <v>13.9</v>
      </c>
      <c r="G149" s="79">
        <f t="shared" si="3"/>
        <v>4.2367198644249644</v>
      </c>
      <c r="H149" s="83">
        <v>67.599999999999994</v>
      </c>
      <c r="I149">
        <v>1</v>
      </c>
      <c r="L149" s="72" t="s">
        <v>20</v>
      </c>
      <c r="M149" t="s">
        <v>22</v>
      </c>
      <c r="N149" t="s">
        <v>19</v>
      </c>
      <c r="O149" s="64">
        <v>1.74</v>
      </c>
      <c r="P149" s="73">
        <v>0</v>
      </c>
    </row>
    <row r="150" spans="1:17" x14ac:dyDescent="0.35">
      <c r="A150" s="68" t="s">
        <v>25</v>
      </c>
      <c r="B150" s="68" t="s">
        <v>61</v>
      </c>
      <c r="C150" s="72">
        <v>111</v>
      </c>
      <c r="D150" s="73" t="s">
        <v>42</v>
      </c>
      <c r="F150" s="78">
        <v>7.4</v>
      </c>
      <c r="G150" s="79">
        <f t="shared" si="3"/>
        <v>2.2555199278233626</v>
      </c>
      <c r="H150" s="83">
        <v>25.44</v>
      </c>
      <c r="I150">
        <v>1</v>
      </c>
      <c r="K150" s="68">
        <v>90</v>
      </c>
      <c r="L150" s="72" t="s">
        <v>20</v>
      </c>
      <c r="M150" t="s">
        <v>22</v>
      </c>
      <c r="N150" t="s">
        <v>19</v>
      </c>
      <c r="O150" s="64">
        <v>0.78</v>
      </c>
      <c r="P150" s="73">
        <v>0</v>
      </c>
    </row>
    <row r="151" spans="1:17" x14ac:dyDescent="0.35">
      <c r="A151" s="68" t="s">
        <v>25</v>
      </c>
      <c r="B151" s="68" t="s">
        <v>61</v>
      </c>
      <c r="C151" s="72">
        <v>112</v>
      </c>
      <c r="D151" s="73" t="s">
        <v>42</v>
      </c>
      <c r="F151" s="78">
        <v>10.199999999999999</v>
      </c>
      <c r="G151" s="79">
        <f t="shared" si="3"/>
        <v>3.1089599005132831</v>
      </c>
      <c r="H151" s="83">
        <v>28.98</v>
      </c>
      <c r="I151">
        <v>1</v>
      </c>
      <c r="L151" s="72" t="s">
        <v>19</v>
      </c>
      <c r="N151" t="s">
        <v>19</v>
      </c>
      <c r="Q151" t="s">
        <v>62</v>
      </c>
    </row>
    <row r="152" spans="1:17" x14ac:dyDescent="0.35">
      <c r="A152" s="68" t="s">
        <v>25</v>
      </c>
      <c r="B152" s="68" t="s">
        <v>61</v>
      </c>
      <c r="C152" s="72">
        <v>113</v>
      </c>
      <c r="D152" s="73" t="s">
        <v>42</v>
      </c>
      <c r="F152" s="78">
        <v>13.6</v>
      </c>
      <c r="G152" s="79">
        <f t="shared" si="3"/>
        <v>4.1452798673510438</v>
      </c>
      <c r="H152" s="83">
        <v>53.26</v>
      </c>
      <c r="I152">
        <v>1</v>
      </c>
      <c r="L152" s="72" t="s">
        <v>19</v>
      </c>
      <c r="N152" t="s">
        <v>19</v>
      </c>
    </row>
    <row r="153" spans="1:17" x14ac:dyDescent="0.35">
      <c r="A153" s="68" t="s">
        <v>25</v>
      </c>
      <c r="B153" s="68" t="s">
        <v>61</v>
      </c>
      <c r="C153" s="72">
        <v>114</v>
      </c>
      <c r="D153" s="73" t="s">
        <v>42</v>
      </c>
      <c r="F153" s="78">
        <v>12.6</v>
      </c>
      <c r="G153" s="79">
        <f t="shared" si="3"/>
        <v>3.8404798771046438</v>
      </c>
      <c r="H153" s="83">
        <v>59.12</v>
      </c>
      <c r="I153">
        <v>1</v>
      </c>
      <c r="L153" s="72" t="s">
        <v>19</v>
      </c>
      <c r="N153" t="s">
        <v>19</v>
      </c>
      <c r="Q153" t="s">
        <v>63</v>
      </c>
    </row>
    <row r="154" spans="1:17" x14ac:dyDescent="0.35">
      <c r="A154" s="68" t="s">
        <v>25</v>
      </c>
      <c r="B154" s="68" t="s">
        <v>61</v>
      </c>
      <c r="C154" s="72">
        <v>115</v>
      </c>
      <c r="D154" s="73" t="s">
        <v>42</v>
      </c>
      <c r="F154" s="78">
        <v>9.9</v>
      </c>
      <c r="G154" s="79">
        <f t="shared" si="3"/>
        <v>3.0175199034393634</v>
      </c>
      <c r="H154" s="83">
        <v>31.82</v>
      </c>
      <c r="I154">
        <v>1</v>
      </c>
      <c r="L154" s="72" t="s">
        <v>19</v>
      </c>
      <c r="N154" t="s">
        <v>19</v>
      </c>
    </row>
    <row r="155" spans="1:17" x14ac:dyDescent="0.35">
      <c r="A155" s="68" t="s">
        <v>25</v>
      </c>
      <c r="B155" s="68" t="s">
        <v>61</v>
      </c>
      <c r="C155" s="72">
        <v>116</v>
      </c>
      <c r="D155" s="73" t="s">
        <v>42</v>
      </c>
      <c r="F155" s="78">
        <v>10.1</v>
      </c>
      <c r="G155" s="79">
        <f t="shared" si="3"/>
        <v>3.078479901488643</v>
      </c>
      <c r="H155" s="83">
        <v>31.44</v>
      </c>
      <c r="I155">
        <v>1</v>
      </c>
      <c r="L155" s="72" t="s">
        <v>19</v>
      </c>
      <c r="N155" t="s">
        <v>19</v>
      </c>
    </row>
    <row r="156" spans="1:17" x14ac:dyDescent="0.35">
      <c r="A156" s="68" t="s">
        <v>25</v>
      </c>
      <c r="B156" s="68" t="s">
        <v>61</v>
      </c>
      <c r="C156" s="72">
        <v>117</v>
      </c>
      <c r="D156" s="73" t="s">
        <v>42</v>
      </c>
      <c r="F156" s="78">
        <v>13.8</v>
      </c>
      <c r="G156" s="79">
        <f t="shared" si="3"/>
        <v>4.2062398654003248</v>
      </c>
      <c r="H156" s="83">
        <v>49.13</v>
      </c>
      <c r="I156">
        <v>1</v>
      </c>
      <c r="L156" s="72" t="s">
        <v>20</v>
      </c>
      <c r="M156" t="s">
        <v>22</v>
      </c>
      <c r="N156" t="s">
        <v>19</v>
      </c>
      <c r="O156" s="64">
        <v>1.4</v>
      </c>
      <c r="P156" s="73">
        <v>0</v>
      </c>
    </row>
    <row r="157" spans="1:17" x14ac:dyDescent="0.35">
      <c r="A157" s="68" t="s">
        <v>25</v>
      </c>
      <c r="B157" s="68" t="s">
        <v>61</v>
      </c>
      <c r="C157" s="72">
        <v>118</v>
      </c>
      <c r="D157" s="73" t="s">
        <v>42</v>
      </c>
      <c r="F157" s="78">
        <v>9.9</v>
      </c>
      <c r="G157" s="79">
        <f t="shared" si="3"/>
        <v>3.0175199034393634</v>
      </c>
      <c r="H157" s="83">
        <v>31.95</v>
      </c>
      <c r="I157">
        <v>1</v>
      </c>
      <c r="L157" s="72" t="s">
        <v>19</v>
      </c>
      <c r="N157" t="s">
        <v>19</v>
      </c>
    </row>
    <row r="158" spans="1:17" x14ac:dyDescent="0.35">
      <c r="A158" s="68" t="s">
        <v>25</v>
      </c>
      <c r="B158" s="68" t="s">
        <v>61</v>
      </c>
      <c r="C158" s="72">
        <v>119</v>
      </c>
      <c r="D158" s="73" t="s">
        <v>42</v>
      </c>
      <c r="F158" s="78">
        <v>13.2</v>
      </c>
      <c r="G158" s="79">
        <f t="shared" si="3"/>
        <v>4.0233598712524836</v>
      </c>
      <c r="H158" s="83">
        <v>49.82</v>
      </c>
      <c r="I158">
        <v>1</v>
      </c>
      <c r="L158" s="72" t="s">
        <v>19</v>
      </c>
      <c r="N158" t="s">
        <v>19</v>
      </c>
    </row>
    <row r="159" spans="1:17" x14ac:dyDescent="0.35">
      <c r="A159" s="68" t="s">
        <v>25</v>
      </c>
      <c r="B159" s="68" t="s">
        <v>61</v>
      </c>
      <c r="C159" s="72">
        <v>120</v>
      </c>
      <c r="D159" s="73" t="s">
        <v>42</v>
      </c>
      <c r="F159" s="78">
        <v>14.9</v>
      </c>
      <c r="G159" s="79">
        <f t="shared" si="3"/>
        <v>4.5415198546713649</v>
      </c>
      <c r="H159" s="83">
        <v>56.59</v>
      </c>
      <c r="I159">
        <v>1</v>
      </c>
      <c r="L159" s="72" t="s">
        <v>19</v>
      </c>
      <c r="N159" t="s">
        <v>19</v>
      </c>
    </row>
    <row r="160" spans="1:17" x14ac:dyDescent="0.35">
      <c r="A160" s="68" t="s">
        <v>25</v>
      </c>
      <c r="B160" s="68" t="s">
        <v>61</v>
      </c>
      <c r="C160" s="72">
        <v>121</v>
      </c>
      <c r="D160" s="73" t="s">
        <v>42</v>
      </c>
      <c r="F160" s="78">
        <v>15.6</v>
      </c>
      <c r="G160" s="79">
        <f t="shared" si="3"/>
        <v>4.7548798478438448</v>
      </c>
      <c r="H160" s="83">
        <v>85.03</v>
      </c>
      <c r="I160">
        <v>1</v>
      </c>
      <c r="L160" s="72" t="s">
        <v>20</v>
      </c>
      <c r="M160" t="s">
        <v>22</v>
      </c>
      <c r="N160" t="s">
        <v>19</v>
      </c>
      <c r="O160" s="64">
        <v>0.2</v>
      </c>
      <c r="P160" s="73">
        <v>0</v>
      </c>
    </row>
    <row r="161" spans="1:17" x14ac:dyDescent="0.35">
      <c r="A161" s="68" t="s">
        <v>25</v>
      </c>
      <c r="B161" s="68" t="s">
        <v>61</v>
      </c>
      <c r="C161" s="72">
        <v>121</v>
      </c>
      <c r="G161" s="79" t="str">
        <f t="shared" si="3"/>
        <v xml:space="preserve"> </v>
      </c>
      <c r="L161" s="72" t="s">
        <v>20</v>
      </c>
      <c r="M161" t="s">
        <v>22</v>
      </c>
      <c r="N161" t="s">
        <v>19</v>
      </c>
      <c r="O161" s="64">
        <v>0.73</v>
      </c>
      <c r="P161" s="73">
        <v>0</v>
      </c>
    </row>
    <row r="162" spans="1:17" x14ac:dyDescent="0.35">
      <c r="A162" s="68" t="s">
        <v>25</v>
      </c>
      <c r="B162" s="68" t="s">
        <v>61</v>
      </c>
      <c r="C162" s="72">
        <v>122</v>
      </c>
      <c r="D162" s="73" t="s">
        <v>42</v>
      </c>
      <c r="F162" s="78">
        <v>10.1</v>
      </c>
      <c r="G162" s="79">
        <f t="shared" si="3"/>
        <v>3.078479901488643</v>
      </c>
      <c r="H162" s="83">
        <v>38.85</v>
      </c>
      <c r="I162">
        <v>1</v>
      </c>
      <c r="L162" s="72" t="s">
        <v>19</v>
      </c>
      <c r="N162" t="s">
        <v>19</v>
      </c>
    </row>
    <row r="163" spans="1:17" x14ac:dyDescent="0.35">
      <c r="A163" s="68" t="s">
        <v>25</v>
      </c>
      <c r="B163" s="68" t="s">
        <v>61</v>
      </c>
      <c r="C163" s="72">
        <v>123</v>
      </c>
      <c r="D163" s="73" t="s">
        <v>42</v>
      </c>
      <c r="F163" s="78">
        <v>6.8</v>
      </c>
      <c r="G163" s="79">
        <f t="shared" si="3"/>
        <v>2.0726399336755219</v>
      </c>
      <c r="H163" s="83">
        <v>23.79</v>
      </c>
      <c r="I163">
        <v>1</v>
      </c>
      <c r="L163" s="72" t="s">
        <v>20</v>
      </c>
      <c r="M163" t="s">
        <v>22</v>
      </c>
      <c r="N163" t="s">
        <v>19</v>
      </c>
      <c r="O163" s="64">
        <v>1.26</v>
      </c>
      <c r="P163" s="73">
        <v>0</v>
      </c>
    </row>
    <row r="164" spans="1:17" x14ac:dyDescent="0.35">
      <c r="A164" s="68" t="s">
        <v>25</v>
      </c>
      <c r="B164" s="68" t="s">
        <v>61</v>
      </c>
      <c r="C164" s="72">
        <v>124</v>
      </c>
      <c r="D164" s="73" t="s">
        <v>42</v>
      </c>
      <c r="F164" s="78">
        <v>0.6</v>
      </c>
      <c r="G164" s="79">
        <f t="shared" si="3"/>
        <v>0.6</v>
      </c>
      <c r="H164" s="83">
        <v>16.05</v>
      </c>
      <c r="I164">
        <v>2</v>
      </c>
      <c r="J164" s="64">
        <v>0.31</v>
      </c>
      <c r="K164" s="68">
        <v>420</v>
      </c>
      <c r="L164" s="72" t="s">
        <v>20</v>
      </c>
      <c r="M164" t="s">
        <v>29</v>
      </c>
      <c r="N164" t="s">
        <v>20</v>
      </c>
      <c r="O164" s="64">
        <v>0</v>
      </c>
      <c r="P164" s="73">
        <v>420</v>
      </c>
      <c r="Q164" t="s">
        <v>64</v>
      </c>
    </row>
    <row r="165" spans="1:17" x14ac:dyDescent="0.35">
      <c r="A165" s="68" t="s">
        <v>25</v>
      </c>
      <c r="B165" s="68" t="s">
        <v>61</v>
      </c>
      <c r="C165" s="72">
        <v>125</v>
      </c>
      <c r="D165" s="73" t="s">
        <v>42</v>
      </c>
      <c r="F165" s="78">
        <v>7.1</v>
      </c>
      <c r="G165" s="79">
        <f t="shared" si="3"/>
        <v>2.164079930749442</v>
      </c>
      <c r="H165" s="83">
        <v>19.55</v>
      </c>
      <c r="I165">
        <v>1</v>
      </c>
      <c r="L165" s="72" t="s">
        <v>20</v>
      </c>
      <c r="M165" t="s">
        <v>21</v>
      </c>
      <c r="N165" t="s">
        <v>19</v>
      </c>
      <c r="O165" s="64">
        <v>0.25</v>
      </c>
      <c r="P165" s="73">
        <v>10</v>
      </c>
    </row>
    <row r="166" spans="1:17" x14ac:dyDescent="0.35">
      <c r="A166" s="68" t="s">
        <v>25</v>
      </c>
      <c r="B166" s="68" t="s">
        <v>61</v>
      </c>
      <c r="C166" s="72">
        <v>126</v>
      </c>
      <c r="D166" s="73" t="s">
        <v>42</v>
      </c>
      <c r="F166" s="78">
        <v>9.9</v>
      </c>
      <c r="G166" s="79">
        <f t="shared" si="3"/>
        <v>3.0175199034393634</v>
      </c>
      <c r="H166" s="83">
        <v>33.450000000000003</v>
      </c>
      <c r="I166">
        <v>1</v>
      </c>
      <c r="L166" s="72" t="s">
        <v>20</v>
      </c>
      <c r="M166" t="s">
        <v>22</v>
      </c>
      <c r="N166" t="s">
        <v>19</v>
      </c>
      <c r="O166" s="64">
        <v>0.5</v>
      </c>
      <c r="P166" s="73">
        <v>0</v>
      </c>
    </row>
    <row r="167" spans="1:17" x14ac:dyDescent="0.35">
      <c r="A167" s="68" t="s">
        <v>25</v>
      </c>
      <c r="B167" s="68" t="s">
        <v>61</v>
      </c>
      <c r="C167" s="72">
        <v>126</v>
      </c>
      <c r="G167" s="79" t="str">
        <f t="shared" si="3"/>
        <v xml:space="preserve"> </v>
      </c>
      <c r="L167" s="72" t="s">
        <v>20</v>
      </c>
      <c r="M167" t="s">
        <v>22</v>
      </c>
      <c r="N167" t="s">
        <v>19</v>
      </c>
      <c r="O167" s="64">
        <v>1.1200000000000001</v>
      </c>
      <c r="P167" s="73">
        <v>0</v>
      </c>
    </row>
    <row r="168" spans="1:17" s="1" customFormat="1" x14ac:dyDescent="0.35">
      <c r="A168" s="69" t="s">
        <v>25</v>
      </c>
      <c r="B168" s="69" t="s">
        <v>61</v>
      </c>
      <c r="C168" s="74">
        <v>126</v>
      </c>
      <c r="D168" s="75"/>
      <c r="F168" s="80"/>
      <c r="G168" s="81" t="str">
        <f t="shared" si="3"/>
        <v xml:space="preserve"> </v>
      </c>
      <c r="H168" s="84"/>
      <c r="J168" s="66"/>
      <c r="K168" s="69"/>
      <c r="L168" s="74" t="s">
        <v>20</v>
      </c>
      <c r="M168" s="1" t="s">
        <v>22</v>
      </c>
      <c r="N168" s="1" t="s">
        <v>19</v>
      </c>
      <c r="O168" s="66">
        <v>1.44</v>
      </c>
      <c r="P168" s="75">
        <v>0</v>
      </c>
    </row>
    <row r="169" spans="1:17" x14ac:dyDescent="0.35">
      <c r="A169" s="68" t="s">
        <v>110</v>
      </c>
      <c r="B169" s="68" t="s">
        <v>26</v>
      </c>
      <c r="C169" s="72">
        <v>1</v>
      </c>
      <c r="D169" s="73" t="s">
        <v>42</v>
      </c>
      <c r="F169" s="78">
        <v>12</v>
      </c>
      <c r="G169" s="79">
        <f t="shared" si="3"/>
        <v>3.6575998829568039</v>
      </c>
      <c r="H169" s="83">
        <v>73.42</v>
      </c>
      <c r="I169">
        <v>1</v>
      </c>
      <c r="L169" s="72" t="s">
        <v>20</v>
      </c>
      <c r="M169" t="s">
        <v>22</v>
      </c>
      <c r="N169" t="s">
        <v>19</v>
      </c>
      <c r="O169" s="64">
        <v>1.25</v>
      </c>
      <c r="P169" s="73">
        <v>0</v>
      </c>
    </row>
    <row r="170" spans="1:17" x14ac:dyDescent="0.35">
      <c r="A170" s="68" t="s">
        <v>110</v>
      </c>
      <c r="B170" s="68" t="s">
        <v>26</v>
      </c>
      <c r="C170" s="72">
        <v>1</v>
      </c>
      <c r="G170" s="79" t="str">
        <f t="shared" si="3"/>
        <v xml:space="preserve"> </v>
      </c>
      <c r="L170" s="72" t="s">
        <v>20</v>
      </c>
      <c r="M170" t="s">
        <v>30</v>
      </c>
      <c r="N170" t="s">
        <v>19</v>
      </c>
      <c r="O170" s="64">
        <v>1.25</v>
      </c>
      <c r="P170" s="73">
        <v>0</v>
      </c>
    </row>
    <row r="171" spans="1:17" x14ac:dyDescent="0.35">
      <c r="A171" s="68" t="s">
        <v>110</v>
      </c>
      <c r="B171" s="68" t="s">
        <v>26</v>
      </c>
      <c r="C171" s="72">
        <v>1</v>
      </c>
      <c r="G171" s="79" t="str">
        <f t="shared" si="3"/>
        <v xml:space="preserve"> </v>
      </c>
      <c r="L171" s="72" t="s">
        <v>20</v>
      </c>
      <c r="M171" t="s">
        <v>21</v>
      </c>
      <c r="N171" t="s">
        <v>19</v>
      </c>
      <c r="O171" s="64">
        <v>1.18</v>
      </c>
      <c r="P171" s="73">
        <v>60</v>
      </c>
    </row>
    <row r="172" spans="1:17" x14ac:dyDescent="0.35">
      <c r="A172" s="68" t="s">
        <v>110</v>
      </c>
      <c r="B172" s="68" t="s">
        <v>26</v>
      </c>
      <c r="C172" s="72">
        <v>2</v>
      </c>
      <c r="D172" s="73" t="s">
        <v>42</v>
      </c>
      <c r="F172" s="78">
        <v>11.9</v>
      </c>
      <c r="G172" s="79">
        <f t="shared" si="3"/>
        <v>3.6271198839321639</v>
      </c>
      <c r="H172" s="83">
        <v>56.93</v>
      </c>
      <c r="I172">
        <v>1</v>
      </c>
      <c r="L172" s="72" t="s">
        <v>20</v>
      </c>
      <c r="M172" t="s">
        <v>30</v>
      </c>
      <c r="N172" t="s">
        <v>19</v>
      </c>
      <c r="O172" s="64">
        <v>1.19</v>
      </c>
      <c r="P172" s="73">
        <v>0</v>
      </c>
    </row>
    <row r="173" spans="1:17" x14ac:dyDescent="0.35">
      <c r="A173" s="68" t="s">
        <v>110</v>
      </c>
      <c r="B173" s="68" t="s">
        <v>26</v>
      </c>
      <c r="C173" s="72">
        <v>3</v>
      </c>
      <c r="D173" s="73" t="s">
        <v>42</v>
      </c>
      <c r="F173" s="78">
        <v>10</v>
      </c>
      <c r="G173" s="79">
        <f t="shared" si="3"/>
        <v>3.047999902464003</v>
      </c>
      <c r="H173" s="83">
        <v>36.61</v>
      </c>
      <c r="I173">
        <v>1</v>
      </c>
      <c r="L173" s="72" t="s">
        <v>20</v>
      </c>
      <c r="M173" t="s">
        <v>30</v>
      </c>
      <c r="N173" t="s">
        <v>19</v>
      </c>
      <c r="O173" s="64">
        <v>0.77</v>
      </c>
      <c r="P173" s="73">
        <v>0</v>
      </c>
    </row>
    <row r="174" spans="1:17" x14ac:dyDescent="0.35">
      <c r="A174" s="68" t="s">
        <v>110</v>
      </c>
      <c r="B174" s="68" t="s">
        <v>26</v>
      </c>
      <c r="C174" s="72">
        <v>3</v>
      </c>
      <c r="G174" s="79" t="str">
        <f t="shared" si="3"/>
        <v xml:space="preserve"> </v>
      </c>
      <c r="L174" s="72" t="s">
        <v>20</v>
      </c>
      <c r="M174" t="s">
        <v>22</v>
      </c>
      <c r="N174" t="s">
        <v>19</v>
      </c>
      <c r="O174" s="64">
        <v>1.48</v>
      </c>
      <c r="P174" s="73">
        <v>0</v>
      </c>
    </row>
    <row r="175" spans="1:17" x14ac:dyDescent="0.35">
      <c r="A175" s="68" t="s">
        <v>110</v>
      </c>
      <c r="B175" s="68" t="s">
        <v>26</v>
      </c>
      <c r="C175" s="72">
        <v>4</v>
      </c>
      <c r="D175" s="73" t="s">
        <v>42</v>
      </c>
      <c r="F175" s="78">
        <v>9</v>
      </c>
      <c r="G175" s="79">
        <f t="shared" si="3"/>
        <v>2.743199912217603</v>
      </c>
      <c r="H175" s="83">
        <v>30.09</v>
      </c>
      <c r="I175">
        <v>1</v>
      </c>
      <c r="L175" s="72" t="s">
        <v>20</v>
      </c>
      <c r="M175" t="s">
        <v>22</v>
      </c>
      <c r="N175" t="s">
        <v>19</v>
      </c>
      <c r="O175" s="64">
        <v>0.51</v>
      </c>
      <c r="P175" s="73">
        <v>0</v>
      </c>
    </row>
    <row r="176" spans="1:17" x14ac:dyDescent="0.35">
      <c r="A176" s="68" t="s">
        <v>110</v>
      </c>
      <c r="B176" s="68" t="s">
        <v>26</v>
      </c>
      <c r="C176" s="72">
        <v>4</v>
      </c>
      <c r="G176" s="79" t="str">
        <f t="shared" si="3"/>
        <v xml:space="preserve"> </v>
      </c>
      <c r="L176" s="72" t="s">
        <v>20</v>
      </c>
      <c r="M176" t="s">
        <v>30</v>
      </c>
      <c r="N176" t="s">
        <v>19</v>
      </c>
      <c r="O176" s="64">
        <v>0.51</v>
      </c>
      <c r="P176" s="73">
        <v>0</v>
      </c>
    </row>
    <row r="177" spans="1:17" x14ac:dyDescent="0.35">
      <c r="A177" s="68" t="s">
        <v>110</v>
      </c>
      <c r="B177" s="68" t="s">
        <v>26</v>
      </c>
      <c r="C177" s="72">
        <v>5</v>
      </c>
      <c r="D177" s="73" t="s">
        <v>42</v>
      </c>
      <c r="F177" s="78">
        <v>10.9</v>
      </c>
      <c r="G177" s="79">
        <f t="shared" si="3"/>
        <v>3.3223198936857634</v>
      </c>
      <c r="H177" s="83">
        <v>49.81</v>
      </c>
      <c r="I177">
        <v>1</v>
      </c>
      <c r="L177" s="72" t="s">
        <v>19</v>
      </c>
      <c r="N177" t="s">
        <v>19</v>
      </c>
    </row>
    <row r="178" spans="1:17" x14ac:dyDescent="0.35">
      <c r="A178" s="68" t="s">
        <v>110</v>
      </c>
      <c r="B178" s="68" t="s">
        <v>26</v>
      </c>
      <c r="C178" s="72">
        <v>6</v>
      </c>
      <c r="D178" s="73" t="s">
        <v>42</v>
      </c>
      <c r="F178" s="78">
        <v>12</v>
      </c>
      <c r="G178" s="79">
        <f t="shared" si="3"/>
        <v>3.6575998829568039</v>
      </c>
      <c r="H178" s="83">
        <v>53.4</v>
      </c>
      <c r="I178">
        <v>1</v>
      </c>
      <c r="K178" s="68">
        <v>30</v>
      </c>
      <c r="L178" s="72" t="s">
        <v>20</v>
      </c>
      <c r="M178" t="s">
        <v>30</v>
      </c>
      <c r="N178" t="s">
        <v>19</v>
      </c>
      <c r="O178" s="64">
        <v>0.6</v>
      </c>
      <c r="P178" s="73">
        <v>0</v>
      </c>
    </row>
    <row r="179" spans="1:17" x14ac:dyDescent="0.35">
      <c r="A179" s="68" t="s">
        <v>110</v>
      </c>
      <c r="B179" s="68" t="s">
        <v>26</v>
      </c>
      <c r="C179" s="72">
        <v>7</v>
      </c>
      <c r="D179" s="73" t="s">
        <v>42</v>
      </c>
      <c r="F179" s="78">
        <v>13.5</v>
      </c>
      <c r="G179" s="79">
        <f t="shared" si="3"/>
        <v>4.1147998683264042</v>
      </c>
      <c r="H179" s="83">
        <v>67.81</v>
      </c>
      <c r="I179">
        <v>1</v>
      </c>
      <c r="L179" s="72" t="s">
        <v>20</v>
      </c>
      <c r="M179" t="s">
        <v>22</v>
      </c>
      <c r="N179" t="s">
        <v>19</v>
      </c>
      <c r="O179" s="64">
        <v>0.68</v>
      </c>
      <c r="P179" s="73">
        <v>0</v>
      </c>
    </row>
    <row r="180" spans="1:17" x14ac:dyDescent="0.35">
      <c r="A180" s="68" t="s">
        <v>110</v>
      </c>
      <c r="B180" s="68" t="s">
        <v>26</v>
      </c>
      <c r="C180" s="72">
        <v>7</v>
      </c>
      <c r="G180" s="79" t="str">
        <f t="shared" si="3"/>
        <v xml:space="preserve"> </v>
      </c>
      <c r="L180" s="72" t="s">
        <v>20</v>
      </c>
      <c r="M180" t="s">
        <v>30</v>
      </c>
      <c r="N180" t="s">
        <v>19</v>
      </c>
      <c r="O180" s="64">
        <v>0.72</v>
      </c>
      <c r="P180" s="73">
        <v>0</v>
      </c>
    </row>
    <row r="181" spans="1:17" x14ac:dyDescent="0.35">
      <c r="A181" s="68" t="s">
        <v>110</v>
      </c>
      <c r="B181" s="68" t="s">
        <v>26</v>
      </c>
      <c r="C181" s="72">
        <v>8</v>
      </c>
      <c r="D181" s="73" t="s">
        <v>42</v>
      </c>
      <c r="F181" s="78">
        <v>13.9</v>
      </c>
      <c r="G181" s="79">
        <f t="shared" si="3"/>
        <v>4.2367198644249644</v>
      </c>
      <c r="H181" s="83">
        <v>56.12</v>
      </c>
      <c r="I181">
        <v>1</v>
      </c>
      <c r="L181" s="72" t="s">
        <v>20</v>
      </c>
      <c r="M181" t="s">
        <v>21</v>
      </c>
      <c r="N181" t="s">
        <v>19</v>
      </c>
      <c r="O181" s="64">
        <v>0.5</v>
      </c>
      <c r="P181" s="73">
        <v>30</v>
      </c>
    </row>
    <row r="182" spans="1:17" x14ac:dyDescent="0.35">
      <c r="A182" s="68" t="s">
        <v>110</v>
      </c>
      <c r="B182" s="68" t="s">
        <v>26</v>
      </c>
      <c r="C182" s="72">
        <v>9</v>
      </c>
      <c r="D182" s="73" t="s">
        <v>42</v>
      </c>
      <c r="F182" s="78">
        <v>11.7</v>
      </c>
      <c r="G182" s="79">
        <f t="shared" si="3"/>
        <v>3.5661598858828834</v>
      </c>
      <c r="H182" s="83">
        <v>43.53</v>
      </c>
      <c r="I182">
        <v>1</v>
      </c>
      <c r="L182" s="72" t="s">
        <v>20</v>
      </c>
      <c r="M182" t="s">
        <v>21</v>
      </c>
      <c r="N182" t="s">
        <v>19</v>
      </c>
      <c r="O182" s="64">
        <v>0.91</v>
      </c>
      <c r="P182" s="73">
        <v>26</v>
      </c>
      <c r="Q182" t="s">
        <v>112</v>
      </c>
    </row>
    <row r="183" spans="1:17" x14ac:dyDescent="0.35">
      <c r="A183" s="68" t="s">
        <v>110</v>
      </c>
      <c r="B183" s="68" t="s">
        <v>26</v>
      </c>
      <c r="C183" s="72">
        <v>9</v>
      </c>
      <c r="G183" s="79" t="str">
        <f t="shared" si="3"/>
        <v xml:space="preserve"> </v>
      </c>
      <c r="L183" s="72" t="s">
        <v>20</v>
      </c>
      <c r="M183" t="s">
        <v>21</v>
      </c>
      <c r="N183" t="s">
        <v>19</v>
      </c>
      <c r="O183" s="64">
        <v>1.1299999999999999</v>
      </c>
      <c r="P183" s="73">
        <v>92</v>
      </c>
    </row>
    <row r="184" spans="1:17" x14ac:dyDescent="0.35">
      <c r="A184" s="68" t="s">
        <v>110</v>
      </c>
      <c r="B184" s="68" t="s">
        <v>26</v>
      </c>
      <c r="C184" s="72">
        <v>10</v>
      </c>
      <c r="D184" s="73" t="s">
        <v>42</v>
      </c>
      <c r="F184" s="78">
        <v>12</v>
      </c>
      <c r="G184" s="79">
        <f t="shared" si="3"/>
        <v>3.6575998829568039</v>
      </c>
      <c r="H184" s="83">
        <v>44.45</v>
      </c>
      <c r="I184">
        <v>1</v>
      </c>
      <c r="L184" s="72" t="s">
        <v>20</v>
      </c>
      <c r="M184" t="s">
        <v>21</v>
      </c>
      <c r="N184" t="s">
        <v>19</v>
      </c>
      <c r="O184" s="64">
        <v>1.1299999999999999</v>
      </c>
      <c r="P184" s="73">
        <v>80</v>
      </c>
    </row>
    <row r="185" spans="1:17" x14ac:dyDescent="0.35">
      <c r="A185" s="68" t="s">
        <v>110</v>
      </c>
      <c r="B185" s="68" t="s">
        <v>26</v>
      </c>
      <c r="C185" s="72">
        <v>10</v>
      </c>
      <c r="G185" s="79" t="str">
        <f t="shared" si="3"/>
        <v xml:space="preserve"> </v>
      </c>
      <c r="L185" s="72" t="s">
        <v>20</v>
      </c>
      <c r="M185" t="s">
        <v>30</v>
      </c>
      <c r="N185" t="s">
        <v>19</v>
      </c>
      <c r="O185" s="64">
        <v>1.1299999999999999</v>
      </c>
      <c r="P185" s="73">
        <v>0</v>
      </c>
    </row>
    <row r="186" spans="1:17" x14ac:dyDescent="0.35">
      <c r="A186" s="68" t="s">
        <v>110</v>
      </c>
      <c r="B186" s="68" t="s">
        <v>26</v>
      </c>
      <c r="C186" s="72">
        <v>11</v>
      </c>
      <c r="D186" s="73" t="s">
        <v>42</v>
      </c>
      <c r="F186" s="78">
        <v>12.1</v>
      </c>
      <c r="G186" s="79">
        <f t="shared" si="3"/>
        <v>3.6880798819814435</v>
      </c>
      <c r="H186" s="83">
        <v>37.4</v>
      </c>
      <c r="I186">
        <v>1</v>
      </c>
      <c r="K186" s="68">
        <v>10</v>
      </c>
      <c r="L186" s="72" t="s">
        <v>19</v>
      </c>
      <c r="N186" t="s">
        <v>19</v>
      </c>
    </row>
    <row r="187" spans="1:17" x14ac:dyDescent="0.35">
      <c r="A187" s="68" t="s">
        <v>110</v>
      </c>
      <c r="B187" s="68" t="s">
        <v>26</v>
      </c>
      <c r="C187" s="72">
        <v>12</v>
      </c>
      <c r="D187" s="73" t="s">
        <v>42</v>
      </c>
      <c r="F187" s="78">
        <v>14.1</v>
      </c>
      <c r="G187" s="79">
        <f t="shared" si="3"/>
        <v>4.2976798624742445</v>
      </c>
      <c r="H187" s="83">
        <v>50.52</v>
      </c>
      <c r="I187">
        <v>1</v>
      </c>
      <c r="L187" s="72" t="s">
        <v>20</v>
      </c>
      <c r="M187" t="s">
        <v>22</v>
      </c>
      <c r="N187" t="s">
        <v>19</v>
      </c>
      <c r="O187" s="64">
        <v>0.92</v>
      </c>
      <c r="P187" s="73">
        <v>0</v>
      </c>
    </row>
    <row r="188" spans="1:17" x14ac:dyDescent="0.35">
      <c r="A188" s="68" t="s">
        <v>110</v>
      </c>
      <c r="B188" s="68" t="s">
        <v>26</v>
      </c>
      <c r="C188" s="72">
        <v>12</v>
      </c>
      <c r="G188" s="79" t="str">
        <f t="shared" si="3"/>
        <v xml:space="preserve"> </v>
      </c>
      <c r="L188" s="72" t="s">
        <v>20</v>
      </c>
      <c r="M188" t="s">
        <v>30</v>
      </c>
      <c r="N188" t="s">
        <v>19</v>
      </c>
      <c r="O188" s="64">
        <v>0.92</v>
      </c>
      <c r="P188" s="73">
        <v>0</v>
      </c>
    </row>
    <row r="189" spans="1:17" x14ac:dyDescent="0.35">
      <c r="A189" s="68" t="s">
        <v>110</v>
      </c>
      <c r="B189" s="68" t="s">
        <v>26</v>
      </c>
      <c r="C189" s="72">
        <v>13</v>
      </c>
      <c r="D189" s="73" t="s">
        <v>42</v>
      </c>
      <c r="F189" s="78">
        <v>10.8</v>
      </c>
      <c r="G189" s="79">
        <f t="shared" si="3"/>
        <v>3.2918398946611238</v>
      </c>
      <c r="H189" s="83">
        <v>37.520000000000003</v>
      </c>
      <c r="I189">
        <v>2</v>
      </c>
      <c r="J189" s="64">
        <v>0.35</v>
      </c>
      <c r="K189" s="68">
        <v>40</v>
      </c>
      <c r="L189" s="72" t="s">
        <v>19</v>
      </c>
      <c r="N189" t="s">
        <v>19</v>
      </c>
    </row>
    <row r="190" spans="1:17" x14ac:dyDescent="0.35">
      <c r="A190" s="68" t="s">
        <v>110</v>
      </c>
      <c r="B190" s="68" t="s">
        <v>26</v>
      </c>
      <c r="C190" s="72">
        <v>14</v>
      </c>
      <c r="D190" s="73" t="s">
        <v>42</v>
      </c>
      <c r="F190" s="78">
        <v>10.5</v>
      </c>
      <c r="G190" s="79">
        <f t="shared" si="3"/>
        <v>3.2003998975872032</v>
      </c>
      <c r="H190" s="83">
        <v>42.33</v>
      </c>
      <c r="I190">
        <v>1</v>
      </c>
      <c r="L190" s="72" t="s">
        <v>20</v>
      </c>
      <c r="M190" t="s">
        <v>22</v>
      </c>
      <c r="N190" t="s">
        <v>19</v>
      </c>
      <c r="O190" s="64">
        <v>0.52</v>
      </c>
      <c r="P190" s="73">
        <v>0</v>
      </c>
    </row>
    <row r="191" spans="1:17" x14ac:dyDescent="0.35">
      <c r="A191" s="68" t="s">
        <v>110</v>
      </c>
      <c r="B191" s="68" t="s">
        <v>26</v>
      </c>
      <c r="C191" s="72">
        <v>15</v>
      </c>
      <c r="D191" s="73" t="s">
        <v>42</v>
      </c>
      <c r="F191" s="78">
        <v>9.6999999999999993</v>
      </c>
      <c r="G191" s="79">
        <f t="shared" si="3"/>
        <v>2.9565599053900828</v>
      </c>
      <c r="H191" s="83">
        <v>27.86</v>
      </c>
      <c r="I191">
        <v>1</v>
      </c>
      <c r="L191" s="72" t="s">
        <v>19</v>
      </c>
      <c r="N191" t="s">
        <v>19</v>
      </c>
    </row>
    <row r="192" spans="1:17" x14ac:dyDescent="0.35">
      <c r="A192" s="68" t="s">
        <v>110</v>
      </c>
      <c r="B192" s="68" t="s">
        <v>26</v>
      </c>
      <c r="C192" s="72">
        <v>16</v>
      </c>
      <c r="D192" s="73" t="s">
        <v>42</v>
      </c>
      <c r="F192" s="78">
        <v>1.48</v>
      </c>
      <c r="G192" s="79">
        <f t="shared" si="3"/>
        <v>1.48</v>
      </c>
      <c r="H192" s="83">
        <v>18.98</v>
      </c>
      <c r="I192">
        <v>2</v>
      </c>
      <c r="J192" s="64">
        <v>0.74</v>
      </c>
      <c r="L192" s="72" t="s">
        <v>20</v>
      </c>
      <c r="M192" t="s">
        <v>21</v>
      </c>
      <c r="N192" t="s">
        <v>20</v>
      </c>
      <c r="O192" s="64">
        <v>0.27</v>
      </c>
      <c r="P192" s="73">
        <v>50</v>
      </c>
      <c r="Q192" t="s">
        <v>113</v>
      </c>
    </row>
    <row r="193" spans="1:17" x14ac:dyDescent="0.35">
      <c r="A193" s="68" t="s">
        <v>110</v>
      </c>
      <c r="B193" s="68" t="s">
        <v>26</v>
      </c>
      <c r="C193" s="72">
        <v>16</v>
      </c>
      <c r="G193" s="79" t="str">
        <f t="shared" si="3"/>
        <v xml:space="preserve"> </v>
      </c>
      <c r="L193" s="72" t="s">
        <v>20</v>
      </c>
      <c r="M193" t="s">
        <v>21</v>
      </c>
      <c r="N193" t="s">
        <v>20</v>
      </c>
      <c r="O193" s="64">
        <v>0.5</v>
      </c>
      <c r="P193" s="73">
        <v>45</v>
      </c>
    </row>
    <row r="194" spans="1:17" x14ac:dyDescent="0.35">
      <c r="A194" s="68" t="s">
        <v>110</v>
      </c>
      <c r="B194" s="68" t="s">
        <v>26</v>
      </c>
      <c r="C194" s="72">
        <v>17</v>
      </c>
      <c r="D194" s="73" t="s">
        <v>42</v>
      </c>
      <c r="F194" s="78">
        <v>9.1999999999999993</v>
      </c>
      <c r="G194" s="79">
        <f t="shared" si="3"/>
        <v>2.8041599102668826</v>
      </c>
      <c r="H194" s="83">
        <v>40.03</v>
      </c>
      <c r="I194">
        <v>1</v>
      </c>
      <c r="L194" s="72" t="s">
        <v>20</v>
      </c>
      <c r="M194" t="s">
        <v>30</v>
      </c>
      <c r="N194" t="s">
        <v>19</v>
      </c>
      <c r="O194" s="64">
        <v>1</v>
      </c>
      <c r="P194" s="73">
        <v>0</v>
      </c>
      <c r="Q194" t="s">
        <v>114</v>
      </c>
    </row>
    <row r="195" spans="1:17" x14ac:dyDescent="0.35">
      <c r="A195" s="68" t="s">
        <v>110</v>
      </c>
      <c r="B195" s="68" t="s">
        <v>26</v>
      </c>
      <c r="C195" s="72">
        <v>18</v>
      </c>
      <c r="D195" s="73" t="s">
        <v>42</v>
      </c>
      <c r="F195" s="78">
        <v>10.4</v>
      </c>
      <c r="G195" s="79">
        <f t="shared" si="3"/>
        <v>3.1699198985625632</v>
      </c>
      <c r="H195" s="83">
        <v>54.2</v>
      </c>
      <c r="I195">
        <v>1</v>
      </c>
      <c r="L195" s="72" t="s">
        <v>20</v>
      </c>
      <c r="M195" t="s">
        <v>22</v>
      </c>
      <c r="N195" t="s">
        <v>19</v>
      </c>
      <c r="O195" s="64">
        <v>0.52</v>
      </c>
      <c r="P195" s="73">
        <v>0</v>
      </c>
    </row>
    <row r="196" spans="1:17" x14ac:dyDescent="0.35">
      <c r="A196" s="68" t="s">
        <v>110</v>
      </c>
      <c r="B196" s="68" t="s">
        <v>61</v>
      </c>
      <c r="C196" s="72">
        <v>19</v>
      </c>
      <c r="D196" s="73" t="s">
        <v>42</v>
      </c>
      <c r="F196" s="78">
        <v>12.3</v>
      </c>
      <c r="G196" s="79">
        <f t="shared" si="3"/>
        <v>3.7490398800307241</v>
      </c>
      <c r="H196" s="83">
        <v>52.19</v>
      </c>
      <c r="I196">
        <v>1</v>
      </c>
      <c r="L196" s="72" t="s">
        <v>20</v>
      </c>
      <c r="M196" t="s">
        <v>22</v>
      </c>
      <c r="N196" t="s">
        <v>19</v>
      </c>
      <c r="O196" s="64">
        <v>2.23</v>
      </c>
      <c r="P196" s="73">
        <v>0</v>
      </c>
      <c r="Q196" t="s">
        <v>62</v>
      </c>
    </row>
    <row r="197" spans="1:17" x14ac:dyDescent="0.35">
      <c r="A197" s="68" t="s">
        <v>110</v>
      </c>
      <c r="B197" s="68" t="s">
        <v>61</v>
      </c>
      <c r="C197" s="72">
        <v>20</v>
      </c>
      <c r="D197" s="73" t="s">
        <v>42</v>
      </c>
      <c r="F197" s="78">
        <v>12.1</v>
      </c>
      <c r="G197" s="79">
        <f t="shared" si="3"/>
        <v>3.6880798819814435</v>
      </c>
      <c r="H197" s="83">
        <v>48.95</v>
      </c>
      <c r="I197">
        <v>1</v>
      </c>
      <c r="L197" s="72" t="s">
        <v>19</v>
      </c>
      <c r="N197" t="s">
        <v>19</v>
      </c>
      <c r="Q197" t="s">
        <v>62</v>
      </c>
    </row>
    <row r="198" spans="1:17" x14ac:dyDescent="0.35">
      <c r="A198" s="68" t="s">
        <v>110</v>
      </c>
      <c r="B198" s="68" t="s">
        <v>61</v>
      </c>
      <c r="C198" s="72">
        <v>21</v>
      </c>
      <c r="D198" s="73" t="s">
        <v>42</v>
      </c>
      <c r="F198" s="78">
        <v>11</v>
      </c>
      <c r="G198" s="79">
        <f t="shared" ref="G198:G261" si="4">IF(F198 = 0, " ", IF(F198&lt;2, F198/1, F198/3.28084))</f>
        <v>3.3527998927104035</v>
      </c>
      <c r="H198" s="83">
        <v>43.47</v>
      </c>
      <c r="I198">
        <v>1</v>
      </c>
      <c r="L198" s="72" t="s">
        <v>19</v>
      </c>
      <c r="N198" t="s">
        <v>19</v>
      </c>
    </row>
    <row r="199" spans="1:17" x14ac:dyDescent="0.35">
      <c r="A199" s="68" t="s">
        <v>110</v>
      </c>
      <c r="B199" s="68" t="s">
        <v>61</v>
      </c>
      <c r="C199" s="72">
        <v>22</v>
      </c>
      <c r="D199" s="73" t="s">
        <v>42</v>
      </c>
      <c r="F199" s="78">
        <v>13.1</v>
      </c>
      <c r="G199" s="79">
        <f t="shared" si="4"/>
        <v>3.992879872227844</v>
      </c>
      <c r="H199" s="83">
        <v>57.88</v>
      </c>
      <c r="I199">
        <v>1</v>
      </c>
      <c r="K199" s="68">
        <v>407</v>
      </c>
      <c r="L199" s="72" t="s">
        <v>20</v>
      </c>
      <c r="M199" t="s">
        <v>66</v>
      </c>
      <c r="N199" t="s">
        <v>19</v>
      </c>
      <c r="O199" s="64">
        <v>0</v>
      </c>
      <c r="P199" s="73">
        <v>407</v>
      </c>
    </row>
    <row r="200" spans="1:17" x14ac:dyDescent="0.35">
      <c r="A200" s="68" t="s">
        <v>110</v>
      </c>
      <c r="B200" s="68" t="s">
        <v>61</v>
      </c>
      <c r="C200" s="72">
        <v>23</v>
      </c>
      <c r="D200" s="73" t="s">
        <v>42</v>
      </c>
      <c r="F200" s="78">
        <v>10.7</v>
      </c>
      <c r="G200" s="79">
        <f t="shared" si="4"/>
        <v>3.2613598956364833</v>
      </c>
      <c r="H200" s="83">
        <v>41.98</v>
      </c>
      <c r="I200">
        <v>1</v>
      </c>
      <c r="L200" s="72" t="s">
        <v>19</v>
      </c>
      <c r="N200" t="s">
        <v>19</v>
      </c>
    </row>
    <row r="201" spans="1:17" x14ac:dyDescent="0.35">
      <c r="A201" s="68" t="s">
        <v>110</v>
      </c>
      <c r="B201" s="68" t="s">
        <v>61</v>
      </c>
      <c r="C201" s="72">
        <v>24</v>
      </c>
      <c r="D201" s="73" t="s">
        <v>42</v>
      </c>
      <c r="F201" s="78">
        <v>12.5</v>
      </c>
      <c r="G201" s="79">
        <f t="shared" si="4"/>
        <v>3.8099998780800037</v>
      </c>
      <c r="H201" s="83">
        <v>52.37</v>
      </c>
      <c r="I201">
        <v>1</v>
      </c>
      <c r="L201" s="72" t="s">
        <v>19</v>
      </c>
      <c r="N201" t="s">
        <v>19</v>
      </c>
    </row>
    <row r="202" spans="1:17" x14ac:dyDescent="0.35">
      <c r="A202" s="68" t="s">
        <v>110</v>
      </c>
      <c r="B202" s="68" t="s">
        <v>61</v>
      </c>
      <c r="C202" s="72">
        <v>25</v>
      </c>
      <c r="D202" s="73" t="s">
        <v>42</v>
      </c>
      <c r="F202" s="78">
        <v>13.7</v>
      </c>
      <c r="G202" s="79">
        <f t="shared" si="4"/>
        <v>4.1757598663756843</v>
      </c>
      <c r="H202" s="83">
        <v>57.51</v>
      </c>
      <c r="I202">
        <v>1</v>
      </c>
      <c r="L202" s="72" t="s">
        <v>20</v>
      </c>
      <c r="M202" t="s">
        <v>22</v>
      </c>
      <c r="N202" t="s">
        <v>19</v>
      </c>
      <c r="O202" s="64">
        <v>2.4700000000000002</v>
      </c>
      <c r="P202" s="73">
        <v>0</v>
      </c>
    </row>
    <row r="203" spans="1:17" x14ac:dyDescent="0.35">
      <c r="A203" s="68" t="s">
        <v>110</v>
      </c>
      <c r="B203" s="68" t="s">
        <v>61</v>
      </c>
      <c r="C203" s="72">
        <v>26</v>
      </c>
      <c r="D203" s="73" t="s">
        <v>42</v>
      </c>
      <c r="F203" s="78">
        <v>7.7</v>
      </c>
      <c r="G203" s="79">
        <f t="shared" si="4"/>
        <v>2.3469599248972823</v>
      </c>
      <c r="H203" s="83">
        <v>23.74</v>
      </c>
      <c r="I203">
        <v>1</v>
      </c>
      <c r="L203" s="72" t="s">
        <v>19</v>
      </c>
      <c r="N203" t="s">
        <v>19</v>
      </c>
    </row>
    <row r="204" spans="1:17" x14ac:dyDescent="0.35">
      <c r="A204" s="68" t="s">
        <v>110</v>
      </c>
      <c r="B204" s="68" t="s">
        <v>61</v>
      </c>
      <c r="C204" s="72">
        <v>27</v>
      </c>
      <c r="D204" s="73" t="s">
        <v>42</v>
      </c>
      <c r="F204" s="78">
        <v>12.4</v>
      </c>
      <c r="G204" s="79">
        <f t="shared" si="4"/>
        <v>3.7795198790553641</v>
      </c>
      <c r="H204" s="83">
        <v>50.45</v>
      </c>
      <c r="I204">
        <v>1</v>
      </c>
      <c r="L204" s="72" t="s">
        <v>20</v>
      </c>
      <c r="M204" t="s">
        <v>22</v>
      </c>
      <c r="N204" t="s">
        <v>19</v>
      </c>
      <c r="O204" s="64">
        <v>0.48</v>
      </c>
      <c r="P204" s="73">
        <v>0</v>
      </c>
    </row>
    <row r="205" spans="1:17" x14ac:dyDescent="0.35">
      <c r="A205" s="68" t="s">
        <v>110</v>
      </c>
      <c r="B205" s="68" t="s">
        <v>61</v>
      </c>
      <c r="C205" s="72">
        <v>27</v>
      </c>
      <c r="G205" s="79" t="str">
        <f t="shared" si="4"/>
        <v xml:space="preserve"> </v>
      </c>
      <c r="L205" s="72" t="s">
        <v>20</v>
      </c>
      <c r="M205" t="s">
        <v>22</v>
      </c>
      <c r="N205" t="s">
        <v>19</v>
      </c>
      <c r="O205" s="64">
        <v>1.25</v>
      </c>
      <c r="P205" s="73">
        <v>0</v>
      </c>
    </row>
    <row r="206" spans="1:17" x14ac:dyDescent="0.35">
      <c r="A206" s="68" t="s">
        <v>110</v>
      </c>
      <c r="B206" s="68" t="s">
        <v>61</v>
      </c>
      <c r="C206" s="72">
        <v>28</v>
      </c>
      <c r="D206" s="73" t="s">
        <v>42</v>
      </c>
      <c r="F206" s="78">
        <v>11.8</v>
      </c>
      <c r="G206" s="79">
        <f t="shared" si="4"/>
        <v>3.5966398849075238</v>
      </c>
      <c r="H206" s="83">
        <v>39.619999999999997</v>
      </c>
      <c r="I206">
        <v>1</v>
      </c>
      <c r="L206" s="72" t="s">
        <v>20</v>
      </c>
      <c r="M206" t="s">
        <v>22</v>
      </c>
      <c r="N206" t="s">
        <v>19</v>
      </c>
      <c r="O206" s="64">
        <v>1.05</v>
      </c>
      <c r="P206" s="73">
        <v>0</v>
      </c>
    </row>
    <row r="207" spans="1:17" x14ac:dyDescent="0.35">
      <c r="A207" s="68" t="s">
        <v>110</v>
      </c>
      <c r="B207" s="68" t="s">
        <v>61</v>
      </c>
      <c r="C207" s="72">
        <v>29</v>
      </c>
      <c r="D207" s="73" t="s">
        <v>42</v>
      </c>
      <c r="F207" s="78">
        <v>11</v>
      </c>
      <c r="G207" s="79">
        <f t="shared" si="4"/>
        <v>3.3527998927104035</v>
      </c>
      <c r="H207" s="83">
        <v>33.25</v>
      </c>
      <c r="I207">
        <v>1</v>
      </c>
      <c r="L207" s="72" t="s">
        <v>19</v>
      </c>
      <c r="N207" t="s">
        <v>19</v>
      </c>
    </row>
    <row r="208" spans="1:17" x14ac:dyDescent="0.35">
      <c r="A208" s="68" t="s">
        <v>110</v>
      </c>
      <c r="B208" s="68" t="s">
        <v>61</v>
      </c>
      <c r="C208" s="72">
        <v>30</v>
      </c>
      <c r="D208" s="73" t="s">
        <v>42</v>
      </c>
      <c r="F208" s="78">
        <v>10.7</v>
      </c>
      <c r="G208" s="79">
        <f t="shared" si="4"/>
        <v>3.2613598956364833</v>
      </c>
      <c r="H208" s="83">
        <v>36.15</v>
      </c>
      <c r="I208">
        <v>1</v>
      </c>
      <c r="K208" s="68">
        <v>78</v>
      </c>
      <c r="L208" s="72" t="s">
        <v>19</v>
      </c>
      <c r="N208" t="s">
        <v>19</v>
      </c>
    </row>
    <row r="209" spans="1:16" x14ac:dyDescent="0.35">
      <c r="A209" s="68" t="s">
        <v>110</v>
      </c>
      <c r="B209" s="68" t="s">
        <v>61</v>
      </c>
      <c r="C209" s="72">
        <v>31</v>
      </c>
      <c r="D209" s="73" t="s">
        <v>42</v>
      </c>
      <c r="F209" s="78">
        <v>8.4</v>
      </c>
      <c r="G209" s="79">
        <f t="shared" si="4"/>
        <v>2.5603199180697627</v>
      </c>
      <c r="H209" s="83">
        <v>23.48</v>
      </c>
      <c r="I209">
        <v>1</v>
      </c>
      <c r="L209" s="72" t="s">
        <v>19</v>
      </c>
      <c r="N209" t="s">
        <v>19</v>
      </c>
    </row>
    <row r="210" spans="1:16" x14ac:dyDescent="0.35">
      <c r="A210" s="68" t="s">
        <v>110</v>
      </c>
      <c r="B210" s="68" t="s">
        <v>61</v>
      </c>
      <c r="C210" s="72">
        <v>32</v>
      </c>
      <c r="D210" s="73" t="s">
        <v>42</v>
      </c>
      <c r="F210" s="78">
        <v>12.3</v>
      </c>
      <c r="G210" s="79">
        <f t="shared" si="4"/>
        <v>3.7490398800307241</v>
      </c>
      <c r="H210" s="83">
        <v>52.73</v>
      </c>
      <c r="I210">
        <v>1</v>
      </c>
      <c r="L210" s="72" t="s">
        <v>20</v>
      </c>
      <c r="M210" t="s">
        <v>22</v>
      </c>
      <c r="N210" t="s">
        <v>19</v>
      </c>
      <c r="O210" s="64">
        <v>0.37</v>
      </c>
      <c r="P210" s="73">
        <v>0</v>
      </c>
    </row>
    <row r="211" spans="1:16" x14ac:dyDescent="0.35">
      <c r="A211" s="68" t="s">
        <v>110</v>
      </c>
      <c r="B211" s="68" t="s">
        <v>61</v>
      </c>
      <c r="C211" s="72">
        <v>33</v>
      </c>
      <c r="D211" s="73" t="s">
        <v>42</v>
      </c>
      <c r="F211" s="78">
        <v>11.4</v>
      </c>
      <c r="G211" s="79">
        <f t="shared" si="4"/>
        <v>3.4747198888089637</v>
      </c>
      <c r="H211" s="83">
        <v>49.25</v>
      </c>
      <c r="I211">
        <v>1</v>
      </c>
      <c r="K211" s="68">
        <v>155</v>
      </c>
      <c r="L211" s="72" t="s">
        <v>19</v>
      </c>
      <c r="N211" t="s">
        <v>19</v>
      </c>
    </row>
    <row r="212" spans="1:16" x14ac:dyDescent="0.35">
      <c r="A212" s="68" t="s">
        <v>110</v>
      </c>
      <c r="B212" s="68" t="s">
        <v>44</v>
      </c>
      <c r="C212" s="72">
        <v>34</v>
      </c>
      <c r="D212" s="73" t="s">
        <v>42</v>
      </c>
      <c r="F212" s="78">
        <v>5.8</v>
      </c>
      <c r="G212" s="79">
        <f t="shared" si="4"/>
        <v>1.7678399434291219</v>
      </c>
      <c r="H212" s="83">
        <v>12.51</v>
      </c>
      <c r="I212">
        <v>2</v>
      </c>
      <c r="J212" s="64">
        <v>0.23</v>
      </c>
      <c r="L212" s="72" t="s">
        <v>19</v>
      </c>
      <c r="N212" t="s">
        <v>19</v>
      </c>
    </row>
    <row r="213" spans="1:16" x14ac:dyDescent="0.35">
      <c r="A213" s="68" t="s">
        <v>110</v>
      </c>
      <c r="B213" s="68" t="s">
        <v>44</v>
      </c>
      <c r="C213" s="72">
        <v>35</v>
      </c>
      <c r="D213" s="73" t="s">
        <v>42</v>
      </c>
      <c r="F213" s="78">
        <v>11.2</v>
      </c>
      <c r="G213" s="79">
        <f t="shared" si="4"/>
        <v>3.4137598907596831</v>
      </c>
      <c r="H213" s="83">
        <v>4.5</v>
      </c>
      <c r="I213">
        <v>1</v>
      </c>
      <c r="L213" s="72" t="s">
        <v>19</v>
      </c>
      <c r="N213" t="s">
        <v>19</v>
      </c>
    </row>
    <row r="214" spans="1:16" x14ac:dyDescent="0.35">
      <c r="A214" s="68" t="s">
        <v>110</v>
      </c>
      <c r="B214" s="68" t="s">
        <v>44</v>
      </c>
      <c r="C214" s="72">
        <v>36</v>
      </c>
      <c r="D214" s="73" t="s">
        <v>42</v>
      </c>
      <c r="F214" s="78">
        <v>9.1999999999999993</v>
      </c>
      <c r="G214" s="79">
        <f t="shared" si="4"/>
        <v>2.8041599102668826</v>
      </c>
      <c r="H214" s="83">
        <v>31.77</v>
      </c>
      <c r="I214">
        <v>1</v>
      </c>
      <c r="L214" s="72" t="s">
        <v>20</v>
      </c>
      <c r="M214" t="s">
        <v>22</v>
      </c>
      <c r="N214" t="s">
        <v>19</v>
      </c>
      <c r="O214" s="64">
        <v>0.35</v>
      </c>
      <c r="P214" s="73">
        <v>30</v>
      </c>
    </row>
    <row r="215" spans="1:16" x14ac:dyDescent="0.35">
      <c r="A215" s="68" t="s">
        <v>110</v>
      </c>
      <c r="B215" s="68" t="s">
        <v>44</v>
      </c>
      <c r="C215" s="72">
        <v>36</v>
      </c>
      <c r="G215" s="79" t="str">
        <f t="shared" si="4"/>
        <v xml:space="preserve"> </v>
      </c>
      <c r="L215" s="72" t="s">
        <v>20</v>
      </c>
      <c r="M215" t="s">
        <v>22</v>
      </c>
      <c r="N215" t="s">
        <v>19</v>
      </c>
      <c r="O215" s="64">
        <v>0.33</v>
      </c>
      <c r="P215" s="73">
        <v>0</v>
      </c>
    </row>
    <row r="216" spans="1:16" x14ac:dyDescent="0.35">
      <c r="A216" s="68" t="s">
        <v>110</v>
      </c>
      <c r="B216" s="68" t="s">
        <v>44</v>
      </c>
      <c r="C216" s="72">
        <v>37</v>
      </c>
      <c r="D216" s="73" t="s">
        <v>42</v>
      </c>
      <c r="F216" s="78">
        <v>11.9</v>
      </c>
      <c r="G216" s="79">
        <f t="shared" si="4"/>
        <v>3.6271198839321639</v>
      </c>
      <c r="H216" s="83">
        <v>74.180000000000007</v>
      </c>
      <c r="I216">
        <v>1</v>
      </c>
      <c r="K216" s="68">
        <v>19</v>
      </c>
      <c r="L216" s="72" t="s">
        <v>19</v>
      </c>
      <c r="N216" t="s">
        <v>19</v>
      </c>
    </row>
    <row r="217" spans="1:16" x14ac:dyDescent="0.35">
      <c r="A217" s="68" t="s">
        <v>110</v>
      </c>
      <c r="B217" s="68" t="s">
        <v>44</v>
      </c>
      <c r="C217" s="72">
        <v>38</v>
      </c>
      <c r="D217" s="73" t="s">
        <v>42</v>
      </c>
      <c r="F217" s="78">
        <v>7.9</v>
      </c>
      <c r="G217" s="79">
        <f t="shared" si="4"/>
        <v>2.4079199229465624</v>
      </c>
      <c r="H217" s="83">
        <v>11.14</v>
      </c>
      <c r="I217">
        <v>1</v>
      </c>
      <c r="L217" s="72" t="s">
        <v>19</v>
      </c>
      <c r="N217" t="s">
        <v>19</v>
      </c>
    </row>
    <row r="218" spans="1:16" x14ac:dyDescent="0.35">
      <c r="A218" s="68" t="s">
        <v>110</v>
      </c>
      <c r="B218" s="68" t="s">
        <v>44</v>
      </c>
      <c r="C218" s="72">
        <v>39</v>
      </c>
      <c r="D218" s="73" t="s">
        <v>42</v>
      </c>
      <c r="F218" s="78">
        <v>9.6999999999999993</v>
      </c>
      <c r="G218" s="79">
        <f t="shared" si="4"/>
        <v>2.9565599053900828</v>
      </c>
      <c r="H218" s="83">
        <v>46.75</v>
      </c>
      <c r="I218">
        <v>1</v>
      </c>
      <c r="L218" s="72" t="s">
        <v>19</v>
      </c>
      <c r="N218" t="s">
        <v>19</v>
      </c>
    </row>
    <row r="219" spans="1:16" x14ac:dyDescent="0.35">
      <c r="A219" s="68" t="s">
        <v>110</v>
      </c>
      <c r="B219" s="68" t="s">
        <v>44</v>
      </c>
      <c r="C219" s="72">
        <v>40</v>
      </c>
      <c r="D219" s="73" t="s">
        <v>42</v>
      </c>
      <c r="F219" s="78">
        <v>11.6</v>
      </c>
      <c r="G219" s="79">
        <f t="shared" si="4"/>
        <v>3.5356798868582437</v>
      </c>
      <c r="H219" s="83">
        <v>47.13</v>
      </c>
      <c r="I219">
        <v>1</v>
      </c>
      <c r="K219" s="68">
        <v>97</v>
      </c>
      <c r="L219" s="72" t="s">
        <v>19</v>
      </c>
      <c r="N219" t="s">
        <v>19</v>
      </c>
    </row>
    <row r="220" spans="1:16" x14ac:dyDescent="0.35">
      <c r="A220" s="68" t="s">
        <v>110</v>
      </c>
      <c r="B220" s="68" t="s">
        <v>44</v>
      </c>
      <c r="C220" s="72">
        <v>41</v>
      </c>
      <c r="D220" s="73" t="s">
        <v>42</v>
      </c>
      <c r="F220" s="78">
        <v>10.7</v>
      </c>
      <c r="G220" s="79">
        <f t="shared" si="4"/>
        <v>3.2613598956364833</v>
      </c>
      <c r="H220" s="83">
        <v>39.86</v>
      </c>
      <c r="I220">
        <v>1</v>
      </c>
      <c r="L220" s="72" t="s">
        <v>20</v>
      </c>
      <c r="M220" t="s">
        <v>22</v>
      </c>
      <c r="N220" t="s">
        <v>19</v>
      </c>
      <c r="O220" s="64">
        <v>0.4</v>
      </c>
      <c r="P220" s="73">
        <v>0</v>
      </c>
    </row>
    <row r="221" spans="1:16" x14ac:dyDescent="0.35">
      <c r="A221" s="68" t="s">
        <v>110</v>
      </c>
      <c r="B221" s="68" t="s">
        <v>44</v>
      </c>
      <c r="C221" s="72">
        <v>42</v>
      </c>
      <c r="D221" s="73" t="s">
        <v>42</v>
      </c>
      <c r="F221" s="78">
        <v>11.1</v>
      </c>
      <c r="G221" s="79">
        <f t="shared" si="4"/>
        <v>3.3832798917350435</v>
      </c>
      <c r="H221" s="83">
        <v>43.18</v>
      </c>
      <c r="I221">
        <v>1</v>
      </c>
      <c r="L221" s="72" t="s">
        <v>19</v>
      </c>
      <c r="N221" t="s">
        <v>19</v>
      </c>
    </row>
    <row r="222" spans="1:16" x14ac:dyDescent="0.35">
      <c r="A222" s="68" t="s">
        <v>110</v>
      </c>
      <c r="B222" s="68" t="s">
        <v>44</v>
      </c>
      <c r="C222" s="72">
        <v>43</v>
      </c>
      <c r="D222" s="73" t="s">
        <v>42</v>
      </c>
      <c r="F222" s="78">
        <v>12.1</v>
      </c>
      <c r="G222" s="79">
        <f t="shared" si="4"/>
        <v>3.6880798819814435</v>
      </c>
      <c r="H222" s="83">
        <v>42.96</v>
      </c>
      <c r="I222">
        <v>1</v>
      </c>
      <c r="L222" s="72" t="s">
        <v>19</v>
      </c>
      <c r="N222" t="s">
        <v>19</v>
      </c>
    </row>
    <row r="223" spans="1:16" x14ac:dyDescent="0.35">
      <c r="A223" s="68" t="s">
        <v>110</v>
      </c>
      <c r="B223" s="68" t="s">
        <v>44</v>
      </c>
      <c r="C223" s="72">
        <v>44</v>
      </c>
      <c r="D223" s="73" t="s">
        <v>42</v>
      </c>
      <c r="F223" s="78">
        <v>12</v>
      </c>
      <c r="G223" s="79">
        <f t="shared" si="4"/>
        <v>3.6575998829568039</v>
      </c>
      <c r="H223" s="83">
        <v>33.28</v>
      </c>
      <c r="I223">
        <v>1</v>
      </c>
      <c r="L223" s="72" t="s">
        <v>20</v>
      </c>
      <c r="M223" t="s">
        <v>66</v>
      </c>
      <c r="N223" t="s">
        <v>19</v>
      </c>
      <c r="O223" s="64">
        <v>0</v>
      </c>
      <c r="P223" s="73">
        <v>30</v>
      </c>
    </row>
    <row r="224" spans="1:16" x14ac:dyDescent="0.35">
      <c r="A224" s="68" t="s">
        <v>110</v>
      </c>
      <c r="B224" s="68" t="s">
        <v>44</v>
      </c>
      <c r="C224" s="72">
        <v>45</v>
      </c>
      <c r="D224" s="73" t="s">
        <v>42</v>
      </c>
      <c r="F224" s="78">
        <v>9.6</v>
      </c>
      <c r="G224" s="79">
        <f t="shared" si="4"/>
        <v>2.9260799063654428</v>
      </c>
      <c r="H224" s="83">
        <v>32.78</v>
      </c>
      <c r="I224">
        <v>1</v>
      </c>
      <c r="L224" s="72" t="s">
        <v>20</v>
      </c>
      <c r="M224" t="s">
        <v>21</v>
      </c>
      <c r="N224" t="s">
        <v>19</v>
      </c>
      <c r="O224" s="64">
        <v>0.28999999999999998</v>
      </c>
      <c r="P224" s="73">
        <v>15</v>
      </c>
    </row>
    <row r="225" spans="1:16" x14ac:dyDescent="0.35">
      <c r="A225" s="68" t="s">
        <v>110</v>
      </c>
      <c r="B225" s="68" t="s">
        <v>44</v>
      </c>
      <c r="C225" s="72">
        <v>46</v>
      </c>
      <c r="D225" s="73" t="s">
        <v>42</v>
      </c>
      <c r="F225" s="78">
        <v>11.3</v>
      </c>
      <c r="G225" s="79">
        <f t="shared" si="4"/>
        <v>3.4442398897843236</v>
      </c>
      <c r="H225" s="83">
        <v>41.5</v>
      </c>
      <c r="I225">
        <v>1</v>
      </c>
      <c r="L225" s="72" t="s">
        <v>19</v>
      </c>
      <c r="N225" t="s">
        <v>19</v>
      </c>
    </row>
    <row r="226" spans="1:16" x14ac:dyDescent="0.35">
      <c r="A226" s="68" t="s">
        <v>110</v>
      </c>
      <c r="B226" s="68" t="s">
        <v>44</v>
      </c>
      <c r="C226" s="72">
        <v>47</v>
      </c>
      <c r="D226" s="73" t="s">
        <v>42</v>
      </c>
      <c r="F226" s="78">
        <v>9.1999999999999993</v>
      </c>
      <c r="G226" s="79">
        <f t="shared" si="4"/>
        <v>2.8041599102668826</v>
      </c>
      <c r="H226" s="83">
        <v>26.62</v>
      </c>
      <c r="I226">
        <v>1</v>
      </c>
      <c r="L226" s="72" t="s">
        <v>20</v>
      </c>
      <c r="M226" t="s">
        <v>22</v>
      </c>
      <c r="N226" t="s">
        <v>19</v>
      </c>
      <c r="O226" s="64">
        <v>0.7</v>
      </c>
      <c r="P226" s="73">
        <v>0</v>
      </c>
    </row>
    <row r="227" spans="1:16" x14ac:dyDescent="0.35">
      <c r="A227" s="68" t="s">
        <v>110</v>
      </c>
      <c r="B227" s="68" t="s">
        <v>44</v>
      </c>
      <c r="C227" s="72">
        <v>48</v>
      </c>
      <c r="D227" s="73" t="s">
        <v>42</v>
      </c>
      <c r="F227" s="78">
        <v>9.4</v>
      </c>
      <c r="G227" s="79">
        <f t="shared" si="4"/>
        <v>2.8651199083161631</v>
      </c>
      <c r="H227" s="83">
        <v>36.82</v>
      </c>
      <c r="I227">
        <v>1</v>
      </c>
      <c r="K227" s="68">
        <v>20</v>
      </c>
      <c r="L227" s="72" t="s">
        <v>19</v>
      </c>
      <c r="N227" t="s">
        <v>19</v>
      </c>
    </row>
    <row r="228" spans="1:16" x14ac:dyDescent="0.35">
      <c r="A228" s="68" t="s">
        <v>110</v>
      </c>
      <c r="B228" s="68" t="s">
        <v>44</v>
      </c>
      <c r="C228" s="72">
        <v>49</v>
      </c>
      <c r="D228" s="73" t="s">
        <v>42</v>
      </c>
      <c r="F228" s="78">
        <v>13</v>
      </c>
      <c r="G228" s="79">
        <f t="shared" si="4"/>
        <v>3.962399873203204</v>
      </c>
      <c r="H228" s="83">
        <v>54.99</v>
      </c>
      <c r="I228">
        <v>1</v>
      </c>
      <c r="L228" s="72" t="s">
        <v>19</v>
      </c>
      <c r="N228" t="s">
        <v>19</v>
      </c>
    </row>
    <row r="229" spans="1:16" x14ac:dyDescent="0.35">
      <c r="A229" s="68" t="s">
        <v>110</v>
      </c>
      <c r="B229" s="68" t="s">
        <v>45</v>
      </c>
      <c r="C229" s="72">
        <v>50</v>
      </c>
      <c r="D229" s="73" t="s">
        <v>42</v>
      </c>
      <c r="F229" s="78">
        <v>11.9</v>
      </c>
      <c r="G229" s="79">
        <f t="shared" si="4"/>
        <v>3.6271198839321639</v>
      </c>
      <c r="H229" s="83">
        <v>50.83</v>
      </c>
      <c r="I229">
        <v>1</v>
      </c>
      <c r="L229" s="72" t="s">
        <v>20</v>
      </c>
      <c r="M229" t="s">
        <v>22</v>
      </c>
      <c r="N229" t="s">
        <v>19</v>
      </c>
      <c r="O229" s="64">
        <v>1.46</v>
      </c>
      <c r="P229" s="73">
        <v>0</v>
      </c>
    </row>
    <row r="230" spans="1:16" x14ac:dyDescent="0.35">
      <c r="A230" s="68" t="s">
        <v>110</v>
      </c>
      <c r="B230" s="68" t="s">
        <v>45</v>
      </c>
      <c r="C230" s="72">
        <v>51</v>
      </c>
      <c r="D230" s="73" t="s">
        <v>42</v>
      </c>
      <c r="F230" s="78">
        <v>10</v>
      </c>
      <c r="G230" s="79">
        <f t="shared" si="4"/>
        <v>3.047999902464003</v>
      </c>
      <c r="H230" s="83">
        <v>31.47</v>
      </c>
      <c r="I230">
        <v>1</v>
      </c>
      <c r="L230" s="72" t="s">
        <v>19</v>
      </c>
      <c r="N230" t="s">
        <v>19</v>
      </c>
    </row>
    <row r="231" spans="1:16" x14ac:dyDescent="0.35">
      <c r="A231" s="68" t="s">
        <v>110</v>
      </c>
      <c r="B231" s="68" t="s">
        <v>45</v>
      </c>
      <c r="C231" s="72">
        <v>52</v>
      </c>
      <c r="D231" s="73" t="s">
        <v>42</v>
      </c>
      <c r="F231" s="78">
        <v>6.9</v>
      </c>
      <c r="G231" s="79">
        <f t="shared" si="4"/>
        <v>2.1031199327001624</v>
      </c>
      <c r="H231" s="83">
        <v>13.44</v>
      </c>
      <c r="I231">
        <v>1</v>
      </c>
      <c r="L231" s="72" t="s">
        <v>19</v>
      </c>
      <c r="N231" t="s">
        <v>19</v>
      </c>
    </row>
    <row r="232" spans="1:16" x14ac:dyDescent="0.35">
      <c r="A232" s="68" t="s">
        <v>110</v>
      </c>
      <c r="B232" s="68" t="s">
        <v>45</v>
      </c>
      <c r="C232" s="72">
        <v>53</v>
      </c>
      <c r="D232" s="73" t="s">
        <v>42</v>
      </c>
      <c r="F232" s="78">
        <v>14</v>
      </c>
      <c r="G232" s="79">
        <f t="shared" si="4"/>
        <v>4.267199863449604</v>
      </c>
      <c r="H232" s="83">
        <v>61.44</v>
      </c>
      <c r="I232">
        <v>1</v>
      </c>
      <c r="L232" s="72" t="s">
        <v>19</v>
      </c>
      <c r="N232" t="s">
        <v>19</v>
      </c>
    </row>
    <row r="233" spans="1:16" x14ac:dyDescent="0.35">
      <c r="A233" s="68" t="s">
        <v>110</v>
      </c>
      <c r="B233" s="68" t="s">
        <v>45</v>
      </c>
      <c r="C233" s="72">
        <v>54</v>
      </c>
      <c r="D233" s="73" t="s">
        <v>42</v>
      </c>
      <c r="F233" s="78">
        <v>9.9</v>
      </c>
      <c r="G233" s="79">
        <f t="shared" si="4"/>
        <v>3.0175199034393634</v>
      </c>
      <c r="H233" s="83">
        <v>37.44</v>
      </c>
      <c r="I233">
        <v>1</v>
      </c>
      <c r="L233" s="72" t="s">
        <v>20</v>
      </c>
      <c r="M233" t="s">
        <v>21</v>
      </c>
      <c r="N233" t="s">
        <v>19</v>
      </c>
      <c r="O233" s="64">
        <v>0.2</v>
      </c>
      <c r="P233" s="73">
        <v>14</v>
      </c>
    </row>
    <row r="234" spans="1:16" x14ac:dyDescent="0.35">
      <c r="A234" s="68" t="s">
        <v>110</v>
      </c>
      <c r="B234" s="68" t="s">
        <v>45</v>
      </c>
      <c r="C234" s="72">
        <v>55</v>
      </c>
      <c r="D234" s="73" t="s">
        <v>42</v>
      </c>
      <c r="F234" s="78">
        <v>4.3</v>
      </c>
      <c r="G234" s="79">
        <f t="shared" si="4"/>
        <v>1.3106399580595214</v>
      </c>
      <c r="H234" s="83">
        <v>5.54</v>
      </c>
      <c r="I234">
        <v>1</v>
      </c>
      <c r="L234" s="72" t="s">
        <v>19</v>
      </c>
      <c r="N234" t="s">
        <v>19</v>
      </c>
    </row>
    <row r="235" spans="1:16" x14ac:dyDescent="0.35">
      <c r="A235" s="68" t="s">
        <v>110</v>
      </c>
      <c r="B235" s="68" t="s">
        <v>45</v>
      </c>
      <c r="C235" s="72">
        <v>56</v>
      </c>
      <c r="D235" s="73" t="s">
        <v>42</v>
      </c>
      <c r="F235" s="78">
        <v>8.3000000000000007</v>
      </c>
      <c r="G235" s="79">
        <f t="shared" si="4"/>
        <v>2.5298399190451226</v>
      </c>
      <c r="H235" s="83">
        <v>26.52</v>
      </c>
      <c r="I235">
        <v>1</v>
      </c>
      <c r="L235" s="72" t="s">
        <v>19</v>
      </c>
      <c r="N235" t="s">
        <v>19</v>
      </c>
    </row>
    <row r="236" spans="1:16" x14ac:dyDescent="0.35">
      <c r="A236" s="68" t="s">
        <v>110</v>
      </c>
      <c r="B236" s="68" t="s">
        <v>45</v>
      </c>
      <c r="C236" s="72">
        <v>57</v>
      </c>
      <c r="D236" s="73" t="s">
        <v>42</v>
      </c>
      <c r="F236" s="78">
        <v>7.7</v>
      </c>
      <c r="G236" s="79">
        <f t="shared" si="4"/>
        <v>2.3469599248972823</v>
      </c>
      <c r="H236" s="83">
        <v>18.68</v>
      </c>
      <c r="I236">
        <v>1</v>
      </c>
      <c r="K236" s="68">
        <v>97</v>
      </c>
      <c r="L236" s="72" t="s">
        <v>19</v>
      </c>
      <c r="N236" t="s">
        <v>19</v>
      </c>
    </row>
    <row r="237" spans="1:16" x14ac:dyDescent="0.35">
      <c r="A237" s="68" t="s">
        <v>110</v>
      </c>
      <c r="B237" s="68" t="s">
        <v>45</v>
      </c>
      <c r="C237" s="72">
        <v>58</v>
      </c>
      <c r="D237" s="73" t="s">
        <v>42</v>
      </c>
      <c r="F237" s="78">
        <v>10.6</v>
      </c>
      <c r="G237" s="79">
        <f t="shared" si="4"/>
        <v>3.2308798966118433</v>
      </c>
      <c r="H237" s="83">
        <v>39.47</v>
      </c>
      <c r="I237">
        <v>1</v>
      </c>
      <c r="L237" s="72" t="s">
        <v>19</v>
      </c>
      <c r="N237" t="s">
        <v>19</v>
      </c>
    </row>
    <row r="238" spans="1:16" x14ac:dyDescent="0.35">
      <c r="A238" s="68" t="s">
        <v>110</v>
      </c>
      <c r="B238" s="68" t="s">
        <v>45</v>
      </c>
      <c r="C238" s="72">
        <v>59</v>
      </c>
      <c r="D238" s="73" t="s">
        <v>42</v>
      </c>
      <c r="F238" s="78">
        <v>9.8000000000000007</v>
      </c>
      <c r="G238" s="79">
        <f t="shared" si="4"/>
        <v>2.9870399044147233</v>
      </c>
      <c r="H238" s="83">
        <v>35.64</v>
      </c>
      <c r="I238">
        <v>1</v>
      </c>
      <c r="L238" s="72" t="s">
        <v>19</v>
      </c>
      <c r="N238" t="s">
        <v>19</v>
      </c>
    </row>
    <row r="239" spans="1:16" x14ac:dyDescent="0.35">
      <c r="A239" s="68" t="s">
        <v>110</v>
      </c>
      <c r="B239" s="68" t="s">
        <v>45</v>
      </c>
      <c r="C239" s="72">
        <v>60</v>
      </c>
      <c r="D239" s="73" t="s">
        <v>42</v>
      </c>
      <c r="F239" s="78">
        <v>11.9</v>
      </c>
      <c r="G239" s="79">
        <f t="shared" si="4"/>
        <v>3.6271198839321639</v>
      </c>
      <c r="H239" s="83">
        <v>58.19</v>
      </c>
      <c r="I239">
        <v>2</v>
      </c>
      <c r="J239" s="64">
        <v>3.23</v>
      </c>
      <c r="L239" s="72" t="s">
        <v>19</v>
      </c>
      <c r="N239" t="s">
        <v>19</v>
      </c>
    </row>
    <row r="240" spans="1:16" x14ac:dyDescent="0.35">
      <c r="A240" s="68" t="s">
        <v>110</v>
      </c>
      <c r="B240" s="68" t="s">
        <v>45</v>
      </c>
      <c r="C240" s="72">
        <v>61</v>
      </c>
      <c r="D240" s="73" t="s">
        <v>42</v>
      </c>
      <c r="F240" s="78">
        <v>6.6</v>
      </c>
      <c r="G240" s="79">
        <f t="shared" si="4"/>
        <v>2.0116799356262418</v>
      </c>
      <c r="H240" s="83">
        <v>14.17</v>
      </c>
      <c r="I240">
        <v>2</v>
      </c>
      <c r="J240" s="64">
        <v>0.44</v>
      </c>
      <c r="L240" s="72" t="s">
        <v>19</v>
      </c>
      <c r="N240" t="s">
        <v>19</v>
      </c>
    </row>
    <row r="241" spans="1:17" x14ac:dyDescent="0.35">
      <c r="A241" s="68" t="s">
        <v>110</v>
      </c>
      <c r="B241" s="68" t="s">
        <v>45</v>
      </c>
      <c r="C241" s="72">
        <v>62</v>
      </c>
      <c r="D241" s="73" t="s">
        <v>42</v>
      </c>
      <c r="F241" s="78">
        <v>10.1</v>
      </c>
      <c r="G241" s="79">
        <f t="shared" si="4"/>
        <v>3.078479901488643</v>
      </c>
      <c r="H241" s="83">
        <v>36.909999999999997</v>
      </c>
      <c r="I241">
        <v>1</v>
      </c>
      <c r="L241" s="72" t="s">
        <v>19</v>
      </c>
      <c r="N241" t="s">
        <v>19</v>
      </c>
    </row>
    <row r="242" spans="1:17" x14ac:dyDescent="0.35">
      <c r="A242" s="68" t="s">
        <v>110</v>
      </c>
      <c r="B242" s="68" t="s">
        <v>45</v>
      </c>
      <c r="C242" s="72">
        <v>63</v>
      </c>
      <c r="D242" s="73" t="s">
        <v>42</v>
      </c>
      <c r="F242" s="78">
        <v>11.1</v>
      </c>
      <c r="G242" s="79">
        <f t="shared" si="4"/>
        <v>3.3832798917350435</v>
      </c>
      <c r="H242" s="83">
        <v>44.86</v>
      </c>
      <c r="I242">
        <v>1</v>
      </c>
      <c r="K242" s="68">
        <v>92</v>
      </c>
      <c r="L242" s="72" t="s">
        <v>19</v>
      </c>
      <c r="N242" t="s">
        <v>19</v>
      </c>
    </row>
    <row r="243" spans="1:17" x14ac:dyDescent="0.35">
      <c r="A243" s="68" t="s">
        <v>110</v>
      </c>
      <c r="B243" s="68" t="s">
        <v>45</v>
      </c>
      <c r="C243" s="72">
        <v>64</v>
      </c>
      <c r="D243" s="73" t="s">
        <v>42</v>
      </c>
      <c r="F243" s="78">
        <v>11.4</v>
      </c>
      <c r="G243" s="79">
        <f t="shared" si="4"/>
        <v>3.4747198888089637</v>
      </c>
      <c r="H243" s="83">
        <v>47.95</v>
      </c>
      <c r="I243">
        <v>1</v>
      </c>
      <c r="L243" s="72" t="s">
        <v>20</v>
      </c>
      <c r="M243" t="s">
        <v>22</v>
      </c>
      <c r="N243" t="s">
        <v>19</v>
      </c>
      <c r="O243" s="64">
        <v>0.78</v>
      </c>
      <c r="P243" s="73">
        <v>0</v>
      </c>
    </row>
    <row r="244" spans="1:17" x14ac:dyDescent="0.35">
      <c r="A244" s="68" t="s">
        <v>110</v>
      </c>
      <c r="B244" s="68" t="s">
        <v>45</v>
      </c>
      <c r="C244" s="72">
        <v>64</v>
      </c>
      <c r="G244" s="79" t="str">
        <f t="shared" si="4"/>
        <v xml:space="preserve"> </v>
      </c>
      <c r="L244" s="72" t="s">
        <v>20</v>
      </c>
      <c r="M244" t="s">
        <v>22</v>
      </c>
      <c r="N244" t="s">
        <v>19</v>
      </c>
      <c r="O244" s="64">
        <v>2.13</v>
      </c>
      <c r="P244" s="73">
        <v>0</v>
      </c>
    </row>
    <row r="245" spans="1:17" x14ac:dyDescent="0.35">
      <c r="A245" s="68" t="s">
        <v>110</v>
      </c>
      <c r="B245" s="68" t="s">
        <v>45</v>
      </c>
      <c r="C245" s="72">
        <v>65</v>
      </c>
      <c r="D245" s="73" t="s">
        <v>42</v>
      </c>
      <c r="F245" s="78">
        <v>9.3000000000000007</v>
      </c>
      <c r="G245" s="79">
        <f t="shared" si="4"/>
        <v>2.8346399092915231</v>
      </c>
      <c r="H245" s="83">
        <v>28.16</v>
      </c>
      <c r="I245">
        <v>1</v>
      </c>
      <c r="L245" s="72" t="s">
        <v>19</v>
      </c>
      <c r="N245" t="s">
        <v>19</v>
      </c>
    </row>
    <row r="246" spans="1:17" x14ac:dyDescent="0.35">
      <c r="A246" s="68" t="s">
        <v>110</v>
      </c>
      <c r="B246" s="68" t="s">
        <v>45</v>
      </c>
      <c r="C246" s="72">
        <v>66</v>
      </c>
      <c r="D246" s="73" t="s">
        <v>42</v>
      </c>
      <c r="F246" s="78">
        <v>10.199999999999999</v>
      </c>
      <c r="G246" s="79">
        <f t="shared" si="4"/>
        <v>3.1089599005132831</v>
      </c>
      <c r="H246" s="83">
        <v>27.85</v>
      </c>
      <c r="I246">
        <v>1</v>
      </c>
      <c r="L246" s="72" t="s">
        <v>19</v>
      </c>
      <c r="N246" t="s">
        <v>19</v>
      </c>
    </row>
    <row r="247" spans="1:17" x14ac:dyDescent="0.35">
      <c r="A247" s="68" t="s">
        <v>110</v>
      </c>
      <c r="B247" s="68" t="s">
        <v>45</v>
      </c>
      <c r="C247" s="72">
        <v>67</v>
      </c>
      <c r="D247" s="73" t="s">
        <v>42</v>
      </c>
      <c r="F247" s="78">
        <v>9.4</v>
      </c>
      <c r="G247" s="79">
        <f t="shared" si="4"/>
        <v>2.8651199083161631</v>
      </c>
      <c r="H247" s="83">
        <v>32.130000000000003</v>
      </c>
      <c r="I247">
        <v>1</v>
      </c>
      <c r="L247" s="72" t="s">
        <v>20</v>
      </c>
      <c r="M247" t="s">
        <v>22</v>
      </c>
      <c r="N247" t="s">
        <v>19</v>
      </c>
      <c r="O247" s="64">
        <v>0.4</v>
      </c>
      <c r="P247" s="73">
        <v>0</v>
      </c>
    </row>
    <row r="248" spans="1:17" x14ac:dyDescent="0.35">
      <c r="A248" s="68" t="s">
        <v>110</v>
      </c>
      <c r="B248" s="68" t="s">
        <v>60</v>
      </c>
      <c r="C248" s="72">
        <v>68</v>
      </c>
      <c r="D248" s="73" t="s">
        <v>40</v>
      </c>
      <c r="E248" t="s">
        <v>36</v>
      </c>
      <c r="F248" s="78">
        <v>10.9</v>
      </c>
      <c r="G248" s="79">
        <f t="shared" si="4"/>
        <v>3.3223198936857634</v>
      </c>
      <c r="H248" s="83">
        <v>53.79</v>
      </c>
      <c r="Q248" t="s">
        <v>115</v>
      </c>
    </row>
    <row r="249" spans="1:17" x14ac:dyDescent="0.35">
      <c r="A249" s="68" t="s">
        <v>110</v>
      </c>
      <c r="B249" s="68" t="s">
        <v>60</v>
      </c>
      <c r="C249" s="72">
        <v>69</v>
      </c>
      <c r="D249" s="73" t="s">
        <v>42</v>
      </c>
      <c r="F249" s="78">
        <v>12.5</v>
      </c>
      <c r="G249" s="79">
        <f t="shared" si="4"/>
        <v>3.8099998780800037</v>
      </c>
      <c r="H249" s="83">
        <v>45.65</v>
      </c>
      <c r="I249">
        <v>1</v>
      </c>
      <c r="L249" s="72" t="s">
        <v>19</v>
      </c>
      <c r="N249" t="s">
        <v>19</v>
      </c>
      <c r="Q249" t="s">
        <v>117</v>
      </c>
    </row>
    <row r="250" spans="1:17" x14ac:dyDescent="0.35">
      <c r="A250" s="68" t="s">
        <v>110</v>
      </c>
      <c r="B250" s="68" t="s">
        <v>60</v>
      </c>
      <c r="C250" s="72">
        <v>70</v>
      </c>
      <c r="D250" s="73" t="s">
        <v>40</v>
      </c>
      <c r="E250" t="s">
        <v>19</v>
      </c>
      <c r="F250" s="78">
        <v>13</v>
      </c>
      <c r="G250" s="79">
        <f t="shared" si="4"/>
        <v>3.962399873203204</v>
      </c>
      <c r="H250" s="83">
        <v>43.33</v>
      </c>
      <c r="Q250" t="s">
        <v>72</v>
      </c>
    </row>
    <row r="251" spans="1:17" x14ac:dyDescent="0.35">
      <c r="A251" s="68" t="s">
        <v>110</v>
      </c>
      <c r="B251" s="68" t="s">
        <v>60</v>
      </c>
      <c r="C251" s="72">
        <v>71</v>
      </c>
      <c r="D251" s="73" t="s">
        <v>42</v>
      </c>
      <c r="F251" s="78">
        <v>10.199999999999999</v>
      </c>
      <c r="G251" s="79">
        <f t="shared" si="4"/>
        <v>3.1089599005132831</v>
      </c>
      <c r="H251" s="83">
        <v>22.27</v>
      </c>
      <c r="I251">
        <v>1</v>
      </c>
      <c r="L251" s="72" t="s">
        <v>19</v>
      </c>
      <c r="N251" t="s">
        <v>19</v>
      </c>
      <c r="Q251" t="s">
        <v>73</v>
      </c>
    </row>
    <row r="252" spans="1:17" x14ac:dyDescent="0.35">
      <c r="A252" s="68" t="s">
        <v>110</v>
      </c>
      <c r="B252" s="68" t="s">
        <v>60</v>
      </c>
      <c r="C252" s="72">
        <v>72</v>
      </c>
      <c r="D252" s="73" t="s">
        <v>40</v>
      </c>
      <c r="E252" t="s">
        <v>68</v>
      </c>
      <c r="F252" s="78">
        <v>12.2</v>
      </c>
      <c r="G252" s="79">
        <f t="shared" si="4"/>
        <v>3.7185598810060836</v>
      </c>
      <c r="H252" s="83">
        <v>49.87</v>
      </c>
      <c r="Q252" t="s">
        <v>74</v>
      </c>
    </row>
    <row r="253" spans="1:17" x14ac:dyDescent="0.35">
      <c r="A253" s="68" t="s">
        <v>110</v>
      </c>
      <c r="B253" s="68" t="s">
        <v>60</v>
      </c>
      <c r="C253" s="72">
        <v>73</v>
      </c>
      <c r="D253" s="73" t="s">
        <v>42</v>
      </c>
      <c r="F253" s="78">
        <v>7.2</v>
      </c>
      <c r="G253" s="79">
        <f t="shared" si="4"/>
        <v>2.1945599297740821</v>
      </c>
      <c r="H253" s="83">
        <v>25.21</v>
      </c>
      <c r="I253">
        <v>2</v>
      </c>
      <c r="J253" s="64">
        <v>0.05</v>
      </c>
      <c r="L253" s="72" t="s">
        <v>19</v>
      </c>
      <c r="N253" t="s">
        <v>19</v>
      </c>
      <c r="Q253" t="s">
        <v>75</v>
      </c>
    </row>
    <row r="254" spans="1:17" x14ac:dyDescent="0.35">
      <c r="A254" s="68" t="s">
        <v>110</v>
      </c>
      <c r="B254" s="68" t="s">
        <v>60</v>
      </c>
      <c r="C254" s="72">
        <v>74</v>
      </c>
      <c r="D254" s="73" t="s">
        <v>40</v>
      </c>
      <c r="E254" t="s">
        <v>19</v>
      </c>
      <c r="F254" s="78">
        <v>12.5</v>
      </c>
      <c r="G254" s="79">
        <f t="shared" si="4"/>
        <v>3.8099998780800037</v>
      </c>
      <c r="H254" s="83">
        <v>39.28</v>
      </c>
      <c r="Q254" t="s">
        <v>76</v>
      </c>
    </row>
    <row r="255" spans="1:17" x14ac:dyDescent="0.35">
      <c r="A255" s="68" t="s">
        <v>110</v>
      </c>
      <c r="B255" s="68" t="s">
        <v>60</v>
      </c>
      <c r="C255" s="72">
        <v>75</v>
      </c>
      <c r="D255" s="73" t="s">
        <v>42</v>
      </c>
      <c r="F255" s="78">
        <v>8.8000000000000007</v>
      </c>
      <c r="G255" s="79">
        <f t="shared" si="4"/>
        <v>2.6822399141683229</v>
      </c>
      <c r="H255" s="83">
        <v>17.43</v>
      </c>
      <c r="I255">
        <v>1</v>
      </c>
      <c r="L255" s="72" t="s">
        <v>19</v>
      </c>
      <c r="N255" t="s">
        <v>19</v>
      </c>
      <c r="Q255" t="s">
        <v>77</v>
      </c>
    </row>
    <row r="256" spans="1:17" x14ac:dyDescent="0.35">
      <c r="A256" s="68" t="s">
        <v>110</v>
      </c>
      <c r="B256" s="68" t="s">
        <v>60</v>
      </c>
      <c r="C256" s="72">
        <v>76</v>
      </c>
      <c r="D256" s="73" t="s">
        <v>40</v>
      </c>
      <c r="E256" t="s">
        <v>36</v>
      </c>
      <c r="F256" s="78">
        <v>11.8</v>
      </c>
      <c r="G256" s="79">
        <f t="shared" si="4"/>
        <v>3.5966398849075238</v>
      </c>
      <c r="H256" s="83">
        <v>37.700000000000003</v>
      </c>
      <c r="Q256" t="s">
        <v>80</v>
      </c>
    </row>
    <row r="257" spans="1:17" x14ac:dyDescent="0.35">
      <c r="A257" s="68" t="s">
        <v>110</v>
      </c>
      <c r="B257" s="68" t="s">
        <v>60</v>
      </c>
      <c r="C257" s="72">
        <v>77</v>
      </c>
      <c r="D257" s="73" t="s">
        <v>42</v>
      </c>
      <c r="F257" s="78">
        <v>11.7</v>
      </c>
      <c r="G257" s="79">
        <f t="shared" si="4"/>
        <v>3.5661598858828834</v>
      </c>
      <c r="H257" s="83">
        <v>41.64</v>
      </c>
      <c r="I257">
        <v>1</v>
      </c>
      <c r="L257" s="72" t="s">
        <v>19</v>
      </c>
      <c r="N257" t="s">
        <v>19</v>
      </c>
      <c r="Q257" t="s">
        <v>118</v>
      </c>
    </row>
    <row r="258" spans="1:17" x14ac:dyDescent="0.35">
      <c r="A258" s="68" t="s">
        <v>110</v>
      </c>
      <c r="B258" s="68" t="s">
        <v>60</v>
      </c>
      <c r="C258" s="72">
        <v>78</v>
      </c>
      <c r="D258" s="73" t="s">
        <v>40</v>
      </c>
      <c r="E258" t="s">
        <v>69</v>
      </c>
      <c r="F258" s="78">
        <v>10.9</v>
      </c>
      <c r="G258" s="79">
        <f t="shared" si="4"/>
        <v>3.3223198936857634</v>
      </c>
      <c r="H258" s="83">
        <v>36.31</v>
      </c>
      <c r="Q258" t="s">
        <v>82</v>
      </c>
    </row>
    <row r="259" spans="1:17" x14ac:dyDescent="0.35">
      <c r="A259" s="68" t="s">
        <v>110</v>
      </c>
      <c r="B259" s="68" t="s">
        <v>60</v>
      </c>
      <c r="C259" s="72">
        <v>79</v>
      </c>
      <c r="D259" s="73" t="s">
        <v>42</v>
      </c>
      <c r="F259" s="78">
        <v>8.1999999999999993</v>
      </c>
      <c r="G259" s="79">
        <f t="shared" si="4"/>
        <v>2.4993599200204826</v>
      </c>
      <c r="H259" s="83">
        <v>18.940000000000001</v>
      </c>
      <c r="I259">
        <v>1</v>
      </c>
      <c r="L259" s="72" t="s">
        <v>19</v>
      </c>
      <c r="N259" t="s">
        <v>19</v>
      </c>
      <c r="Q259" t="s">
        <v>116</v>
      </c>
    </row>
    <row r="260" spans="1:17" x14ac:dyDescent="0.35">
      <c r="A260" s="68" t="s">
        <v>110</v>
      </c>
      <c r="B260" s="68" t="s">
        <v>60</v>
      </c>
      <c r="C260" s="72">
        <v>80</v>
      </c>
      <c r="D260" s="73" t="s">
        <v>40</v>
      </c>
      <c r="E260" t="s">
        <v>69</v>
      </c>
      <c r="F260" s="78">
        <v>12</v>
      </c>
      <c r="G260" s="79">
        <f t="shared" si="4"/>
        <v>3.6575998829568039</v>
      </c>
      <c r="H260" s="83">
        <v>46.8</v>
      </c>
      <c r="Q260" t="s">
        <v>84</v>
      </c>
    </row>
    <row r="261" spans="1:17" x14ac:dyDescent="0.35">
      <c r="A261" s="68" t="s">
        <v>110</v>
      </c>
      <c r="B261" s="68" t="s">
        <v>60</v>
      </c>
      <c r="C261" s="72">
        <v>81</v>
      </c>
      <c r="D261" s="73" t="s">
        <v>42</v>
      </c>
      <c r="F261" s="78">
        <v>9.8000000000000007</v>
      </c>
      <c r="G261" s="79">
        <f t="shared" si="4"/>
        <v>2.9870399044147233</v>
      </c>
      <c r="H261" s="83">
        <v>29.26</v>
      </c>
      <c r="I261">
        <v>1</v>
      </c>
      <c r="L261" s="72" t="s">
        <v>19</v>
      </c>
      <c r="N261" t="s">
        <v>19</v>
      </c>
      <c r="Q261" t="s">
        <v>81</v>
      </c>
    </row>
    <row r="262" spans="1:17" x14ac:dyDescent="0.35">
      <c r="A262" s="68" t="s">
        <v>110</v>
      </c>
      <c r="B262" s="68" t="s">
        <v>60</v>
      </c>
      <c r="C262" s="72">
        <v>82</v>
      </c>
      <c r="D262" s="73" t="s">
        <v>40</v>
      </c>
      <c r="E262" t="s">
        <v>69</v>
      </c>
      <c r="F262" s="78">
        <v>11.9</v>
      </c>
      <c r="G262" s="79">
        <f t="shared" ref="G262:G325" si="5">IF(F262 = 0, " ", IF(F262&lt;2, F262/1, F262/3.28084))</f>
        <v>3.6271198839321639</v>
      </c>
      <c r="H262" s="83">
        <v>48.9</v>
      </c>
      <c r="Q262" t="s">
        <v>86</v>
      </c>
    </row>
    <row r="263" spans="1:17" x14ac:dyDescent="0.35">
      <c r="A263" s="68" t="s">
        <v>110</v>
      </c>
      <c r="B263" s="68" t="s">
        <v>60</v>
      </c>
      <c r="C263" s="72">
        <v>83</v>
      </c>
      <c r="D263" s="73" t="s">
        <v>42</v>
      </c>
      <c r="F263" s="78">
        <v>10.5</v>
      </c>
      <c r="G263" s="79">
        <f t="shared" si="5"/>
        <v>3.2003998975872032</v>
      </c>
      <c r="H263" s="83">
        <v>27.93</v>
      </c>
      <c r="I263">
        <v>1</v>
      </c>
      <c r="L263" s="72" t="s">
        <v>20</v>
      </c>
      <c r="M263" t="s">
        <v>29</v>
      </c>
      <c r="N263" t="s">
        <v>19</v>
      </c>
      <c r="O263" s="64">
        <v>0</v>
      </c>
      <c r="P263" s="73">
        <v>132</v>
      </c>
      <c r="Q263" t="s">
        <v>119</v>
      </c>
    </row>
    <row r="264" spans="1:17" x14ac:dyDescent="0.35">
      <c r="A264" s="68" t="s">
        <v>110</v>
      </c>
      <c r="B264" s="68" t="s">
        <v>60</v>
      </c>
      <c r="C264" s="72">
        <v>84</v>
      </c>
      <c r="D264" s="73" t="s">
        <v>40</v>
      </c>
      <c r="E264" t="s">
        <v>23</v>
      </c>
      <c r="F264" s="78">
        <v>9.1</v>
      </c>
      <c r="G264" s="79">
        <f t="shared" si="5"/>
        <v>2.7736799112422426</v>
      </c>
      <c r="H264" s="83">
        <v>30.27</v>
      </c>
      <c r="Q264" t="s">
        <v>88</v>
      </c>
    </row>
    <row r="265" spans="1:17" x14ac:dyDescent="0.35">
      <c r="A265" s="68" t="s">
        <v>110</v>
      </c>
      <c r="B265" s="68" t="s">
        <v>60</v>
      </c>
      <c r="C265" s="72">
        <v>85</v>
      </c>
      <c r="D265" s="73" t="s">
        <v>42</v>
      </c>
      <c r="F265" s="78">
        <v>8.8000000000000007</v>
      </c>
      <c r="G265" s="79">
        <f t="shared" si="5"/>
        <v>2.6822399141683229</v>
      </c>
      <c r="H265" s="83">
        <v>24.68</v>
      </c>
      <c r="I265">
        <v>1</v>
      </c>
      <c r="L265" s="72" t="s">
        <v>19</v>
      </c>
      <c r="N265" t="s">
        <v>19</v>
      </c>
      <c r="Q265" t="s">
        <v>85</v>
      </c>
    </row>
    <row r="266" spans="1:17" x14ac:dyDescent="0.35">
      <c r="A266" s="68" t="s">
        <v>110</v>
      </c>
      <c r="B266" s="68" t="s">
        <v>60</v>
      </c>
      <c r="C266" s="72">
        <v>86</v>
      </c>
      <c r="D266" s="73" t="s">
        <v>40</v>
      </c>
      <c r="E266" t="s">
        <v>71</v>
      </c>
      <c r="F266" s="78">
        <v>10.3</v>
      </c>
      <c r="G266" s="79">
        <f t="shared" si="5"/>
        <v>3.1394398995379236</v>
      </c>
      <c r="H266" s="83">
        <v>39.799999999999997</v>
      </c>
      <c r="Q266" t="s">
        <v>90</v>
      </c>
    </row>
    <row r="267" spans="1:17" x14ac:dyDescent="0.35">
      <c r="A267" s="68" t="s">
        <v>110</v>
      </c>
      <c r="B267" s="68" t="s">
        <v>60</v>
      </c>
      <c r="C267" s="72">
        <v>87</v>
      </c>
      <c r="D267" s="73" t="s">
        <v>42</v>
      </c>
      <c r="F267" s="78">
        <v>8.3000000000000007</v>
      </c>
      <c r="G267" s="79">
        <f t="shared" si="5"/>
        <v>2.5298399190451226</v>
      </c>
      <c r="H267" s="83">
        <v>24.73</v>
      </c>
      <c r="I267">
        <v>1</v>
      </c>
      <c r="L267" s="72" t="s">
        <v>20</v>
      </c>
      <c r="M267" t="s">
        <v>66</v>
      </c>
      <c r="N267" t="s">
        <v>19</v>
      </c>
      <c r="O267" s="64">
        <v>0</v>
      </c>
      <c r="P267" s="73">
        <v>125</v>
      </c>
      <c r="Q267" t="s">
        <v>87</v>
      </c>
    </row>
    <row r="268" spans="1:17" x14ac:dyDescent="0.35">
      <c r="A268" s="68" t="s">
        <v>110</v>
      </c>
      <c r="B268" s="68" t="s">
        <v>60</v>
      </c>
      <c r="C268" s="72">
        <v>88</v>
      </c>
      <c r="D268" s="73" t="s">
        <v>40</v>
      </c>
      <c r="E268" t="s">
        <v>69</v>
      </c>
      <c r="F268" s="78">
        <v>9</v>
      </c>
      <c r="G268" s="79">
        <f t="shared" si="5"/>
        <v>2.743199912217603</v>
      </c>
      <c r="H268" s="83">
        <v>40.869999999999997</v>
      </c>
      <c r="Q268" t="s">
        <v>92</v>
      </c>
    </row>
    <row r="269" spans="1:17" x14ac:dyDescent="0.35">
      <c r="A269" s="68" t="s">
        <v>110</v>
      </c>
      <c r="B269" s="68" t="s">
        <v>60</v>
      </c>
      <c r="C269" s="72">
        <v>89</v>
      </c>
      <c r="D269" s="73" t="s">
        <v>42</v>
      </c>
      <c r="F269" s="78">
        <v>8.6999999999999993</v>
      </c>
      <c r="G269" s="79">
        <f t="shared" si="5"/>
        <v>2.6517599151436824</v>
      </c>
      <c r="H269" s="83">
        <v>24.89</v>
      </c>
      <c r="I269">
        <v>1</v>
      </c>
      <c r="L269" s="72" t="s">
        <v>20</v>
      </c>
      <c r="M269" t="s">
        <v>66</v>
      </c>
      <c r="N269" t="s">
        <v>19</v>
      </c>
      <c r="O269" s="64">
        <v>0</v>
      </c>
      <c r="P269" s="73">
        <v>160</v>
      </c>
      <c r="Q269" t="s">
        <v>89</v>
      </c>
    </row>
    <row r="270" spans="1:17" x14ac:dyDescent="0.35">
      <c r="A270" s="68" t="s">
        <v>110</v>
      </c>
      <c r="B270" s="68" t="s">
        <v>60</v>
      </c>
      <c r="C270" s="72">
        <v>90</v>
      </c>
      <c r="D270" s="73" t="s">
        <v>42</v>
      </c>
      <c r="F270" s="78">
        <v>8.1999999999999993</v>
      </c>
      <c r="G270" s="79">
        <f t="shared" si="5"/>
        <v>2.4993599200204826</v>
      </c>
      <c r="H270" s="83">
        <v>25.69</v>
      </c>
      <c r="I270">
        <v>1</v>
      </c>
      <c r="L270" s="72" t="s">
        <v>19</v>
      </c>
      <c r="N270" t="s">
        <v>19</v>
      </c>
      <c r="Q270" t="s">
        <v>120</v>
      </c>
    </row>
    <row r="271" spans="1:17" x14ac:dyDescent="0.35">
      <c r="A271" s="68" t="s">
        <v>110</v>
      </c>
      <c r="B271" s="68" t="s">
        <v>60</v>
      </c>
      <c r="C271" s="72">
        <v>91</v>
      </c>
      <c r="D271" s="73" t="s">
        <v>40</v>
      </c>
      <c r="E271" t="s">
        <v>29</v>
      </c>
      <c r="F271" s="78">
        <v>11.2</v>
      </c>
      <c r="G271" s="79">
        <f t="shared" si="5"/>
        <v>3.4137598907596831</v>
      </c>
      <c r="H271" s="83">
        <v>45.59</v>
      </c>
      <c r="Q271" t="s">
        <v>91</v>
      </c>
    </row>
    <row r="272" spans="1:17" x14ac:dyDescent="0.35">
      <c r="A272" s="68" t="s">
        <v>110</v>
      </c>
      <c r="B272" s="68" t="s">
        <v>60</v>
      </c>
      <c r="C272" s="72">
        <v>92</v>
      </c>
      <c r="D272" s="73" t="s">
        <v>40</v>
      </c>
      <c r="E272" t="s">
        <v>70</v>
      </c>
      <c r="F272" s="78">
        <v>9.6999999999999993</v>
      </c>
      <c r="G272" s="79">
        <f t="shared" si="5"/>
        <v>2.9565599053900828</v>
      </c>
      <c r="H272" s="83">
        <v>31.6</v>
      </c>
      <c r="Q272" t="s">
        <v>120</v>
      </c>
    </row>
    <row r="273" spans="1:17" x14ac:dyDescent="0.35">
      <c r="A273" s="68" t="s">
        <v>110</v>
      </c>
      <c r="B273" s="68" t="s">
        <v>60</v>
      </c>
      <c r="C273" s="72">
        <v>93</v>
      </c>
      <c r="D273" s="73" t="s">
        <v>42</v>
      </c>
      <c r="F273" s="78">
        <v>10.4</v>
      </c>
      <c r="G273" s="79">
        <f t="shared" si="5"/>
        <v>3.1699198985625632</v>
      </c>
      <c r="H273" s="83">
        <v>30.57</v>
      </c>
      <c r="I273">
        <v>1</v>
      </c>
      <c r="L273" s="72" t="s">
        <v>19</v>
      </c>
      <c r="N273" t="s">
        <v>19</v>
      </c>
      <c r="Q273" t="s">
        <v>96</v>
      </c>
    </row>
    <row r="274" spans="1:17" x14ac:dyDescent="0.35">
      <c r="A274" s="68" t="s">
        <v>110</v>
      </c>
      <c r="B274" s="68" t="s">
        <v>60</v>
      </c>
      <c r="C274" s="72">
        <v>94</v>
      </c>
      <c r="D274" s="73" t="s">
        <v>40</v>
      </c>
      <c r="E274" t="s">
        <v>23</v>
      </c>
      <c r="F274" s="78">
        <v>9.6</v>
      </c>
      <c r="G274" s="79">
        <f t="shared" si="5"/>
        <v>2.9260799063654428</v>
      </c>
      <c r="H274" s="83">
        <v>33</v>
      </c>
      <c r="Q274" t="s">
        <v>98</v>
      </c>
    </row>
    <row r="275" spans="1:17" x14ac:dyDescent="0.35">
      <c r="A275" s="68" t="s">
        <v>110</v>
      </c>
      <c r="B275" s="68" t="s">
        <v>60</v>
      </c>
      <c r="C275" s="72">
        <v>95</v>
      </c>
      <c r="D275" s="73" t="s">
        <v>42</v>
      </c>
      <c r="F275" s="78">
        <v>6.6</v>
      </c>
      <c r="G275" s="79">
        <f t="shared" si="5"/>
        <v>2.0116799356262418</v>
      </c>
      <c r="H275" s="83">
        <v>11.07</v>
      </c>
      <c r="I275">
        <v>2</v>
      </c>
      <c r="J275" s="64">
        <v>0.41</v>
      </c>
      <c r="K275" s="68">
        <v>158</v>
      </c>
      <c r="L275" s="72" t="s">
        <v>20</v>
      </c>
      <c r="M275" t="s">
        <v>21</v>
      </c>
      <c r="N275" t="s">
        <v>20</v>
      </c>
      <c r="O275" s="64">
        <v>0.49</v>
      </c>
      <c r="P275" s="73">
        <v>178</v>
      </c>
      <c r="Q275" t="s">
        <v>95</v>
      </c>
    </row>
    <row r="276" spans="1:17" x14ac:dyDescent="0.35">
      <c r="A276" s="68" t="s">
        <v>110</v>
      </c>
      <c r="B276" s="68" t="s">
        <v>60</v>
      </c>
      <c r="C276" s="72">
        <v>96</v>
      </c>
      <c r="D276" s="73" t="s">
        <v>42</v>
      </c>
      <c r="F276" s="78">
        <v>11.7</v>
      </c>
      <c r="G276" s="79">
        <f t="shared" si="5"/>
        <v>3.5661598858828834</v>
      </c>
      <c r="H276" s="83">
        <v>44.03</v>
      </c>
      <c r="I276">
        <v>1</v>
      </c>
      <c r="L276" s="72" t="s">
        <v>19</v>
      </c>
      <c r="N276" t="s">
        <v>19</v>
      </c>
      <c r="Q276" t="s">
        <v>100</v>
      </c>
    </row>
    <row r="277" spans="1:17" x14ac:dyDescent="0.35">
      <c r="A277" s="68" t="s">
        <v>110</v>
      </c>
      <c r="B277" s="68" t="s">
        <v>60</v>
      </c>
      <c r="C277" s="72">
        <v>97</v>
      </c>
      <c r="D277" s="73" t="s">
        <v>40</v>
      </c>
      <c r="E277" t="s">
        <v>29</v>
      </c>
      <c r="F277" s="78">
        <v>11</v>
      </c>
      <c r="G277" s="79">
        <f t="shared" si="5"/>
        <v>3.3527998927104035</v>
      </c>
      <c r="H277" s="83">
        <v>30.21</v>
      </c>
      <c r="Q277" t="s">
        <v>97</v>
      </c>
    </row>
    <row r="278" spans="1:17" x14ac:dyDescent="0.35">
      <c r="A278" s="68" t="s">
        <v>110</v>
      </c>
      <c r="B278" s="68" t="s">
        <v>60</v>
      </c>
      <c r="C278" s="72">
        <v>98</v>
      </c>
      <c r="D278" s="73" t="s">
        <v>42</v>
      </c>
      <c r="F278" s="78">
        <v>7.9</v>
      </c>
      <c r="G278" s="79">
        <f t="shared" si="5"/>
        <v>2.4079199229465624</v>
      </c>
      <c r="H278" s="83">
        <v>18.57</v>
      </c>
      <c r="I278">
        <v>1</v>
      </c>
      <c r="K278" s="68">
        <v>96</v>
      </c>
      <c r="L278" s="72" t="s">
        <v>19</v>
      </c>
      <c r="N278" t="s">
        <v>19</v>
      </c>
      <c r="Q278" t="s">
        <v>121</v>
      </c>
    </row>
    <row r="279" spans="1:17" x14ac:dyDescent="0.35">
      <c r="A279" s="68" t="s">
        <v>110</v>
      </c>
      <c r="B279" s="68" t="s">
        <v>60</v>
      </c>
      <c r="C279" s="72">
        <v>99</v>
      </c>
      <c r="D279" s="73" t="s">
        <v>40</v>
      </c>
      <c r="E279" t="s">
        <v>29</v>
      </c>
      <c r="F279" s="78">
        <v>8.3000000000000007</v>
      </c>
      <c r="G279" s="79">
        <f t="shared" si="5"/>
        <v>2.5298399190451226</v>
      </c>
      <c r="H279" s="83">
        <v>22.22</v>
      </c>
      <c r="Q279" t="s">
        <v>99</v>
      </c>
    </row>
    <row r="280" spans="1:17" x14ac:dyDescent="0.35">
      <c r="A280" s="68" t="s">
        <v>110</v>
      </c>
      <c r="B280" s="68" t="s">
        <v>60</v>
      </c>
      <c r="C280" s="72">
        <v>100</v>
      </c>
      <c r="D280" s="73" t="s">
        <v>40</v>
      </c>
      <c r="E280" t="s">
        <v>19</v>
      </c>
      <c r="F280" s="78">
        <v>8.5</v>
      </c>
      <c r="G280" s="79">
        <f t="shared" si="5"/>
        <v>2.5907999170944027</v>
      </c>
      <c r="H280" s="83">
        <v>30.59</v>
      </c>
      <c r="Q280" t="s">
        <v>103</v>
      </c>
    </row>
    <row r="281" spans="1:17" x14ac:dyDescent="0.35">
      <c r="A281" s="68" t="s">
        <v>110</v>
      </c>
      <c r="B281" s="68" t="s">
        <v>60</v>
      </c>
      <c r="C281" s="72">
        <v>101</v>
      </c>
      <c r="D281" s="73" t="s">
        <v>42</v>
      </c>
      <c r="F281" s="78">
        <v>10.3</v>
      </c>
      <c r="G281" s="79">
        <f t="shared" si="5"/>
        <v>3.1394398995379236</v>
      </c>
      <c r="H281" s="83">
        <v>38.229999999999997</v>
      </c>
      <c r="I281">
        <v>1</v>
      </c>
      <c r="L281" s="72" t="s">
        <v>19</v>
      </c>
      <c r="N281" t="s">
        <v>19</v>
      </c>
      <c r="Q281" t="s">
        <v>152</v>
      </c>
    </row>
    <row r="282" spans="1:17" x14ac:dyDescent="0.35">
      <c r="A282" s="68" t="s">
        <v>110</v>
      </c>
      <c r="B282" s="68" t="s">
        <v>60</v>
      </c>
      <c r="C282" s="72">
        <v>102</v>
      </c>
      <c r="D282" s="73" t="s">
        <v>40</v>
      </c>
      <c r="E282" t="s">
        <v>71</v>
      </c>
      <c r="F282" s="78">
        <v>6.2</v>
      </c>
      <c r="G282" s="79">
        <f t="shared" si="5"/>
        <v>1.8897599395276821</v>
      </c>
      <c r="H282" s="83">
        <v>20.149999999999999</v>
      </c>
      <c r="Q282" t="s">
        <v>105</v>
      </c>
    </row>
    <row r="283" spans="1:17" x14ac:dyDescent="0.35">
      <c r="A283" s="68" t="s">
        <v>110</v>
      </c>
      <c r="B283" s="68" t="s">
        <v>60</v>
      </c>
      <c r="C283" s="72">
        <v>103</v>
      </c>
      <c r="D283" s="73" t="s">
        <v>42</v>
      </c>
      <c r="F283" s="78">
        <v>5.0999999999999996</v>
      </c>
      <c r="G283" s="79">
        <f t="shared" si="5"/>
        <v>1.5544799502566415</v>
      </c>
      <c r="H283" s="83">
        <v>10.14</v>
      </c>
      <c r="I283">
        <v>1</v>
      </c>
      <c r="K283" s="68">
        <v>149</v>
      </c>
      <c r="L283" s="72" t="s">
        <v>19</v>
      </c>
      <c r="N283" t="s">
        <v>19</v>
      </c>
      <c r="Q283" t="s">
        <v>102</v>
      </c>
    </row>
    <row r="284" spans="1:17" x14ac:dyDescent="0.35">
      <c r="A284" s="68" t="s">
        <v>110</v>
      </c>
      <c r="B284" s="68" t="s">
        <v>60</v>
      </c>
      <c r="C284" s="72">
        <v>104</v>
      </c>
      <c r="D284" s="73" t="s">
        <v>42</v>
      </c>
      <c r="F284" s="78">
        <v>7.3</v>
      </c>
      <c r="G284" s="79">
        <f t="shared" si="5"/>
        <v>2.2250399287987221</v>
      </c>
      <c r="H284" s="83">
        <v>17.87</v>
      </c>
      <c r="I284">
        <v>1</v>
      </c>
      <c r="L284" s="72" t="s">
        <v>19</v>
      </c>
      <c r="N284" t="s">
        <v>19</v>
      </c>
      <c r="Q284" t="s">
        <v>106</v>
      </c>
    </row>
    <row r="285" spans="1:17" x14ac:dyDescent="0.35">
      <c r="A285" s="68" t="s">
        <v>110</v>
      </c>
      <c r="B285" s="68" t="s">
        <v>60</v>
      </c>
      <c r="C285" s="72">
        <v>105</v>
      </c>
      <c r="D285" s="73" t="s">
        <v>40</v>
      </c>
      <c r="E285" t="s">
        <v>29</v>
      </c>
      <c r="F285" s="78">
        <v>7.9</v>
      </c>
      <c r="G285" s="79">
        <f t="shared" si="5"/>
        <v>2.4079199229465624</v>
      </c>
      <c r="H285" s="83">
        <v>32.130000000000003</v>
      </c>
      <c r="Q285" t="s">
        <v>104</v>
      </c>
    </row>
    <row r="286" spans="1:17" x14ac:dyDescent="0.35">
      <c r="A286" s="68" t="s">
        <v>110</v>
      </c>
      <c r="B286" s="68" t="s">
        <v>48</v>
      </c>
      <c r="C286" s="72">
        <v>106</v>
      </c>
      <c r="D286" s="73" t="s">
        <v>40</v>
      </c>
      <c r="F286" s="78">
        <v>15.8</v>
      </c>
      <c r="G286" s="79">
        <f t="shared" si="5"/>
        <v>4.8158398458931249</v>
      </c>
      <c r="H286" s="83">
        <v>56.8</v>
      </c>
    </row>
    <row r="287" spans="1:17" x14ac:dyDescent="0.35">
      <c r="A287" s="68" t="s">
        <v>110</v>
      </c>
      <c r="B287" s="68" t="s">
        <v>48</v>
      </c>
      <c r="C287" s="72">
        <v>107</v>
      </c>
      <c r="D287" s="73" t="s">
        <v>40</v>
      </c>
      <c r="F287" s="78">
        <v>14.5</v>
      </c>
      <c r="G287" s="79">
        <f t="shared" si="5"/>
        <v>4.4195998585728047</v>
      </c>
      <c r="H287" s="83">
        <v>12.98</v>
      </c>
    </row>
    <row r="288" spans="1:17" x14ac:dyDescent="0.35">
      <c r="A288" s="68" t="s">
        <v>110</v>
      </c>
      <c r="B288" s="68" t="s">
        <v>48</v>
      </c>
      <c r="C288" s="72">
        <v>108</v>
      </c>
      <c r="D288" s="73" t="s">
        <v>40</v>
      </c>
      <c r="F288" s="78">
        <v>13.3</v>
      </c>
      <c r="G288" s="79">
        <f t="shared" si="5"/>
        <v>4.0538398702771241</v>
      </c>
      <c r="H288" s="83">
        <v>62.26</v>
      </c>
    </row>
    <row r="289" spans="1:17" x14ac:dyDescent="0.35">
      <c r="A289" s="68" t="s">
        <v>110</v>
      </c>
      <c r="B289" s="68" t="s">
        <v>48</v>
      </c>
      <c r="C289" s="72">
        <v>109</v>
      </c>
      <c r="D289" s="73" t="s">
        <v>40</v>
      </c>
      <c r="F289" s="78">
        <v>11.2</v>
      </c>
      <c r="G289" s="79">
        <f t="shared" si="5"/>
        <v>3.4137598907596831</v>
      </c>
      <c r="H289" s="83">
        <v>50.43</v>
      </c>
    </row>
    <row r="290" spans="1:17" x14ac:dyDescent="0.35">
      <c r="A290" s="68" t="s">
        <v>110</v>
      </c>
      <c r="B290" s="68" t="s">
        <v>48</v>
      </c>
      <c r="C290" s="72">
        <v>110</v>
      </c>
      <c r="D290" s="73" t="s">
        <v>40</v>
      </c>
      <c r="F290" s="78">
        <v>9</v>
      </c>
      <c r="G290" s="79">
        <f t="shared" si="5"/>
        <v>2.743199912217603</v>
      </c>
      <c r="H290" s="83">
        <v>29.02</v>
      </c>
    </row>
    <row r="291" spans="1:17" x14ac:dyDescent="0.35">
      <c r="A291" s="68" t="s">
        <v>110</v>
      </c>
      <c r="B291" s="68" t="s">
        <v>48</v>
      </c>
      <c r="C291" s="72">
        <v>111</v>
      </c>
      <c r="D291" s="73" t="s">
        <v>40</v>
      </c>
      <c r="F291" s="78">
        <v>10.199999999999999</v>
      </c>
      <c r="G291" s="79">
        <f t="shared" si="5"/>
        <v>3.1089599005132831</v>
      </c>
      <c r="H291" s="83">
        <v>44.75</v>
      </c>
    </row>
    <row r="292" spans="1:17" x14ac:dyDescent="0.35">
      <c r="A292" s="68" t="s">
        <v>110</v>
      </c>
      <c r="B292" s="68" t="s">
        <v>48</v>
      </c>
      <c r="C292" s="72">
        <v>112</v>
      </c>
      <c r="D292" s="73" t="s">
        <v>40</v>
      </c>
      <c r="F292" s="78">
        <v>10.9</v>
      </c>
      <c r="G292" s="79">
        <f t="shared" si="5"/>
        <v>3.3223198936857634</v>
      </c>
      <c r="H292" s="83">
        <v>44.64</v>
      </c>
    </row>
    <row r="293" spans="1:17" x14ac:dyDescent="0.35">
      <c r="A293" s="68" t="s">
        <v>110</v>
      </c>
      <c r="B293" s="68" t="s">
        <v>48</v>
      </c>
      <c r="C293" s="72">
        <v>113</v>
      </c>
      <c r="D293" s="73" t="s">
        <v>40</v>
      </c>
      <c r="F293" s="78">
        <v>8.6999999999999993</v>
      </c>
      <c r="G293" s="79">
        <f t="shared" si="5"/>
        <v>2.6517599151436824</v>
      </c>
      <c r="H293" s="83">
        <v>36.94</v>
      </c>
    </row>
    <row r="294" spans="1:17" x14ac:dyDescent="0.35">
      <c r="A294" s="68" t="s">
        <v>110</v>
      </c>
      <c r="B294" s="68" t="s">
        <v>48</v>
      </c>
      <c r="C294" s="72">
        <v>114</v>
      </c>
      <c r="D294" s="73" t="s">
        <v>40</v>
      </c>
      <c r="F294" s="78">
        <v>11.8</v>
      </c>
      <c r="G294" s="79">
        <f t="shared" si="5"/>
        <v>3.5966398849075238</v>
      </c>
      <c r="H294" s="83">
        <v>39.880000000000003</v>
      </c>
    </row>
    <row r="295" spans="1:17" x14ac:dyDescent="0.35">
      <c r="A295" s="68" t="s">
        <v>110</v>
      </c>
      <c r="B295" s="68" t="s">
        <v>48</v>
      </c>
      <c r="C295" s="72">
        <v>115</v>
      </c>
      <c r="D295" s="73" t="s">
        <v>40</v>
      </c>
      <c r="F295" s="78">
        <v>7.9</v>
      </c>
      <c r="G295" s="79">
        <f t="shared" si="5"/>
        <v>2.4079199229465624</v>
      </c>
      <c r="H295" s="83">
        <v>28.68</v>
      </c>
    </row>
    <row r="296" spans="1:17" x14ac:dyDescent="0.35">
      <c r="A296" s="68" t="s">
        <v>110</v>
      </c>
      <c r="B296" s="68" t="s">
        <v>48</v>
      </c>
      <c r="C296" s="72">
        <v>116</v>
      </c>
      <c r="D296" s="73" t="s">
        <v>40</v>
      </c>
      <c r="F296" s="78">
        <v>9.4</v>
      </c>
      <c r="G296" s="79">
        <f t="shared" si="5"/>
        <v>2.8651199083161631</v>
      </c>
      <c r="H296" s="83">
        <v>35.56</v>
      </c>
    </row>
    <row r="297" spans="1:17" x14ac:dyDescent="0.35">
      <c r="A297" s="68" t="s">
        <v>110</v>
      </c>
      <c r="B297" s="68" t="s">
        <v>48</v>
      </c>
      <c r="C297" s="72">
        <v>117</v>
      </c>
      <c r="D297" s="73" t="s">
        <v>40</v>
      </c>
      <c r="F297" s="78">
        <v>10.5</v>
      </c>
      <c r="G297" s="79">
        <f t="shared" si="5"/>
        <v>3.2003998975872032</v>
      </c>
      <c r="H297" s="83">
        <v>34.840000000000003</v>
      </c>
    </row>
    <row r="298" spans="1:17" x14ac:dyDescent="0.35">
      <c r="A298" s="68" t="s">
        <v>110</v>
      </c>
      <c r="B298" s="68" t="s">
        <v>48</v>
      </c>
      <c r="C298" s="72">
        <v>118</v>
      </c>
      <c r="D298" s="73" t="s">
        <v>40</v>
      </c>
      <c r="F298" s="78">
        <v>12</v>
      </c>
      <c r="G298" s="79">
        <f t="shared" si="5"/>
        <v>3.6575998829568039</v>
      </c>
      <c r="H298" s="83">
        <v>45.74</v>
      </c>
    </row>
    <row r="299" spans="1:17" x14ac:dyDescent="0.35">
      <c r="A299" s="68" t="s">
        <v>110</v>
      </c>
      <c r="B299" s="68" t="s">
        <v>48</v>
      </c>
      <c r="C299" s="72">
        <v>119</v>
      </c>
      <c r="D299" s="73" t="s">
        <v>40</v>
      </c>
      <c r="F299" s="78">
        <v>9.8000000000000007</v>
      </c>
      <c r="G299" s="79">
        <f t="shared" si="5"/>
        <v>2.9870399044147233</v>
      </c>
      <c r="H299" s="83">
        <v>46.87</v>
      </c>
      <c r="Q299" t="s">
        <v>123</v>
      </c>
    </row>
    <row r="300" spans="1:17" x14ac:dyDescent="0.35">
      <c r="A300" s="68" t="s">
        <v>110</v>
      </c>
      <c r="B300" s="68" t="s">
        <v>48</v>
      </c>
      <c r="C300" s="72">
        <v>120</v>
      </c>
      <c r="D300" s="73" t="s">
        <v>40</v>
      </c>
      <c r="F300" s="78">
        <v>10.3</v>
      </c>
      <c r="G300" s="79">
        <f t="shared" si="5"/>
        <v>3.1394398995379236</v>
      </c>
      <c r="H300" s="83">
        <v>36.299999999999997</v>
      </c>
    </row>
    <row r="301" spans="1:17" x14ac:dyDescent="0.35">
      <c r="A301" s="68" t="s">
        <v>110</v>
      </c>
      <c r="B301" s="68" t="s">
        <v>48</v>
      </c>
      <c r="C301" s="72">
        <v>121</v>
      </c>
      <c r="D301" s="73" t="s">
        <v>40</v>
      </c>
      <c r="F301" s="78">
        <v>8.9</v>
      </c>
      <c r="G301" s="79">
        <f t="shared" si="5"/>
        <v>2.7127199131929629</v>
      </c>
      <c r="H301" s="83">
        <v>37.700000000000003</v>
      </c>
    </row>
    <row r="302" spans="1:17" x14ac:dyDescent="0.35">
      <c r="A302" s="68" t="s">
        <v>110</v>
      </c>
      <c r="B302" s="68" t="s">
        <v>48</v>
      </c>
      <c r="C302" s="72">
        <v>122</v>
      </c>
      <c r="D302" s="73" t="s">
        <v>40</v>
      </c>
      <c r="F302" s="78">
        <v>7.5</v>
      </c>
      <c r="G302" s="79">
        <f t="shared" si="5"/>
        <v>2.2859999268480022</v>
      </c>
      <c r="H302" s="83">
        <v>30.4</v>
      </c>
    </row>
    <row r="303" spans="1:17" x14ac:dyDescent="0.35">
      <c r="A303" s="68" t="s">
        <v>110</v>
      </c>
      <c r="B303" s="68" t="s">
        <v>48</v>
      </c>
      <c r="C303" s="72">
        <v>123</v>
      </c>
      <c r="D303" s="73" t="s">
        <v>40</v>
      </c>
      <c r="F303" s="78">
        <v>6.6</v>
      </c>
      <c r="G303" s="79">
        <f t="shared" si="5"/>
        <v>2.0116799356262418</v>
      </c>
      <c r="H303" s="83">
        <v>20.68</v>
      </c>
    </row>
    <row r="304" spans="1:17" x14ac:dyDescent="0.35">
      <c r="A304" s="68" t="s">
        <v>110</v>
      </c>
      <c r="B304" s="68" t="s">
        <v>48</v>
      </c>
      <c r="C304" s="72">
        <v>124</v>
      </c>
      <c r="D304" s="73" t="s">
        <v>40</v>
      </c>
      <c r="F304" s="78">
        <v>8.6</v>
      </c>
      <c r="G304" s="79">
        <f t="shared" si="5"/>
        <v>2.6212799161190428</v>
      </c>
      <c r="H304" s="83">
        <v>37.33</v>
      </c>
      <c r="Q304" t="s">
        <v>122</v>
      </c>
    </row>
    <row r="305" spans="1:17" s="1" customFormat="1" x14ac:dyDescent="0.35">
      <c r="A305" s="69" t="s">
        <v>110</v>
      </c>
      <c r="B305" s="69" t="s">
        <v>48</v>
      </c>
      <c r="C305" s="74">
        <v>125</v>
      </c>
      <c r="D305" s="75" t="s">
        <v>40</v>
      </c>
      <c r="F305" s="80">
        <v>6.1</v>
      </c>
      <c r="G305" s="81">
        <f t="shared" si="5"/>
        <v>1.8592799405030418</v>
      </c>
      <c r="H305" s="84">
        <v>12.33</v>
      </c>
      <c r="J305" s="66"/>
      <c r="K305" s="69"/>
      <c r="L305" s="74"/>
      <c r="O305" s="66"/>
      <c r="P305" s="75"/>
    </row>
    <row r="306" spans="1:17" x14ac:dyDescent="0.35">
      <c r="A306" s="68" t="s">
        <v>126</v>
      </c>
      <c r="B306" s="68" t="s">
        <v>26</v>
      </c>
      <c r="C306" s="72">
        <v>1</v>
      </c>
      <c r="D306" s="73" t="s">
        <v>42</v>
      </c>
      <c r="F306" s="78">
        <v>5.0999999999999996</v>
      </c>
      <c r="G306" s="79">
        <f t="shared" si="5"/>
        <v>1.5544799502566415</v>
      </c>
      <c r="H306" s="83">
        <v>18.190000000000001</v>
      </c>
      <c r="I306">
        <v>3</v>
      </c>
      <c r="J306" s="64">
        <v>0.8</v>
      </c>
      <c r="L306" s="72" t="s">
        <v>20</v>
      </c>
      <c r="M306" t="s">
        <v>22</v>
      </c>
      <c r="N306" t="s">
        <v>20</v>
      </c>
      <c r="O306" s="64">
        <v>0.8</v>
      </c>
      <c r="P306" s="73">
        <v>0</v>
      </c>
      <c r="Q306" t="s">
        <v>128</v>
      </c>
    </row>
    <row r="307" spans="1:17" x14ac:dyDescent="0.35">
      <c r="A307" s="68" t="s">
        <v>126</v>
      </c>
      <c r="B307" s="68" t="s">
        <v>26</v>
      </c>
      <c r="C307" s="72">
        <v>1</v>
      </c>
      <c r="G307" s="79" t="str">
        <f t="shared" si="5"/>
        <v xml:space="preserve"> </v>
      </c>
      <c r="J307" s="64">
        <v>0.66</v>
      </c>
      <c r="L307" s="72" t="s">
        <v>20</v>
      </c>
      <c r="M307" t="s">
        <v>22</v>
      </c>
      <c r="N307" t="s">
        <v>20</v>
      </c>
      <c r="O307" s="64">
        <v>0.8</v>
      </c>
      <c r="P307" s="73">
        <v>0</v>
      </c>
    </row>
    <row r="308" spans="1:17" x14ac:dyDescent="0.35">
      <c r="A308" s="68" t="s">
        <v>126</v>
      </c>
      <c r="B308" s="68" t="s">
        <v>26</v>
      </c>
      <c r="C308" s="72">
        <v>1</v>
      </c>
      <c r="G308" s="79" t="str">
        <f t="shared" si="5"/>
        <v xml:space="preserve"> </v>
      </c>
      <c r="L308" s="72" t="s">
        <v>20</v>
      </c>
      <c r="M308" t="s">
        <v>22</v>
      </c>
      <c r="N308" t="s">
        <v>20</v>
      </c>
      <c r="O308" s="64">
        <v>0.8</v>
      </c>
      <c r="P308" s="73">
        <v>0</v>
      </c>
    </row>
    <row r="309" spans="1:17" x14ac:dyDescent="0.35">
      <c r="A309" s="68" t="s">
        <v>126</v>
      </c>
      <c r="B309" s="68" t="s">
        <v>26</v>
      </c>
      <c r="C309" s="72">
        <v>1</v>
      </c>
      <c r="G309" s="79" t="str">
        <f t="shared" si="5"/>
        <v xml:space="preserve"> </v>
      </c>
      <c r="L309" s="72" t="s">
        <v>20</v>
      </c>
      <c r="M309" t="s">
        <v>22</v>
      </c>
      <c r="N309" t="s">
        <v>20</v>
      </c>
      <c r="O309" s="64">
        <v>0.6</v>
      </c>
      <c r="P309" s="73">
        <v>0</v>
      </c>
    </row>
    <row r="310" spans="1:17" x14ac:dyDescent="0.35">
      <c r="A310" s="68" t="s">
        <v>126</v>
      </c>
      <c r="B310" s="68" t="s">
        <v>26</v>
      </c>
      <c r="C310" s="72">
        <v>2</v>
      </c>
      <c r="D310" s="73" t="s">
        <v>42</v>
      </c>
      <c r="F310" s="78">
        <v>8.3000000000000007</v>
      </c>
      <c r="G310" s="79">
        <f t="shared" si="5"/>
        <v>2.5298399190451226</v>
      </c>
      <c r="H310" s="83">
        <v>31.2</v>
      </c>
      <c r="I310">
        <v>1</v>
      </c>
      <c r="L310" s="72" t="s">
        <v>20</v>
      </c>
      <c r="M310" t="s">
        <v>22</v>
      </c>
      <c r="N310" t="s">
        <v>19</v>
      </c>
      <c r="O310" s="64">
        <v>1.03</v>
      </c>
      <c r="P310" s="73">
        <v>0</v>
      </c>
    </row>
    <row r="311" spans="1:17" x14ac:dyDescent="0.35">
      <c r="A311" s="68" t="s">
        <v>126</v>
      </c>
      <c r="B311" s="68" t="s">
        <v>26</v>
      </c>
      <c r="C311" s="72">
        <v>3</v>
      </c>
      <c r="D311" s="73" t="s">
        <v>42</v>
      </c>
      <c r="F311" s="78">
        <v>11.9</v>
      </c>
      <c r="G311" s="79">
        <f t="shared" si="5"/>
        <v>3.6271198839321639</v>
      </c>
      <c r="H311" s="83">
        <v>63.77</v>
      </c>
      <c r="I311">
        <v>1</v>
      </c>
      <c r="K311" s="68">
        <v>30</v>
      </c>
      <c r="L311" s="72" t="s">
        <v>20</v>
      </c>
      <c r="M311" t="s">
        <v>22</v>
      </c>
      <c r="N311" t="s">
        <v>19</v>
      </c>
      <c r="O311" s="64">
        <v>1.83</v>
      </c>
      <c r="P311" s="73">
        <v>0</v>
      </c>
    </row>
    <row r="312" spans="1:17" x14ac:dyDescent="0.35">
      <c r="A312" s="68" t="s">
        <v>126</v>
      </c>
      <c r="B312" s="68" t="s">
        <v>26</v>
      </c>
      <c r="C312" s="72">
        <v>4</v>
      </c>
      <c r="D312" s="73" t="s">
        <v>42</v>
      </c>
      <c r="F312" s="78">
        <v>8.6</v>
      </c>
      <c r="G312" s="79">
        <f t="shared" si="5"/>
        <v>2.6212799161190428</v>
      </c>
      <c r="H312" s="83">
        <v>39.049999999999997</v>
      </c>
      <c r="I312">
        <v>1</v>
      </c>
      <c r="L312" s="72" t="s">
        <v>20</v>
      </c>
      <c r="M312" t="s">
        <v>22</v>
      </c>
      <c r="N312" t="s">
        <v>19</v>
      </c>
      <c r="O312" s="64">
        <v>1.86</v>
      </c>
      <c r="P312" s="73">
        <v>0</v>
      </c>
    </row>
    <row r="313" spans="1:17" x14ac:dyDescent="0.35">
      <c r="A313" s="68" t="s">
        <v>126</v>
      </c>
      <c r="B313" s="68" t="s">
        <v>26</v>
      </c>
      <c r="C313" s="72">
        <v>5</v>
      </c>
      <c r="D313" s="73" t="s">
        <v>42</v>
      </c>
      <c r="F313" s="78">
        <v>12.8</v>
      </c>
      <c r="G313" s="79">
        <f t="shared" si="5"/>
        <v>3.9014398751539243</v>
      </c>
      <c r="H313" s="83">
        <v>73.39</v>
      </c>
      <c r="I313">
        <v>1</v>
      </c>
      <c r="L313" s="72" t="s">
        <v>19</v>
      </c>
      <c r="N313" t="s">
        <v>19</v>
      </c>
    </row>
    <row r="314" spans="1:17" x14ac:dyDescent="0.35">
      <c r="A314" s="68" t="s">
        <v>126</v>
      </c>
      <c r="B314" s="68" t="s">
        <v>26</v>
      </c>
      <c r="C314" s="72">
        <v>6</v>
      </c>
      <c r="D314" s="73" t="s">
        <v>42</v>
      </c>
      <c r="F314" s="78">
        <v>9</v>
      </c>
      <c r="G314" s="79">
        <f t="shared" si="5"/>
        <v>2.743199912217603</v>
      </c>
      <c r="H314" s="83">
        <v>34.42</v>
      </c>
      <c r="I314">
        <v>1</v>
      </c>
      <c r="K314" s="68">
        <v>293</v>
      </c>
      <c r="L314" s="72" t="s">
        <v>20</v>
      </c>
      <c r="M314" t="s">
        <v>21</v>
      </c>
      <c r="N314" t="s">
        <v>19</v>
      </c>
      <c r="O314" s="64">
        <v>0.74</v>
      </c>
      <c r="P314" s="73">
        <v>63</v>
      </c>
    </row>
    <row r="315" spans="1:17" x14ac:dyDescent="0.35">
      <c r="A315" s="68" t="s">
        <v>126</v>
      </c>
      <c r="B315" s="68" t="s">
        <v>26</v>
      </c>
      <c r="C315" s="72">
        <v>6</v>
      </c>
      <c r="G315" s="79" t="str">
        <f t="shared" si="5"/>
        <v xml:space="preserve"> </v>
      </c>
      <c r="L315" s="72" t="s">
        <v>20</v>
      </c>
      <c r="M315" t="s">
        <v>30</v>
      </c>
      <c r="N315" t="s">
        <v>19</v>
      </c>
      <c r="O315" s="64">
        <v>0.7</v>
      </c>
      <c r="P315" s="73">
        <v>0</v>
      </c>
    </row>
    <row r="316" spans="1:17" x14ac:dyDescent="0.35">
      <c r="A316" s="68" t="s">
        <v>126</v>
      </c>
      <c r="B316" s="68" t="s">
        <v>26</v>
      </c>
      <c r="C316" s="72">
        <v>6</v>
      </c>
      <c r="G316" s="79" t="str">
        <f t="shared" si="5"/>
        <v xml:space="preserve"> </v>
      </c>
      <c r="L316" s="72" t="s">
        <v>20</v>
      </c>
      <c r="M316" t="s">
        <v>30</v>
      </c>
      <c r="N316" t="s">
        <v>19</v>
      </c>
      <c r="O316" s="64">
        <v>0.95</v>
      </c>
      <c r="P316" s="73">
        <v>0</v>
      </c>
    </row>
    <row r="317" spans="1:17" x14ac:dyDescent="0.35">
      <c r="A317" s="68" t="s">
        <v>126</v>
      </c>
      <c r="B317" s="68" t="s">
        <v>26</v>
      </c>
      <c r="C317" s="72">
        <v>7</v>
      </c>
      <c r="D317" s="73" t="s">
        <v>42</v>
      </c>
      <c r="F317" s="78">
        <v>8.1</v>
      </c>
      <c r="G317" s="79">
        <f t="shared" si="5"/>
        <v>2.4688799209958425</v>
      </c>
      <c r="H317" s="83">
        <v>29.87</v>
      </c>
      <c r="I317">
        <v>4</v>
      </c>
      <c r="J317" s="64">
        <v>0.82</v>
      </c>
      <c r="L317" s="72" t="s">
        <v>20</v>
      </c>
      <c r="M317" t="s">
        <v>30</v>
      </c>
      <c r="N317" t="s">
        <v>19</v>
      </c>
      <c r="O317" s="64">
        <v>0.9</v>
      </c>
      <c r="P317" s="73">
        <v>0</v>
      </c>
    </row>
    <row r="318" spans="1:17" x14ac:dyDescent="0.35">
      <c r="A318" s="68" t="s">
        <v>126</v>
      </c>
      <c r="B318" s="68" t="s">
        <v>26</v>
      </c>
      <c r="C318" s="72">
        <v>7</v>
      </c>
      <c r="G318" s="79" t="str">
        <f t="shared" si="5"/>
        <v xml:space="preserve"> </v>
      </c>
      <c r="J318" s="64">
        <v>1.1599999999999999</v>
      </c>
    </row>
    <row r="319" spans="1:17" x14ac:dyDescent="0.35">
      <c r="A319" s="68" t="s">
        <v>126</v>
      </c>
      <c r="B319" s="68" t="s">
        <v>26</v>
      </c>
      <c r="C319" s="72">
        <v>7</v>
      </c>
      <c r="G319" s="79" t="str">
        <f t="shared" si="5"/>
        <v xml:space="preserve"> </v>
      </c>
      <c r="J319" s="64">
        <v>1.25</v>
      </c>
    </row>
    <row r="320" spans="1:17" x14ac:dyDescent="0.35">
      <c r="A320" s="68" t="s">
        <v>126</v>
      </c>
      <c r="B320" s="68" t="s">
        <v>26</v>
      </c>
      <c r="C320" s="72">
        <v>8</v>
      </c>
      <c r="D320" s="73" t="s">
        <v>42</v>
      </c>
      <c r="F320" s="78">
        <v>10.3</v>
      </c>
      <c r="G320" s="79">
        <f t="shared" si="5"/>
        <v>3.1394398995379236</v>
      </c>
      <c r="H320" s="83">
        <v>40.17</v>
      </c>
      <c r="I320">
        <v>2</v>
      </c>
      <c r="J320" s="64">
        <v>0.7</v>
      </c>
      <c r="L320" s="72" t="s">
        <v>20</v>
      </c>
      <c r="M320" t="s">
        <v>30</v>
      </c>
      <c r="N320" t="s">
        <v>19</v>
      </c>
      <c r="O320" s="64">
        <v>0.68</v>
      </c>
      <c r="P320" s="73">
        <v>0</v>
      </c>
    </row>
    <row r="321" spans="1:17" x14ac:dyDescent="0.35">
      <c r="A321" s="68" t="s">
        <v>126</v>
      </c>
      <c r="B321" s="68" t="s">
        <v>26</v>
      </c>
      <c r="C321" s="72">
        <v>8</v>
      </c>
      <c r="G321" s="79" t="str">
        <f t="shared" si="5"/>
        <v xml:space="preserve"> </v>
      </c>
      <c r="L321" s="72" t="s">
        <v>20</v>
      </c>
      <c r="M321" t="s">
        <v>30</v>
      </c>
      <c r="N321" t="s">
        <v>19</v>
      </c>
      <c r="O321" s="64">
        <v>0.91</v>
      </c>
      <c r="P321" s="73">
        <v>0</v>
      </c>
    </row>
    <row r="322" spans="1:17" x14ac:dyDescent="0.35">
      <c r="A322" s="68" t="s">
        <v>126</v>
      </c>
      <c r="B322" s="68" t="s">
        <v>26</v>
      </c>
      <c r="C322" s="72">
        <v>8</v>
      </c>
      <c r="G322" s="79" t="str">
        <f t="shared" si="5"/>
        <v xml:space="preserve"> </v>
      </c>
      <c r="L322" s="72" t="s">
        <v>20</v>
      </c>
      <c r="M322" t="s">
        <v>21</v>
      </c>
      <c r="N322" t="s">
        <v>19</v>
      </c>
      <c r="O322" s="64">
        <v>0.68</v>
      </c>
      <c r="P322" s="73">
        <v>64</v>
      </c>
    </row>
    <row r="323" spans="1:17" x14ac:dyDescent="0.35">
      <c r="A323" s="68" t="s">
        <v>126</v>
      </c>
      <c r="B323" s="68" t="s">
        <v>26</v>
      </c>
      <c r="C323" s="72">
        <v>9</v>
      </c>
      <c r="D323" s="73" t="s">
        <v>42</v>
      </c>
      <c r="F323" s="78">
        <v>9.1</v>
      </c>
      <c r="G323" s="79">
        <f t="shared" si="5"/>
        <v>2.7736799112422426</v>
      </c>
      <c r="H323" s="83">
        <v>37.86</v>
      </c>
      <c r="I323">
        <v>1</v>
      </c>
      <c r="L323" s="72" t="s">
        <v>20</v>
      </c>
      <c r="M323" t="s">
        <v>30</v>
      </c>
      <c r="N323" t="s">
        <v>19</v>
      </c>
      <c r="O323" s="64">
        <v>0.53</v>
      </c>
      <c r="P323" s="73">
        <v>0</v>
      </c>
    </row>
    <row r="324" spans="1:17" x14ac:dyDescent="0.35">
      <c r="A324" s="68" t="s">
        <v>126</v>
      </c>
      <c r="B324" s="68" t="s">
        <v>26</v>
      </c>
      <c r="C324" s="72">
        <v>9</v>
      </c>
      <c r="G324" s="79" t="str">
        <f t="shared" si="5"/>
        <v xml:space="preserve"> </v>
      </c>
      <c r="L324" s="72" t="s">
        <v>20</v>
      </c>
      <c r="M324" t="s">
        <v>30</v>
      </c>
      <c r="N324" t="s">
        <v>19</v>
      </c>
      <c r="O324" s="64">
        <v>0.67</v>
      </c>
      <c r="P324" s="73">
        <v>0</v>
      </c>
    </row>
    <row r="325" spans="1:17" x14ac:dyDescent="0.35">
      <c r="A325" s="68" t="s">
        <v>126</v>
      </c>
      <c r="B325" s="68" t="s">
        <v>26</v>
      </c>
      <c r="C325" s="72">
        <v>10</v>
      </c>
      <c r="D325" s="73" t="s">
        <v>42</v>
      </c>
      <c r="F325" s="78">
        <v>6</v>
      </c>
      <c r="G325" s="79">
        <f t="shared" si="5"/>
        <v>1.828799941478402</v>
      </c>
      <c r="H325" s="83">
        <v>10.039999999999999</v>
      </c>
      <c r="I325">
        <v>1</v>
      </c>
      <c r="L325" s="72" t="s">
        <v>20</v>
      </c>
      <c r="M325" t="s">
        <v>22</v>
      </c>
      <c r="N325" t="s">
        <v>19</v>
      </c>
      <c r="O325" s="64">
        <v>0.98</v>
      </c>
      <c r="P325" s="73">
        <v>0</v>
      </c>
    </row>
    <row r="326" spans="1:17" x14ac:dyDescent="0.35">
      <c r="A326" s="68" t="s">
        <v>126</v>
      </c>
      <c r="B326" s="68" t="s">
        <v>26</v>
      </c>
      <c r="C326" s="72">
        <v>10</v>
      </c>
      <c r="G326" s="79" t="str">
        <f t="shared" ref="G326:G389" si="6">IF(F326 = 0, " ", IF(F326&lt;2, F326/1, F326/3.28084))</f>
        <v xml:space="preserve"> </v>
      </c>
      <c r="L326" s="72" t="s">
        <v>20</v>
      </c>
      <c r="M326" t="s">
        <v>22</v>
      </c>
      <c r="N326" t="s">
        <v>19</v>
      </c>
      <c r="O326" s="64">
        <v>0.81</v>
      </c>
      <c r="P326" s="73">
        <v>0</v>
      </c>
    </row>
    <row r="327" spans="1:17" x14ac:dyDescent="0.35">
      <c r="A327" s="68" t="s">
        <v>126</v>
      </c>
      <c r="B327" s="68" t="s">
        <v>26</v>
      </c>
      <c r="C327" s="72">
        <v>10</v>
      </c>
      <c r="G327" s="79" t="str">
        <f t="shared" si="6"/>
        <v xml:space="preserve"> </v>
      </c>
      <c r="L327" s="72" t="s">
        <v>20</v>
      </c>
      <c r="M327" t="s">
        <v>22</v>
      </c>
      <c r="N327" t="s">
        <v>19</v>
      </c>
      <c r="O327" s="64">
        <v>0.63</v>
      </c>
      <c r="P327" s="73">
        <v>0</v>
      </c>
    </row>
    <row r="328" spans="1:17" x14ac:dyDescent="0.35">
      <c r="A328" s="68" t="s">
        <v>126</v>
      </c>
      <c r="B328" s="68" t="s">
        <v>26</v>
      </c>
      <c r="C328" s="72">
        <v>10</v>
      </c>
      <c r="G328" s="79" t="str">
        <f t="shared" si="6"/>
        <v xml:space="preserve"> </v>
      </c>
      <c r="L328" s="72" t="s">
        <v>20</v>
      </c>
      <c r="M328" t="s">
        <v>30</v>
      </c>
      <c r="N328" t="s">
        <v>19</v>
      </c>
      <c r="O328" s="64">
        <v>0.64</v>
      </c>
      <c r="P328" s="73">
        <v>0</v>
      </c>
    </row>
    <row r="329" spans="1:17" x14ac:dyDescent="0.35">
      <c r="A329" s="68" t="s">
        <v>126</v>
      </c>
      <c r="B329" s="68" t="s">
        <v>26</v>
      </c>
      <c r="C329" s="72">
        <v>10</v>
      </c>
      <c r="G329" s="79" t="str">
        <f t="shared" si="6"/>
        <v xml:space="preserve"> </v>
      </c>
      <c r="L329" s="72" t="s">
        <v>20</v>
      </c>
      <c r="M329" t="s">
        <v>30</v>
      </c>
      <c r="N329" t="s">
        <v>19</v>
      </c>
      <c r="O329" s="64">
        <v>0.5</v>
      </c>
      <c r="P329" s="73">
        <v>0</v>
      </c>
    </row>
    <row r="330" spans="1:17" x14ac:dyDescent="0.35">
      <c r="A330" s="68" t="s">
        <v>126</v>
      </c>
      <c r="B330" s="68" t="s">
        <v>26</v>
      </c>
      <c r="C330" s="72">
        <v>10</v>
      </c>
      <c r="G330" s="79" t="str">
        <f t="shared" si="6"/>
        <v xml:space="preserve"> </v>
      </c>
      <c r="L330" s="72" t="s">
        <v>20</v>
      </c>
      <c r="M330" t="s">
        <v>21</v>
      </c>
      <c r="N330" t="s">
        <v>19</v>
      </c>
      <c r="O330" s="64">
        <v>7.0000000000000007E-2</v>
      </c>
      <c r="P330" s="73">
        <v>225</v>
      </c>
    </row>
    <row r="331" spans="1:17" x14ac:dyDescent="0.35">
      <c r="A331" s="68" t="s">
        <v>126</v>
      </c>
      <c r="B331" s="68" t="s">
        <v>26</v>
      </c>
      <c r="C331" s="72">
        <v>11</v>
      </c>
      <c r="D331" s="73" t="s">
        <v>42</v>
      </c>
      <c r="F331" s="78">
        <v>0.76</v>
      </c>
      <c r="G331" s="79">
        <f t="shared" si="6"/>
        <v>0.76</v>
      </c>
      <c r="H331" s="83">
        <v>9.94</v>
      </c>
      <c r="I331">
        <v>2</v>
      </c>
      <c r="J331" s="64">
        <v>0.06</v>
      </c>
      <c r="L331" s="72" t="s">
        <v>19</v>
      </c>
      <c r="N331" t="s">
        <v>19</v>
      </c>
      <c r="Q331" t="s">
        <v>129</v>
      </c>
    </row>
    <row r="332" spans="1:17" x14ac:dyDescent="0.35">
      <c r="A332" s="68" t="s">
        <v>126</v>
      </c>
      <c r="B332" s="68" t="s">
        <v>26</v>
      </c>
      <c r="C332" s="72">
        <v>12</v>
      </c>
      <c r="D332" s="73" t="s">
        <v>42</v>
      </c>
      <c r="F332" s="78">
        <v>8.6</v>
      </c>
      <c r="G332" s="79">
        <f t="shared" si="6"/>
        <v>2.6212799161190428</v>
      </c>
      <c r="H332" s="83">
        <v>35.909999999999997</v>
      </c>
      <c r="I332">
        <v>1</v>
      </c>
      <c r="L332" s="72" t="s">
        <v>20</v>
      </c>
      <c r="M332" t="s">
        <v>65</v>
      </c>
      <c r="N332" t="s">
        <v>20</v>
      </c>
      <c r="O332" s="64">
        <v>0.56000000000000005</v>
      </c>
      <c r="P332" s="73">
        <v>168</v>
      </c>
      <c r="Q332" t="s">
        <v>130</v>
      </c>
    </row>
    <row r="333" spans="1:17" x14ac:dyDescent="0.35">
      <c r="A333" s="68" t="s">
        <v>126</v>
      </c>
      <c r="B333" s="68" t="s">
        <v>26</v>
      </c>
      <c r="C333" s="72">
        <v>12</v>
      </c>
      <c r="G333" s="79" t="str">
        <f t="shared" si="6"/>
        <v xml:space="preserve"> </v>
      </c>
      <c r="L333" s="72" t="s">
        <v>20</v>
      </c>
      <c r="M333" t="s">
        <v>30</v>
      </c>
      <c r="N333" t="s">
        <v>19</v>
      </c>
      <c r="O333" s="64">
        <v>0.63</v>
      </c>
      <c r="P333" s="73">
        <v>0</v>
      </c>
    </row>
    <row r="334" spans="1:17" x14ac:dyDescent="0.35">
      <c r="A334" s="68" t="s">
        <v>126</v>
      </c>
      <c r="B334" s="68" t="s">
        <v>26</v>
      </c>
      <c r="C334" s="72">
        <v>12</v>
      </c>
      <c r="G334" s="79" t="str">
        <f t="shared" si="6"/>
        <v xml:space="preserve"> </v>
      </c>
      <c r="L334" s="72" t="s">
        <v>20</v>
      </c>
      <c r="M334" t="s">
        <v>22</v>
      </c>
      <c r="N334" t="s">
        <v>19</v>
      </c>
      <c r="O334" s="64">
        <v>0.63</v>
      </c>
      <c r="P334" s="73">
        <v>0</v>
      </c>
    </row>
    <row r="335" spans="1:17" x14ac:dyDescent="0.35">
      <c r="A335" s="68" t="s">
        <v>126</v>
      </c>
      <c r="B335" s="68" t="s">
        <v>26</v>
      </c>
      <c r="C335" s="72">
        <v>13</v>
      </c>
      <c r="D335" s="73" t="s">
        <v>42</v>
      </c>
      <c r="F335" s="78">
        <v>8.8000000000000007</v>
      </c>
      <c r="G335" s="79">
        <f t="shared" si="6"/>
        <v>2.6822399141683229</v>
      </c>
      <c r="H335" s="83">
        <v>33.72</v>
      </c>
      <c r="I335">
        <v>2</v>
      </c>
      <c r="J335" s="64">
        <v>0.54</v>
      </c>
      <c r="K335" s="68">
        <v>81</v>
      </c>
      <c r="L335" s="72" t="s">
        <v>20</v>
      </c>
      <c r="M335" t="s">
        <v>30</v>
      </c>
      <c r="N335" t="s">
        <v>19</v>
      </c>
      <c r="O335" s="64">
        <v>0.54</v>
      </c>
      <c r="P335" s="73">
        <v>0</v>
      </c>
    </row>
    <row r="336" spans="1:17" x14ac:dyDescent="0.35">
      <c r="A336" s="68" t="s">
        <v>126</v>
      </c>
      <c r="B336" s="68" t="s">
        <v>26</v>
      </c>
      <c r="C336" s="72">
        <v>13</v>
      </c>
      <c r="G336" s="79" t="str">
        <f t="shared" si="6"/>
        <v xml:space="preserve"> </v>
      </c>
      <c r="L336" s="72" t="s">
        <v>20</v>
      </c>
      <c r="M336" t="s">
        <v>22</v>
      </c>
      <c r="N336" t="s">
        <v>19</v>
      </c>
      <c r="O336" s="64">
        <v>1.23</v>
      </c>
      <c r="P336" s="73">
        <v>0</v>
      </c>
    </row>
    <row r="337" spans="1:17" x14ac:dyDescent="0.35">
      <c r="A337" s="68" t="s">
        <v>126</v>
      </c>
      <c r="B337" s="68" t="s">
        <v>26</v>
      </c>
      <c r="C337" s="72">
        <v>14</v>
      </c>
      <c r="D337" s="73" t="s">
        <v>42</v>
      </c>
      <c r="F337" s="78">
        <v>10</v>
      </c>
      <c r="G337" s="79">
        <f t="shared" si="6"/>
        <v>3.047999902464003</v>
      </c>
      <c r="H337" s="83">
        <v>40.68</v>
      </c>
      <c r="I337">
        <v>1</v>
      </c>
      <c r="L337" s="72" t="s">
        <v>20</v>
      </c>
      <c r="M337" t="s">
        <v>30</v>
      </c>
      <c r="N337" t="s">
        <v>19</v>
      </c>
      <c r="O337" s="64">
        <v>0.75</v>
      </c>
      <c r="P337" s="73">
        <v>0</v>
      </c>
    </row>
    <row r="338" spans="1:17" x14ac:dyDescent="0.35">
      <c r="A338" s="68" t="s">
        <v>126</v>
      </c>
      <c r="B338" s="68" t="s">
        <v>26</v>
      </c>
      <c r="C338" s="72">
        <v>14</v>
      </c>
      <c r="G338" s="79" t="str">
        <f t="shared" si="6"/>
        <v xml:space="preserve"> </v>
      </c>
      <c r="L338" s="72" t="s">
        <v>20</v>
      </c>
      <c r="M338" t="s">
        <v>21</v>
      </c>
      <c r="N338" t="s">
        <v>19</v>
      </c>
      <c r="O338" s="64">
        <v>0.7</v>
      </c>
      <c r="P338" s="73">
        <v>20</v>
      </c>
    </row>
    <row r="339" spans="1:17" x14ac:dyDescent="0.35">
      <c r="A339" s="68" t="s">
        <v>126</v>
      </c>
      <c r="B339" s="68" t="s">
        <v>61</v>
      </c>
      <c r="C339" s="72">
        <v>15</v>
      </c>
      <c r="D339" s="73" t="s">
        <v>42</v>
      </c>
      <c r="F339" s="78">
        <v>8.5</v>
      </c>
      <c r="G339" s="79">
        <f t="shared" si="6"/>
        <v>2.5907999170944027</v>
      </c>
      <c r="H339" s="83">
        <v>38.25</v>
      </c>
      <c r="I339">
        <v>2</v>
      </c>
      <c r="J339" s="64">
        <v>0.38</v>
      </c>
      <c r="L339" s="72" t="s">
        <v>20</v>
      </c>
      <c r="M339" t="s">
        <v>21</v>
      </c>
      <c r="N339" t="s">
        <v>19</v>
      </c>
      <c r="O339" s="64">
        <v>1.06</v>
      </c>
      <c r="P339" s="73">
        <v>35</v>
      </c>
    </row>
    <row r="340" spans="1:17" x14ac:dyDescent="0.35">
      <c r="A340" s="68" t="s">
        <v>126</v>
      </c>
      <c r="B340" s="68" t="s">
        <v>61</v>
      </c>
      <c r="C340" s="72">
        <v>16</v>
      </c>
      <c r="D340" s="73" t="s">
        <v>42</v>
      </c>
      <c r="F340" s="78">
        <v>9.1</v>
      </c>
      <c r="G340" s="79">
        <f t="shared" si="6"/>
        <v>2.7736799112422426</v>
      </c>
      <c r="H340" s="83">
        <v>42.33</v>
      </c>
      <c r="I340">
        <v>1</v>
      </c>
      <c r="K340" s="68">
        <v>55</v>
      </c>
      <c r="L340" s="72" t="s">
        <v>20</v>
      </c>
      <c r="M340" t="s">
        <v>21</v>
      </c>
      <c r="N340" t="s">
        <v>19</v>
      </c>
      <c r="O340" s="64">
        <v>1.29</v>
      </c>
      <c r="P340" s="73">
        <v>60</v>
      </c>
    </row>
    <row r="341" spans="1:17" x14ac:dyDescent="0.35">
      <c r="A341" s="68" t="s">
        <v>126</v>
      </c>
      <c r="B341" s="68" t="s">
        <v>61</v>
      </c>
      <c r="C341" s="72">
        <v>17</v>
      </c>
      <c r="D341" s="73" t="s">
        <v>42</v>
      </c>
      <c r="F341" s="78">
        <v>14.7</v>
      </c>
      <c r="G341" s="79">
        <f t="shared" si="6"/>
        <v>4.4805598566220848</v>
      </c>
      <c r="H341" s="83">
        <v>93.76</v>
      </c>
      <c r="I341">
        <v>1</v>
      </c>
      <c r="K341" s="68">
        <v>50</v>
      </c>
      <c r="L341" s="72" t="s">
        <v>19</v>
      </c>
      <c r="N341" t="s">
        <v>19</v>
      </c>
    </row>
    <row r="342" spans="1:17" x14ac:dyDescent="0.35">
      <c r="A342" s="68" t="s">
        <v>126</v>
      </c>
      <c r="B342" s="68" t="s">
        <v>61</v>
      </c>
      <c r="C342" s="72">
        <v>18</v>
      </c>
      <c r="D342" s="73" t="s">
        <v>42</v>
      </c>
      <c r="F342" s="78">
        <v>7.3</v>
      </c>
      <c r="G342" s="79">
        <f t="shared" si="6"/>
        <v>2.2250399287987221</v>
      </c>
      <c r="H342" s="83">
        <v>24.37</v>
      </c>
      <c r="I342">
        <v>3</v>
      </c>
      <c r="J342" s="64">
        <v>0.27</v>
      </c>
      <c r="L342" s="72" t="s">
        <v>20</v>
      </c>
      <c r="M342" t="s">
        <v>22</v>
      </c>
      <c r="N342" t="s">
        <v>19</v>
      </c>
      <c r="O342" s="64">
        <v>0.22</v>
      </c>
      <c r="P342" s="73">
        <v>0</v>
      </c>
    </row>
    <row r="343" spans="1:17" x14ac:dyDescent="0.35">
      <c r="A343" s="68" t="s">
        <v>126</v>
      </c>
      <c r="B343" s="68" t="s">
        <v>61</v>
      </c>
      <c r="C343" s="72">
        <v>18</v>
      </c>
      <c r="G343" s="79" t="str">
        <f t="shared" si="6"/>
        <v xml:space="preserve"> </v>
      </c>
      <c r="J343" s="64">
        <v>0.16</v>
      </c>
      <c r="L343" s="72" t="s">
        <v>20</v>
      </c>
      <c r="M343" t="s">
        <v>21</v>
      </c>
      <c r="N343" t="s">
        <v>19</v>
      </c>
      <c r="O343" s="64">
        <v>0</v>
      </c>
      <c r="P343" s="73">
        <v>170</v>
      </c>
    </row>
    <row r="344" spans="1:17" x14ac:dyDescent="0.35">
      <c r="A344" s="68" t="s">
        <v>126</v>
      </c>
      <c r="B344" s="68" t="s">
        <v>61</v>
      </c>
      <c r="C344" s="72">
        <v>19</v>
      </c>
      <c r="D344" s="73" t="s">
        <v>42</v>
      </c>
      <c r="F344" s="78">
        <v>12.5</v>
      </c>
      <c r="G344" s="79">
        <f t="shared" si="6"/>
        <v>3.8099998780800037</v>
      </c>
      <c r="H344" s="83">
        <v>61.8</v>
      </c>
      <c r="I344">
        <v>1</v>
      </c>
      <c r="K344" s="68">
        <v>80</v>
      </c>
      <c r="L344" s="72" t="s">
        <v>19</v>
      </c>
      <c r="N344" t="s">
        <v>19</v>
      </c>
    </row>
    <row r="345" spans="1:17" x14ac:dyDescent="0.35">
      <c r="A345" s="68" t="s">
        <v>126</v>
      </c>
      <c r="B345" s="68" t="s">
        <v>61</v>
      </c>
      <c r="C345" s="72">
        <v>20</v>
      </c>
      <c r="D345" s="73" t="s">
        <v>42</v>
      </c>
      <c r="F345" s="78">
        <v>9.8000000000000007</v>
      </c>
      <c r="G345" s="79">
        <f t="shared" si="6"/>
        <v>2.9870399044147233</v>
      </c>
      <c r="H345" s="83">
        <v>42.4</v>
      </c>
      <c r="I345">
        <v>1</v>
      </c>
      <c r="L345" s="72" t="s">
        <v>20</v>
      </c>
      <c r="M345" t="s">
        <v>66</v>
      </c>
      <c r="N345" t="s">
        <v>19</v>
      </c>
      <c r="O345" s="64">
        <v>0</v>
      </c>
      <c r="P345" s="73">
        <v>213</v>
      </c>
    </row>
    <row r="346" spans="1:17" x14ac:dyDescent="0.35">
      <c r="A346" s="68" t="s">
        <v>126</v>
      </c>
      <c r="B346" s="68" t="s">
        <v>61</v>
      </c>
      <c r="C346" s="72">
        <v>21</v>
      </c>
      <c r="D346" s="73" t="s">
        <v>42</v>
      </c>
      <c r="F346" s="78">
        <v>5.7</v>
      </c>
      <c r="G346" s="79">
        <f t="shared" si="6"/>
        <v>1.7373599444044818</v>
      </c>
      <c r="H346" s="83">
        <v>12.07</v>
      </c>
      <c r="I346">
        <v>1</v>
      </c>
      <c r="L346" s="72" t="s">
        <v>19</v>
      </c>
      <c r="N346" t="s">
        <v>19</v>
      </c>
    </row>
    <row r="347" spans="1:17" x14ac:dyDescent="0.35">
      <c r="A347" s="68" t="s">
        <v>126</v>
      </c>
      <c r="B347" s="68" t="s">
        <v>61</v>
      </c>
      <c r="C347" s="72">
        <v>22</v>
      </c>
      <c r="D347" s="73" t="s">
        <v>42</v>
      </c>
      <c r="F347" s="78">
        <v>6.9</v>
      </c>
      <c r="G347" s="79">
        <f t="shared" si="6"/>
        <v>2.1031199327001624</v>
      </c>
      <c r="H347" s="83">
        <v>22.18</v>
      </c>
      <c r="I347">
        <v>2</v>
      </c>
      <c r="J347" s="64">
        <v>1.25</v>
      </c>
      <c r="L347" s="72" t="s">
        <v>20</v>
      </c>
      <c r="M347" t="s">
        <v>22</v>
      </c>
      <c r="N347" t="s">
        <v>19</v>
      </c>
      <c r="O347" s="64">
        <v>0.94</v>
      </c>
      <c r="P347" s="73">
        <v>21</v>
      </c>
    </row>
    <row r="348" spans="1:17" x14ac:dyDescent="0.35">
      <c r="A348" s="68" t="s">
        <v>126</v>
      </c>
      <c r="B348" s="68" t="s">
        <v>61</v>
      </c>
      <c r="C348" s="72">
        <v>22</v>
      </c>
      <c r="G348" s="79" t="str">
        <f t="shared" si="6"/>
        <v xml:space="preserve"> </v>
      </c>
      <c r="L348" s="72" t="s">
        <v>20</v>
      </c>
      <c r="M348" t="s">
        <v>21</v>
      </c>
      <c r="N348" t="s">
        <v>19</v>
      </c>
      <c r="O348" s="64">
        <v>0.14000000000000001</v>
      </c>
      <c r="P348" s="73">
        <v>180</v>
      </c>
    </row>
    <row r="349" spans="1:17" x14ac:dyDescent="0.35">
      <c r="A349" s="68" t="s">
        <v>126</v>
      </c>
      <c r="B349" s="68" t="s">
        <v>60</v>
      </c>
      <c r="C349" s="72">
        <v>23</v>
      </c>
      <c r="D349" s="73" t="s">
        <v>40</v>
      </c>
      <c r="F349" s="78">
        <v>16.600000000000001</v>
      </c>
      <c r="G349" s="79">
        <f t="shared" si="6"/>
        <v>5.0596798380902452</v>
      </c>
      <c r="H349" s="83">
        <v>118.54</v>
      </c>
      <c r="Q349" t="s">
        <v>131</v>
      </c>
    </row>
    <row r="350" spans="1:17" x14ac:dyDescent="0.35">
      <c r="A350" s="68" t="s">
        <v>126</v>
      </c>
      <c r="B350" s="68" t="s">
        <v>60</v>
      </c>
      <c r="C350" s="72">
        <v>24</v>
      </c>
      <c r="D350" s="73" t="s">
        <v>42</v>
      </c>
      <c r="F350" s="78">
        <v>11.3</v>
      </c>
      <c r="G350" s="79">
        <f t="shared" si="6"/>
        <v>3.4442398897843236</v>
      </c>
      <c r="H350" s="83">
        <v>36.770000000000003</v>
      </c>
      <c r="I350">
        <v>1</v>
      </c>
      <c r="K350" s="68">
        <v>70</v>
      </c>
      <c r="L350" s="72" t="s">
        <v>19</v>
      </c>
      <c r="N350" t="s">
        <v>19</v>
      </c>
      <c r="Q350" t="s">
        <v>131</v>
      </c>
    </row>
    <row r="351" spans="1:17" x14ac:dyDescent="0.35">
      <c r="A351" s="68" t="s">
        <v>126</v>
      </c>
      <c r="B351" s="68" t="s">
        <v>60</v>
      </c>
      <c r="C351" s="72">
        <v>25</v>
      </c>
      <c r="D351" s="73" t="s">
        <v>40</v>
      </c>
      <c r="F351" s="78">
        <v>14</v>
      </c>
      <c r="G351" s="79">
        <f t="shared" si="6"/>
        <v>4.267199863449604</v>
      </c>
      <c r="H351" s="83">
        <v>66.67</v>
      </c>
      <c r="Q351" t="s">
        <v>131</v>
      </c>
    </row>
    <row r="352" spans="1:17" x14ac:dyDescent="0.35">
      <c r="A352" s="68" t="s">
        <v>126</v>
      </c>
      <c r="B352" s="68" t="s">
        <v>60</v>
      </c>
      <c r="C352" s="72">
        <v>26</v>
      </c>
      <c r="D352" s="73" t="s">
        <v>40</v>
      </c>
      <c r="F352" s="78">
        <v>8.4</v>
      </c>
      <c r="G352" s="79">
        <f t="shared" si="6"/>
        <v>2.5603199180697627</v>
      </c>
      <c r="H352" s="83">
        <v>31.93</v>
      </c>
      <c r="Q352" t="s">
        <v>131</v>
      </c>
    </row>
    <row r="353" spans="1:17" x14ac:dyDescent="0.35">
      <c r="A353" s="68" t="s">
        <v>126</v>
      </c>
      <c r="B353" s="68" t="s">
        <v>60</v>
      </c>
      <c r="C353" s="72">
        <v>27</v>
      </c>
      <c r="D353" s="73" t="s">
        <v>40</v>
      </c>
      <c r="F353" s="78">
        <v>16.2</v>
      </c>
      <c r="G353" s="79">
        <f t="shared" si="6"/>
        <v>4.9377598419916851</v>
      </c>
      <c r="H353" s="83">
        <v>64.61</v>
      </c>
      <c r="Q353" t="s">
        <v>131</v>
      </c>
    </row>
    <row r="354" spans="1:17" x14ac:dyDescent="0.35">
      <c r="A354" s="68" t="s">
        <v>126</v>
      </c>
      <c r="B354" s="68" t="s">
        <v>60</v>
      </c>
      <c r="C354" s="72">
        <v>28</v>
      </c>
      <c r="D354" s="73" t="s">
        <v>40</v>
      </c>
      <c r="F354" s="78">
        <v>11.1</v>
      </c>
      <c r="G354" s="79">
        <f t="shared" si="6"/>
        <v>3.3832798917350435</v>
      </c>
      <c r="H354" s="83">
        <v>48.32</v>
      </c>
      <c r="Q354" t="s">
        <v>131</v>
      </c>
    </row>
    <row r="355" spans="1:17" x14ac:dyDescent="0.35">
      <c r="A355" s="68" t="s">
        <v>126</v>
      </c>
      <c r="B355" s="68" t="s">
        <v>60</v>
      </c>
      <c r="C355" s="72">
        <v>29</v>
      </c>
      <c r="D355" s="73" t="s">
        <v>42</v>
      </c>
      <c r="F355" s="78">
        <v>10.7</v>
      </c>
      <c r="G355" s="79">
        <f t="shared" si="6"/>
        <v>3.2613598956364833</v>
      </c>
      <c r="H355" s="83">
        <v>47.87</v>
      </c>
      <c r="I355">
        <v>1</v>
      </c>
      <c r="L355" s="72" t="s">
        <v>20</v>
      </c>
      <c r="M355" t="s">
        <v>22</v>
      </c>
      <c r="N355" t="s">
        <v>19</v>
      </c>
      <c r="O355" s="64">
        <v>1.06</v>
      </c>
      <c r="P355" s="73">
        <v>28</v>
      </c>
      <c r="Q355" t="s">
        <v>153</v>
      </c>
    </row>
    <row r="356" spans="1:17" x14ac:dyDescent="0.35">
      <c r="A356" s="68" t="s">
        <v>126</v>
      </c>
      <c r="B356" s="68" t="s">
        <v>60</v>
      </c>
      <c r="C356" s="72">
        <v>29</v>
      </c>
      <c r="G356" s="79" t="str">
        <f t="shared" si="6"/>
        <v xml:space="preserve"> </v>
      </c>
      <c r="L356" s="72" t="s">
        <v>20</v>
      </c>
      <c r="M356" t="s">
        <v>22</v>
      </c>
      <c r="N356" t="s">
        <v>19</v>
      </c>
      <c r="O356" s="64">
        <v>1.0900000000000001</v>
      </c>
      <c r="P356" s="73">
        <v>0</v>
      </c>
    </row>
    <row r="357" spans="1:17" x14ac:dyDescent="0.35">
      <c r="A357" s="68" t="s">
        <v>126</v>
      </c>
      <c r="B357" s="68" t="s">
        <v>60</v>
      </c>
      <c r="C357" s="72">
        <v>29</v>
      </c>
      <c r="G357" s="79" t="str">
        <f t="shared" si="6"/>
        <v xml:space="preserve"> </v>
      </c>
      <c r="L357" s="72" t="s">
        <v>20</v>
      </c>
      <c r="M357" t="s">
        <v>132</v>
      </c>
      <c r="N357" t="s">
        <v>19</v>
      </c>
      <c r="O357" s="64">
        <v>1.3</v>
      </c>
      <c r="P357" s="73">
        <v>0</v>
      </c>
      <c r="Q357" t="s">
        <v>130</v>
      </c>
    </row>
    <row r="358" spans="1:17" x14ac:dyDescent="0.35">
      <c r="A358" s="68" t="s">
        <v>126</v>
      </c>
      <c r="B358" s="68" t="s">
        <v>60</v>
      </c>
      <c r="C358" s="72">
        <v>30</v>
      </c>
      <c r="D358" s="73" t="s">
        <v>40</v>
      </c>
      <c r="E358" t="s">
        <v>69</v>
      </c>
      <c r="F358" s="78">
        <v>10.9</v>
      </c>
      <c r="G358" s="79">
        <f t="shared" si="6"/>
        <v>3.3223198936857634</v>
      </c>
      <c r="H358" s="83">
        <v>53.81</v>
      </c>
      <c r="Q358" t="s">
        <v>133</v>
      </c>
    </row>
    <row r="359" spans="1:17" x14ac:dyDescent="0.35">
      <c r="A359" s="68" t="s">
        <v>126</v>
      </c>
      <c r="B359" s="68" t="s">
        <v>60</v>
      </c>
      <c r="C359" s="72">
        <v>31</v>
      </c>
      <c r="D359" s="73" t="s">
        <v>42</v>
      </c>
      <c r="F359" s="78">
        <v>10.199999999999999</v>
      </c>
      <c r="G359" s="79">
        <f t="shared" si="6"/>
        <v>3.1089599005132831</v>
      </c>
      <c r="H359" s="83">
        <v>24.9</v>
      </c>
      <c r="I359">
        <v>1</v>
      </c>
      <c r="K359" s="68">
        <v>98</v>
      </c>
      <c r="L359" s="72" t="s">
        <v>19</v>
      </c>
      <c r="N359" t="s">
        <v>19</v>
      </c>
      <c r="Q359" t="s">
        <v>134</v>
      </c>
    </row>
    <row r="360" spans="1:17" x14ac:dyDescent="0.35">
      <c r="A360" s="68" t="s">
        <v>126</v>
      </c>
      <c r="B360" s="68" t="s">
        <v>60</v>
      </c>
      <c r="C360" s="72">
        <v>32</v>
      </c>
      <c r="D360" s="73" t="s">
        <v>42</v>
      </c>
      <c r="F360" s="78">
        <v>10.5</v>
      </c>
      <c r="G360" s="79">
        <f t="shared" si="6"/>
        <v>3.2003998975872032</v>
      </c>
      <c r="H360" s="83">
        <v>30.05</v>
      </c>
      <c r="I360">
        <v>1</v>
      </c>
      <c r="L360" s="72" t="s">
        <v>19</v>
      </c>
      <c r="N360" t="s">
        <v>19</v>
      </c>
      <c r="Q360" t="s">
        <v>135</v>
      </c>
    </row>
    <row r="361" spans="1:17" x14ac:dyDescent="0.35">
      <c r="A361" s="68" t="s">
        <v>126</v>
      </c>
      <c r="B361" s="68" t="s">
        <v>60</v>
      </c>
      <c r="C361" s="72">
        <v>33</v>
      </c>
      <c r="D361" s="73" t="s">
        <v>40</v>
      </c>
      <c r="E361" t="s">
        <v>19</v>
      </c>
      <c r="F361" s="78">
        <v>14.5</v>
      </c>
      <c r="G361" s="79">
        <f t="shared" si="6"/>
        <v>4.4195998585728047</v>
      </c>
      <c r="H361" s="83">
        <v>57.17</v>
      </c>
      <c r="Q361" t="s">
        <v>136</v>
      </c>
    </row>
    <row r="362" spans="1:17" x14ac:dyDescent="0.35">
      <c r="A362" s="68" t="s">
        <v>126</v>
      </c>
      <c r="B362" s="68" t="s">
        <v>60</v>
      </c>
      <c r="C362" s="72">
        <v>34</v>
      </c>
      <c r="D362" s="73" t="s">
        <v>42</v>
      </c>
      <c r="F362" s="78">
        <v>10.3</v>
      </c>
      <c r="G362" s="79">
        <f t="shared" si="6"/>
        <v>3.1394398995379236</v>
      </c>
      <c r="H362" s="83">
        <v>34.94</v>
      </c>
      <c r="I362">
        <v>1</v>
      </c>
      <c r="L362" s="72" t="s">
        <v>19</v>
      </c>
      <c r="N362" t="s">
        <v>19</v>
      </c>
      <c r="Q362" t="s">
        <v>137</v>
      </c>
    </row>
    <row r="363" spans="1:17" x14ac:dyDescent="0.35">
      <c r="A363" s="68" t="s">
        <v>126</v>
      </c>
      <c r="B363" s="68" t="s">
        <v>60</v>
      </c>
      <c r="C363" s="72">
        <v>35</v>
      </c>
      <c r="D363" s="73" t="s">
        <v>40</v>
      </c>
      <c r="E363" t="s">
        <v>68</v>
      </c>
      <c r="F363" s="78">
        <v>10.1</v>
      </c>
      <c r="G363" s="79">
        <f t="shared" si="6"/>
        <v>3.078479901488643</v>
      </c>
      <c r="H363" s="83">
        <v>37.840000000000003</v>
      </c>
      <c r="Q363" t="s">
        <v>138</v>
      </c>
    </row>
    <row r="364" spans="1:17" x14ac:dyDescent="0.35">
      <c r="A364" s="68" t="s">
        <v>126</v>
      </c>
      <c r="B364" s="68" t="s">
        <v>60</v>
      </c>
      <c r="C364" s="72">
        <v>36</v>
      </c>
      <c r="D364" s="73" t="s">
        <v>40</v>
      </c>
      <c r="E364" t="s">
        <v>29</v>
      </c>
      <c r="F364" s="78">
        <v>12</v>
      </c>
      <c r="G364" s="79">
        <f t="shared" si="6"/>
        <v>3.6575998829568039</v>
      </c>
      <c r="H364" s="83">
        <v>51.52</v>
      </c>
      <c r="Q364" t="s">
        <v>139</v>
      </c>
    </row>
    <row r="365" spans="1:17" x14ac:dyDescent="0.35">
      <c r="A365" s="68" t="s">
        <v>126</v>
      </c>
      <c r="B365" s="68" t="s">
        <v>60</v>
      </c>
      <c r="C365" s="72">
        <v>37</v>
      </c>
      <c r="D365" s="73" t="s">
        <v>42</v>
      </c>
      <c r="F365" s="78">
        <v>8.1999999999999993</v>
      </c>
      <c r="G365" s="79">
        <f t="shared" si="6"/>
        <v>2.4993599200204826</v>
      </c>
      <c r="H365" s="83">
        <v>20.69</v>
      </c>
      <c r="I365">
        <v>2</v>
      </c>
      <c r="J365" s="64">
        <v>1.83</v>
      </c>
      <c r="L365" s="72" t="s">
        <v>20</v>
      </c>
      <c r="M365" t="s">
        <v>29</v>
      </c>
      <c r="N365" t="s">
        <v>19</v>
      </c>
      <c r="O365" s="64">
        <v>0</v>
      </c>
      <c r="P365" s="73">
        <v>170</v>
      </c>
      <c r="Q365" t="s">
        <v>140</v>
      </c>
    </row>
    <row r="366" spans="1:17" x14ac:dyDescent="0.35">
      <c r="A366" s="68" t="s">
        <v>126</v>
      </c>
      <c r="B366" s="68" t="s">
        <v>60</v>
      </c>
      <c r="C366" s="72">
        <v>38</v>
      </c>
      <c r="D366" s="73" t="s">
        <v>42</v>
      </c>
      <c r="F366" s="78">
        <v>11.6</v>
      </c>
      <c r="G366" s="79">
        <f t="shared" si="6"/>
        <v>3.5356798868582437</v>
      </c>
      <c r="H366" s="83">
        <v>32.840000000000003</v>
      </c>
      <c r="I366">
        <v>1</v>
      </c>
      <c r="L366" s="72" t="s">
        <v>19</v>
      </c>
      <c r="N366" t="s">
        <v>19</v>
      </c>
      <c r="Q366" t="s">
        <v>141</v>
      </c>
    </row>
    <row r="367" spans="1:17" x14ac:dyDescent="0.35">
      <c r="A367" s="68" t="s">
        <v>126</v>
      </c>
      <c r="B367" s="68" t="s">
        <v>60</v>
      </c>
      <c r="C367" s="72">
        <v>39</v>
      </c>
      <c r="D367" s="73" t="s">
        <v>40</v>
      </c>
      <c r="E367" t="s">
        <v>19</v>
      </c>
      <c r="F367" s="78">
        <v>18.8</v>
      </c>
      <c r="G367" s="79">
        <f t="shared" si="6"/>
        <v>5.7302398166323263</v>
      </c>
      <c r="H367" s="83">
        <v>73.069999999999993</v>
      </c>
      <c r="Q367" t="s">
        <v>142</v>
      </c>
    </row>
    <row r="368" spans="1:17" x14ac:dyDescent="0.35">
      <c r="A368" s="68" t="s">
        <v>126</v>
      </c>
      <c r="B368" s="68" t="s">
        <v>60</v>
      </c>
      <c r="C368" s="72">
        <v>40</v>
      </c>
      <c r="D368" s="73" t="s">
        <v>42</v>
      </c>
      <c r="F368" s="78">
        <v>6.4</v>
      </c>
      <c r="G368" s="79">
        <f>IF(F368 = 0, " ", IF(F368&lt;2, F368/1, F368/3.28084))</f>
        <v>1.9507199375769622</v>
      </c>
      <c r="H368" s="83">
        <v>10.73</v>
      </c>
      <c r="I368">
        <v>1</v>
      </c>
      <c r="L368" s="72" t="s">
        <v>20</v>
      </c>
      <c r="M368" t="s">
        <v>22</v>
      </c>
      <c r="N368" t="s">
        <v>19</v>
      </c>
      <c r="O368" s="64">
        <v>0.22</v>
      </c>
      <c r="P368" s="73">
        <v>0</v>
      </c>
      <c r="Q368" t="s">
        <v>131</v>
      </c>
    </row>
    <row r="369" spans="1:17" x14ac:dyDescent="0.35">
      <c r="A369" s="68" t="s">
        <v>126</v>
      </c>
      <c r="B369" s="68" t="s">
        <v>60</v>
      </c>
      <c r="C369" s="72">
        <v>40</v>
      </c>
      <c r="G369" s="79" t="str">
        <f t="shared" si="6"/>
        <v xml:space="preserve"> </v>
      </c>
      <c r="L369" s="72" t="s">
        <v>20</v>
      </c>
      <c r="M369" t="s">
        <v>22</v>
      </c>
      <c r="N369" t="s">
        <v>19</v>
      </c>
      <c r="O369" s="64">
        <v>0.72</v>
      </c>
      <c r="P369" s="73">
        <v>0</v>
      </c>
    </row>
    <row r="370" spans="1:17" x14ac:dyDescent="0.35">
      <c r="A370" s="68" t="s">
        <v>126</v>
      </c>
      <c r="B370" s="68" t="s">
        <v>60</v>
      </c>
      <c r="C370" s="72">
        <v>41</v>
      </c>
      <c r="D370" s="73" t="s">
        <v>40</v>
      </c>
      <c r="E370" t="s">
        <v>36</v>
      </c>
      <c r="F370" s="78">
        <v>11.6</v>
      </c>
      <c r="G370" s="79">
        <f t="shared" si="6"/>
        <v>3.5356798868582437</v>
      </c>
      <c r="H370" s="83">
        <v>57.38</v>
      </c>
      <c r="Q370" t="s">
        <v>143</v>
      </c>
    </row>
    <row r="371" spans="1:17" x14ac:dyDescent="0.35">
      <c r="A371" s="68" t="s">
        <v>126</v>
      </c>
      <c r="B371" s="68" t="s">
        <v>60</v>
      </c>
      <c r="C371" s="72">
        <v>42</v>
      </c>
      <c r="D371" s="73" t="s">
        <v>42</v>
      </c>
      <c r="F371" s="78">
        <v>9.6</v>
      </c>
      <c r="G371" s="79">
        <f t="shared" si="6"/>
        <v>2.9260799063654428</v>
      </c>
      <c r="H371" s="83">
        <v>29.99</v>
      </c>
      <c r="I371">
        <v>1</v>
      </c>
      <c r="K371" s="68">
        <v>75</v>
      </c>
      <c r="L371" s="72" t="s">
        <v>19</v>
      </c>
      <c r="N371" t="s">
        <v>19</v>
      </c>
      <c r="Q371" t="s">
        <v>144</v>
      </c>
    </row>
    <row r="372" spans="1:17" x14ac:dyDescent="0.35">
      <c r="A372" s="68" t="s">
        <v>126</v>
      </c>
      <c r="B372" s="68" t="s">
        <v>60</v>
      </c>
      <c r="C372" s="72">
        <v>43</v>
      </c>
      <c r="D372" s="73" t="s">
        <v>40</v>
      </c>
      <c r="E372" t="s">
        <v>36</v>
      </c>
      <c r="F372" s="78">
        <v>11.5</v>
      </c>
      <c r="G372" s="79">
        <f t="shared" si="6"/>
        <v>3.5051998878336037</v>
      </c>
      <c r="H372" s="83">
        <v>48.02</v>
      </c>
      <c r="Q372" t="s">
        <v>145</v>
      </c>
    </row>
    <row r="373" spans="1:17" x14ac:dyDescent="0.35">
      <c r="A373" s="68" t="s">
        <v>126</v>
      </c>
      <c r="B373" s="68" t="s">
        <v>60</v>
      </c>
      <c r="C373" s="72">
        <v>44</v>
      </c>
      <c r="D373" s="73" t="s">
        <v>42</v>
      </c>
      <c r="F373" s="78">
        <v>7.8</v>
      </c>
      <c r="G373" s="79">
        <f t="shared" si="6"/>
        <v>2.3774399239219224</v>
      </c>
      <c r="H373" s="83">
        <v>17.260000000000002</v>
      </c>
      <c r="I373">
        <v>1</v>
      </c>
      <c r="L373" s="72" t="s">
        <v>20</v>
      </c>
      <c r="M373" t="s">
        <v>22</v>
      </c>
      <c r="N373" t="s">
        <v>19</v>
      </c>
      <c r="O373" s="64">
        <v>0.33</v>
      </c>
      <c r="P373" s="73">
        <v>0</v>
      </c>
      <c r="Q373" t="s">
        <v>146</v>
      </c>
    </row>
    <row r="374" spans="1:17" x14ac:dyDescent="0.35">
      <c r="A374" s="68" t="s">
        <v>126</v>
      </c>
      <c r="B374" s="68" t="s">
        <v>60</v>
      </c>
      <c r="C374" s="72">
        <v>44</v>
      </c>
      <c r="G374" s="79" t="str">
        <f t="shared" si="6"/>
        <v xml:space="preserve"> </v>
      </c>
      <c r="L374" s="72" t="s">
        <v>20</v>
      </c>
      <c r="M374" t="s">
        <v>22</v>
      </c>
      <c r="N374" t="s">
        <v>19</v>
      </c>
      <c r="O374" s="64">
        <v>0.47</v>
      </c>
      <c r="P374" s="73">
        <v>47</v>
      </c>
    </row>
    <row r="375" spans="1:17" x14ac:dyDescent="0.35">
      <c r="A375" s="68" t="s">
        <v>126</v>
      </c>
      <c r="B375" s="68" t="s">
        <v>44</v>
      </c>
      <c r="C375" s="72">
        <v>45</v>
      </c>
      <c r="D375" s="73" t="s">
        <v>42</v>
      </c>
      <c r="F375" s="78">
        <v>9.3000000000000007</v>
      </c>
      <c r="G375" s="79">
        <f t="shared" si="6"/>
        <v>2.8346399092915231</v>
      </c>
      <c r="H375" s="83">
        <v>31.27</v>
      </c>
      <c r="I375">
        <v>1</v>
      </c>
      <c r="L375" s="72" t="s">
        <v>19</v>
      </c>
      <c r="N375" t="s">
        <v>19</v>
      </c>
    </row>
    <row r="376" spans="1:17" x14ac:dyDescent="0.35">
      <c r="A376" s="68" t="s">
        <v>126</v>
      </c>
      <c r="B376" s="68" t="s">
        <v>44</v>
      </c>
      <c r="C376" s="72">
        <v>46</v>
      </c>
      <c r="D376" s="73" t="s">
        <v>42</v>
      </c>
      <c r="F376" s="78">
        <v>9.1999999999999993</v>
      </c>
      <c r="G376" s="79">
        <f t="shared" si="6"/>
        <v>2.8041599102668826</v>
      </c>
      <c r="H376" s="83">
        <v>43.09</v>
      </c>
      <c r="I376">
        <v>2</v>
      </c>
      <c r="J376" s="64">
        <v>1.43</v>
      </c>
      <c r="L376" s="72" t="s">
        <v>20</v>
      </c>
      <c r="M376" t="s">
        <v>22</v>
      </c>
      <c r="N376" t="s">
        <v>19</v>
      </c>
      <c r="O376" s="64">
        <v>1.43</v>
      </c>
      <c r="P376" s="73">
        <v>0</v>
      </c>
      <c r="Q376" t="s">
        <v>147</v>
      </c>
    </row>
    <row r="377" spans="1:17" x14ac:dyDescent="0.35">
      <c r="A377" s="68" t="s">
        <v>126</v>
      </c>
      <c r="B377" s="68" t="s">
        <v>44</v>
      </c>
      <c r="C377" s="72">
        <v>46</v>
      </c>
      <c r="G377" s="79" t="str">
        <f t="shared" si="6"/>
        <v xml:space="preserve"> </v>
      </c>
      <c r="L377" s="72" t="s">
        <v>20</v>
      </c>
      <c r="M377" t="s">
        <v>22</v>
      </c>
      <c r="N377" t="s">
        <v>19</v>
      </c>
      <c r="O377" s="64">
        <v>1.37</v>
      </c>
      <c r="P377" s="73">
        <v>0</v>
      </c>
    </row>
    <row r="378" spans="1:17" x14ac:dyDescent="0.35">
      <c r="A378" s="68" t="s">
        <v>126</v>
      </c>
      <c r="B378" s="68" t="s">
        <v>44</v>
      </c>
      <c r="C378" s="72">
        <v>47</v>
      </c>
      <c r="D378" s="73" t="s">
        <v>42</v>
      </c>
      <c r="F378" s="78">
        <v>6.8</v>
      </c>
      <c r="G378" s="79">
        <f t="shared" si="6"/>
        <v>2.0726399336755219</v>
      </c>
      <c r="H378" s="83">
        <v>17.3</v>
      </c>
      <c r="I378">
        <v>1</v>
      </c>
      <c r="K378" s="68">
        <v>40</v>
      </c>
      <c r="L378" s="72" t="s">
        <v>19</v>
      </c>
      <c r="N378" t="s">
        <v>19</v>
      </c>
    </row>
    <row r="379" spans="1:17" x14ac:dyDescent="0.35">
      <c r="A379" s="68" t="s">
        <v>126</v>
      </c>
      <c r="B379" s="68" t="s">
        <v>44</v>
      </c>
      <c r="C379" s="72">
        <v>48</v>
      </c>
      <c r="D379" s="73" t="s">
        <v>42</v>
      </c>
      <c r="F379" s="78">
        <v>9.5</v>
      </c>
      <c r="G379" s="79">
        <f t="shared" si="6"/>
        <v>2.8955999073408032</v>
      </c>
      <c r="H379" s="83">
        <v>26.17</v>
      </c>
      <c r="I379">
        <v>1</v>
      </c>
      <c r="K379" s="68">
        <v>60</v>
      </c>
      <c r="L379" s="72" t="s">
        <v>19</v>
      </c>
      <c r="N379" t="s">
        <v>19</v>
      </c>
    </row>
    <row r="380" spans="1:17" x14ac:dyDescent="0.35">
      <c r="A380" s="68" t="s">
        <v>126</v>
      </c>
      <c r="B380" s="68" t="s">
        <v>44</v>
      </c>
      <c r="C380" s="72">
        <v>49</v>
      </c>
      <c r="D380" s="73" t="s">
        <v>42</v>
      </c>
      <c r="F380" s="78">
        <v>9.6</v>
      </c>
      <c r="G380" s="79">
        <f t="shared" si="6"/>
        <v>2.9260799063654428</v>
      </c>
      <c r="H380" s="83">
        <v>43.79</v>
      </c>
      <c r="I380">
        <v>1</v>
      </c>
      <c r="L380" s="72" t="s">
        <v>20</v>
      </c>
      <c r="M380" t="s">
        <v>22</v>
      </c>
      <c r="N380" t="s">
        <v>19</v>
      </c>
      <c r="O380" s="64">
        <v>1.18</v>
      </c>
      <c r="P380" s="73">
        <v>30</v>
      </c>
    </row>
    <row r="381" spans="1:17" x14ac:dyDescent="0.35">
      <c r="A381" s="68" t="s">
        <v>126</v>
      </c>
      <c r="B381" s="68" t="s">
        <v>44</v>
      </c>
      <c r="C381" s="72">
        <v>50</v>
      </c>
      <c r="D381" s="73" t="s">
        <v>42</v>
      </c>
      <c r="F381" s="78">
        <v>9.8000000000000007</v>
      </c>
      <c r="G381" s="79">
        <f t="shared" si="6"/>
        <v>2.9870399044147233</v>
      </c>
      <c r="H381" s="83">
        <v>45.28</v>
      </c>
      <c r="I381">
        <v>1</v>
      </c>
      <c r="K381" s="68">
        <v>80</v>
      </c>
      <c r="L381" s="72" t="s">
        <v>20</v>
      </c>
      <c r="M381" t="s">
        <v>22</v>
      </c>
      <c r="N381" t="s">
        <v>19</v>
      </c>
      <c r="O381" s="64">
        <v>1.34</v>
      </c>
      <c r="P381" s="73">
        <v>10</v>
      </c>
    </row>
    <row r="382" spans="1:17" x14ac:dyDescent="0.35">
      <c r="A382" s="68" t="s">
        <v>126</v>
      </c>
      <c r="B382" s="68" t="s">
        <v>44</v>
      </c>
      <c r="C382" s="72">
        <v>50</v>
      </c>
      <c r="G382" s="79" t="str">
        <f t="shared" si="6"/>
        <v xml:space="preserve"> </v>
      </c>
      <c r="L382" s="72" t="s">
        <v>20</v>
      </c>
      <c r="M382" t="s">
        <v>22</v>
      </c>
      <c r="N382" t="s">
        <v>19</v>
      </c>
      <c r="O382" s="64">
        <v>1.31</v>
      </c>
      <c r="P382" s="73">
        <v>0</v>
      </c>
    </row>
    <row r="383" spans="1:17" x14ac:dyDescent="0.35">
      <c r="A383" s="68" t="s">
        <v>126</v>
      </c>
      <c r="B383" s="68" t="s">
        <v>45</v>
      </c>
      <c r="C383" s="72">
        <v>51</v>
      </c>
      <c r="D383" s="73" t="s">
        <v>42</v>
      </c>
      <c r="F383" s="78">
        <v>4.5999999999999996</v>
      </c>
      <c r="G383" s="79">
        <f t="shared" si="6"/>
        <v>1.4020799551334413</v>
      </c>
      <c r="H383" s="83">
        <v>16.95</v>
      </c>
      <c r="I383">
        <v>1</v>
      </c>
      <c r="K383" s="68">
        <v>117</v>
      </c>
      <c r="L383" s="72" t="s">
        <v>20</v>
      </c>
      <c r="M383" t="s">
        <v>21</v>
      </c>
      <c r="N383" t="s">
        <v>19</v>
      </c>
      <c r="O383" s="64">
        <v>0.9</v>
      </c>
      <c r="P383" s="73">
        <v>29</v>
      </c>
    </row>
    <row r="384" spans="1:17" x14ac:dyDescent="0.35">
      <c r="A384" s="68" t="s">
        <v>126</v>
      </c>
      <c r="B384" s="68" t="s">
        <v>45</v>
      </c>
      <c r="C384" s="72">
        <v>51</v>
      </c>
      <c r="G384" s="79" t="str">
        <f t="shared" si="6"/>
        <v xml:space="preserve"> </v>
      </c>
      <c r="L384" s="72" t="s">
        <v>20</v>
      </c>
      <c r="M384" t="s">
        <v>22</v>
      </c>
      <c r="N384" t="s">
        <v>19</v>
      </c>
      <c r="O384" s="64">
        <v>1.02</v>
      </c>
      <c r="P384" s="73">
        <v>0</v>
      </c>
    </row>
    <row r="385" spans="1:17" x14ac:dyDescent="0.35">
      <c r="A385" s="68" t="s">
        <v>126</v>
      </c>
      <c r="B385" s="68" t="s">
        <v>45</v>
      </c>
      <c r="C385" s="72">
        <v>51</v>
      </c>
      <c r="G385" s="79" t="str">
        <f t="shared" si="6"/>
        <v xml:space="preserve"> </v>
      </c>
      <c r="L385" s="72" t="s">
        <v>20</v>
      </c>
      <c r="M385" t="s">
        <v>22</v>
      </c>
      <c r="N385" t="s">
        <v>19</v>
      </c>
      <c r="O385" s="64">
        <v>0.24</v>
      </c>
      <c r="P385" s="73">
        <v>0</v>
      </c>
    </row>
    <row r="386" spans="1:17" x14ac:dyDescent="0.35">
      <c r="A386" s="68" t="s">
        <v>126</v>
      </c>
      <c r="B386" s="68" t="s">
        <v>45</v>
      </c>
      <c r="C386" s="72">
        <v>52</v>
      </c>
      <c r="D386" s="73" t="s">
        <v>42</v>
      </c>
      <c r="F386" s="78">
        <v>8.4</v>
      </c>
      <c r="G386" s="79">
        <f t="shared" si="6"/>
        <v>2.5603199180697627</v>
      </c>
      <c r="H386" s="83">
        <v>32.28</v>
      </c>
      <c r="I386">
        <v>1</v>
      </c>
      <c r="L386" s="72" t="s">
        <v>20</v>
      </c>
      <c r="M386" t="s">
        <v>22</v>
      </c>
      <c r="N386" t="s">
        <v>19</v>
      </c>
      <c r="O386" s="64">
        <v>1.07</v>
      </c>
      <c r="P386" s="73">
        <v>0</v>
      </c>
    </row>
    <row r="387" spans="1:17" x14ac:dyDescent="0.35">
      <c r="A387" s="68" t="s">
        <v>126</v>
      </c>
      <c r="B387" s="68" t="s">
        <v>45</v>
      </c>
      <c r="C387" s="72">
        <v>53</v>
      </c>
      <c r="D387" s="73" t="s">
        <v>42</v>
      </c>
      <c r="F387" s="78">
        <v>7</v>
      </c>
      <c r="G387" s="79">
        <f t="shared" si="6"/>
        <v>2.133599931724802</v>
      </c>
      <c r="H387" s="83">
        <v>20.58</v>
      </c>
      <c r="I387">
        <v>1</v>
      </c>
      <c r="K387" s="68">
        <v>175</v>
      </c>
      <c r="L387" s="72" t="s">
        <v>20</v>
      </c>
      <c r="M387" t="s">
        <v>22</v>
      </c>
      <c r="N387" t="s">
        <v>19</v>
      </c>
      <c r="O387" s="64">
        <v>0.74</v>
      </c>
      <c r="P387" s="73">
        <v>0</v>
      </c>
    </row>
    <row r="388" spans="1:17" x14ac:dyDescent="0.35">
      <c r="A388" s="68" t="s">
        <v>126</v>
      </c>
      <c r="B388" s="68" t="s">
        <v>45</v>
      </c>
      <c r="C388" s="72">
        <v>54</v>
      </c>
      <c r="D388" s="73" t="s">
        <v>42</v>
      </c>
      <c r="F388" s="78">
        <v>8</v>
      </c>
      <c r="G388" s="79">
        <f t="shared" si="6"/>
        <v>2.4383999219712025</v>
      </c>
      <c r="H388" s="83">
        <v>33.840000000000003</v>
      </c>
      <c r="I388">
        <v>2</v>
      </c>
      <c r="J388" s="64">
        <v>1.1299999999999999</v>
      </c>
      <c r="L388" s="72" t="s">
        <v>20</v>
      </c>
      <c r="M388" t="s">
        <v>22</v>
      </c>
      <c r="N388" t="s">
        <v>19</v>
      </c>
      <c r="O388" s="64">
        <v>3.9</v>
      </c>
      <c r="P388" s="73">
        <v>0</v>
      </c>
    </row>
    <row r="389" spans="1:17" x14ac:dyDescent="0.35">
      <c r="A389" s="68" t="s">
        <v>126</v>
      </c>
      <c r="B389" s="68" t="s">
        <v>45</v>
      </c>
      <c r="C389" s="72">
        <v>54</v>
      </c>
      <c r="G389" s="79" t="str">
        <f t="shared" si="6"/>
        <v xml:space="preserve"> </v>
      </c>
      <c r="L389" s="72" t="s">
        <v>20</v>
      </c>
      <c r="M389" t="s">
        <v>22</v>
      </c>
      <c r="N389" t="s">
        <v>19</v>
      </c>
      <c r="O389" s="64">
        <v>1.02</v>
      </c>
      <c r="P389" s="73">
        <v>0</v>
      </c>
    </row>
    <row r="390" spans="1:17" x14ac:dyDescent="0.35">
      <c r="A390" s="68" t="s">
        <v>126</v>
      </c>
      <c r="B390" s="68" t="s">
        <v>45</v>
      </c>
      <c r="C390" s="72">
        <v>55</v>
      </c>
      <c r="D390" s="73" t="s">
        <v>42</v>
      </c>
      <c r="F390" s="78">
        <v>4.9000000000000004</v>
      </c>
      <c r="G390" s="79">
        <f t="shared" ref="G390:G453" si="7">IF(F390 = 0, " ", IF(F390&lt;2, F390/1, F390/3.28084))</f>
        <v>1.4935199522073617</v>
      </c>
      <c r="H390" s="83">
        <v>12.38</v>
      </c>
      <c r="I390">
        <v>1</v>
      </c>
      <c r="L390" s="72" t="s">
        <v>20</v>
      </c>
      <c r="M390" t="s">
        <v>22</v>
      </c>
      <c r="N390" t="s">
        <v>19</v>
      </c>
      <c r="O390" s="64">
        <v>0.7</v>
      </c>
      <c r="P390" s="73">
        <v>10</v>
      </c>
    </row>
    <row r="391" spans="1:17" x14ac:dyDescent="0.35">
      <c r="A391" s="68" t="s">
        <v>126</v>
      </c>
      <c r="B391" s="68" t="s">
        <v>45</v>
      </c>
      <c r="C391" s="72">
        <v>55</v>
      </c>
      <c r="G391" s="79" t="str">
        <f t="shared" si="7"/>
        <v xml:space="preserve"> </v>
      </c>
      <c r="L391" s="72" t="s">
        <v>20</v>
      </c>
      <c r="M391" t="s">
        <v>22</v>
      </c>
      <c r="N391" t="s">
        <v>19</v>
      </c>
      <c r="O391" s="64">
        <v>0.18</v>
      </c>
      <c r="P391" s="73">
        <v>0</v>
      </c>
    </row>
    <row r="392" spans="1:17" x14ac:dyDescent="0.35">
      <c r="A392" s="68" t="s">
        <v>126</v>
      </c>
      <c r="B392" s="68" t="s">
        <v>45</v>
      </c>
      <c r="C392" s="72">
        <v>56</v>
      </c>
      <c r="D392" s="73" t="s">
        <v>42</v>
      </c>
      <c r="F392" s="78">
        <v>10.3</v>
      </c>
      <c r="G392" s="79">
        <f t="shared" si="7"/>
        <v>3.1394398995379236</v>
      </c>
      <c r="H392" s="83">
        <v>35.36</v>
      </c>
      <c r="I392">
        <v>2</v>
      </c>
      <c r="J392" s="64">
        <v>0.9</v>
      </c>
      <c r="L392" s="72" t="s">
        <v>20</v>
      </c>
      <c r="M392" t="s">
        <v>22</v>
      </c>
      <c r="N392" t="s">
        <v>19</v>
      </c>
      <c r="O392" s="64">
        <v>0.9</v>
      </c>
      <c r="P392" s="73">
        <v>0</v>
      </c>
    </row>
    <row r="393" spans="1:17" x14ac:dyDescent="0.35">
      <c r="A393" s="68" t="s">
        <v>126</v>
      </c>
      <c r="B393" s="68" t="s">
        <v>45</v>
      </c>
      <c r="C393" s="72">
        <v>57</v>
      </c>
      <c r="D393" s="73" t="s">
        <v>42</v>
      </c>
      <c r="F393" s="78">
        <v>5.7</v>
      </c>
      <c r="G393" s="79">
        <f>IF(F393 = 0, " ", IF(F393&lt;2, F393/1, F393/3.28084))</f>
        <v>1.7373599444044818</v>
      </c>
      <c r="H393" s="83">
        <v>8.98</v>
      </c>
      <c r="I393">
        <v>1</v>
      </c>
      <c r="L393" s="72" t="s">
        <v>20</v>
      </c>
      <c r="M393" t="s">
        <v>22</v>
      </c>
      <c r="N393" t="s">
        <v>19</v>
      </c>
      <c r="O393" s="64">
        <v>0.49</v>
      </c>
      <c r="P393" s="73">
        <v>0</v>
      </c>
    </row>
    <row r="394" spans="1:17" x14ac:dyDescent="0.35">
      <c r="A394" s="68" t="s">
        <v>126</v>
      </c>
      <c r="B394" s="68" t="s">
        <v>45</v>
      </c>
      <c r="C394" s="72">
        <v>58</v>
      </c>
      <c r="D394" s="73" t="s">
        <v>42</v>
      </c>
      <c r="F394" s="78">
        <v>4.8</v>
      </c>
      <c r="G394" s="79">
        <f t="shared" si="7"/>
        <v>1.4630399531827214</v>
      </c>
      <c r="H394" s="83">
        <v>9.41</v>
      </c>
      <c r="I394">
        <v>1</v>
      </c>
      <c r="K394" s="68">
        <v>120</v>
      </c>
      <c r="L394" s="72" t="s">
        <v>20</v>
      </c>
      <c r="M394" t="s">
        <v>21</v>
      </c>
      <c r="N394" t="s">
        <v>19</v>
      </c>
      <c r="O394" s="64">
        <v>0.79</v>
      </c>
      <c r="P394" s="73">
        <v>27</v>
      </c>
      <c r="Q394" t="s">
        <v>148</v>
      </c>
    </row>
    <row r="395" spans="1:17" x14ac:dyDescent="0.35">
      <c r="A395" s="68" t="s">
        <v>126</v>
      </c>
      <c r="B395" s="68" t="s">
        <v>45</v>
      </c>
      <c r="C395" s="72">
        <v>59</v>
      </c>
      <c r="D395" s="73" t="s">
        <v>42</v>
      </c>
      <c r="F395" s="78">
        <v>6.7</v>
      </c>
      <c r="G395" s="79">
        <f t="shared" si="7"/>
        <v>2.0421599346508823</v>
      </c>
      <c r="H395" s="83">
        <v>16.27</v>
      </c>
      <c r="I395">
        <v>1</v>
      </c>
      <c r="L395" s="72" t="s">
        <v>20</v>
      </c>
      <c r="M395" t="s">
        <v>22</v>
      </c>
      <c r="N395" t="s">
        <v>19</v>
      </c>
      <c r="O395" s="64">
        <v>0.42</v>
      </c>
      <c r="P395" s="73">
        <v>20</v>
      </c>
    </row>
    <row r="396" spans="1:17" x14ac:dyDescent="0.35">
      <c r="A396" s="68" t="s">
        <v>126</v>
      </c>
      <c r="B396" s="68" t="s">
        <v>45</v>
      </c>
      <c r="C396" s="72">
        <v>59</v>
      </c>
      <c r="G396" s="79" t="str">
        <f t="shared" si="7"/>
        <v xml:space="preserve"> </v>
      </c>
      <c r="L396" s="72" t="s">
        <v>20</v>
      </c>
      <c r="M396" t="s">
        <v>22</v>
      </c>
      <c r="N396" t="s">
        <v>19</v>
      </c>
      <c r="O396" s="64">
        <v>0.76</v>
      </c>
      <c r="P396" s="73">
        <v>0</v>
      </c>
    </row>
    <row r="397" spans="1:17" x14ac:dyDescent="0.35">
      <c r="A397" s="68" t="s">
        <v>126</v>
      </c>
      <c r="B397" s="68" t="s">
        <v>45</v>
      </c>
      <c r="C397" s="72">
        <v>59</v>
      </c>
      <c r="G397" s="79" t="str">
        <f t="shared" si="7"/>
        <v xml:space="preserve"> </v>
      </c>
      <c r="L397" s="72" t="s">
        <v>20</v>
      </c>
      <c r="M397" t="s">
        <v>29</v>
      </c>
      <c r="N397" t="s">
        <v>19</v>
      </c>
      <c r="O397" s="64">
        <v>0</v>
      </c>
      <c r="P397" s="73">
        <v>260</v>
      </c>
    </row>
    <row r="398" spans="1:17" x14ac:dyDescent="0.35">
      <c r="A398" s="68" t="s">
        <v>126</v>
      </c>
      <c r="B398" s="68" t="s">
        <v>48</v>
      </c>
      <c r="C398" s="72">
        <v>60</v>
      </c>
      <c r="D398" s="73" t="s">
        <v>40</v>
      </c>
      <c r="F398" s="78">
        <v>12</v>
      </c>
      <c r="G398" s="79">
        <f t="shared" si="7"/>
        <v>3.6575998829568039</v>
      </c>
      <c r="H398" s="83">
        <v>61.99</v>
      </c>
    </row>
    <row r="399" spans="1:17" x14ac:dyDescent="0.35">
      <c r="A399" s="68" t="s">
        <v>126</v>
      </c>
      <c r="B399" s="68" t="s">
        <v>48</v>
      </c>
      <c r="C399" s="72">
        <v>61</v>
      </c>
      <c r="D399" s="73" t="s">
        <v>40</v>
      </c>
      <c r="F399" s="78">
        <v>9</v>
      </c>
      <c r="G399" s="79">
        <f t="shared" si="7"/>
        <v>2.743199912217603</v>
      </c>
      <c r="H399" s="83">
        <v>60.03</v>
      </c>
    </row>
    <row r="400" spans="1:17" x14ac:dyDescent="0.35">
      <c r="A400" s="68" t="s">
        <v>126</v>
      </c>
      <c r="B400" s="68" t="s">
        <v>48</v>
      </c>
      <c r="C400" s="72">
        <v>62</v>
      </c>
      <c r="D400" s="73" t="s">
        <v>40</v>
      </c>
      <c r="F400" s="78">
        <v>13.7</v>
      </c>
      <c r="G400" s="79">
        <f t="shared" si="7"/>
        <v>4.1757598663756843</v>
      </c>
      <c r="H400" s="83">
        <v>64.62</v>
      </c>
    </row>
    <row r="401" spans="1:17" x14ac:dyDescent="0.35">
      <c r="A401" s="68" t="s">
        <v>126</v>
      </c>
      <c r="B401" s="68" t="s">
        <v>48</v>
      </c>
      <c r="C401" s="72">
        <v>63</v>
      </c>
      <c r="D401" s="73" t="s">
        <v>40</v>
      </c>
      <c r="F401" s="78">
        <v>12.2</v>
      </c>
      <c r="G401" s="79">
        <f t="shared" si="7"/>
        <v>3.7185598810060836</v>
      </c>
      <c r="H401" s="83">
        <v>63.83</v>
      </c>
    </row>
    <row r="402" spans="1:17" x14ac:dyDescent="0.35">
      <c r="A402" s="68" t="s">
        <v>126</v>
      </c>
      <c r="B402" s="68" t="s">
        <v>48</v>
      </c>
      <c r="C402" s="72">
        <v>64</v>
      </c>
      <c r="D402" s="73" t="s">
        <v>40</v>
      </c>
      <c r="F402" s="78">
        <v>13.7</v>
      </c>
      <c r="G402" s="79">
        <f t="shared" si="7"/>
        <v>4.1757598663756843</v>
      </c>
      <c r="H402" s="83">
        <v>55.93</v>
      </c>
      <c r="Q402" t="s">
        <v>149</v>
      </c>
    </row>
    <row r="403" spans="1:17" x14ac:dyDescent="0.35">
      <c r="A403" s="68" t="s">
        <v>126</v>
      </c>
      <c r="B403" s="68" t="s">
        <v>48</v>
      </c>
      <c r="C403" s="72">
        <v>65</v>
      </c>
      <c r="D403" s="73" t="s">
        <v>40</v>
      </c>
      <c r="F403" s="78">
        <v>11.2</v>
      </c>
      <c r="G403" s="79">
        <f t="shared" si="7"/>
        <v>3.4137598907596831</v>
      </c>
      <c r="H403" s="83">
        <v>39.64</v>
      </c>
    </row>
    <row r="404" spans="1:17" x14ac:dyDescent="0.35">
      <c r="A404" s="68" t="s">
        <v>126</v>
      </c>
      <c r="B404" s="68" t="s">
        <v>48</v>
      </c>
      <c r="C404" s="72">
        <v>66</v>
      </c>
      <c r="D404" s="73" t="s">
        <v>40</v>
      </c>
      <c r="F404" s="78">
        <v>11.8</v>
      </c>
      <c r="G404" s="79">
        <f t="shared" si="7"/>
        <v>3.5966398849075238</v>
      </c>
      <c r="H404" s="83">
        <v>53.85</v>
      </c>
    </row>
    <row r="405" spans="1:17" x14ac:dyDescent="0.35">
      <c r="A405" s="68" t="s">
        <v>126</v>
      </c>
      <c r="B405" s="68" t="s">
        <v>48</v>
      </c>
      <c r="C405" s="72">
        <v>67</v>
      </c>
      <c r="D405" s="73" t="s">
        <v>40</v>
      </c>
      <c r="F405" s="78">
        <v>9.3000000000000007</v>
      </c>
      <c r="G405" s="79">
        <f t="shared" si="7"/>
        <v>2.8346399092915231</v>
      </c>
      <c r="H405" s="83">
        <v>64.34</v>
      </c>
    </row>
    <row r="406" spans="1:17" x14ac:dyDescent="0.35">
      <c r="A406" s="68" t="s">
        <v>126</v>
      </c>
      <c r="B406" s="68" t="s">
        <v>48</v>
      </c>
      <c r="C406" s="72">
        <v>68</v>
      </c>
      <c r="D406" s="73" t="s">
        <v>40</v>
      </c>
      <c r="F406" s="78">
        <v>9.8000000000000007</v>
      </c>
      <c r="G406" s="79">
        <f t="shared" si="7"/>
        <v>2.9870399044147233</v>
      </c>
      <c r="H406" s="83">
        <v>53.07</v>
      </c>
    </row>
    <row r="407" spans="1:17" x14ac:dyDescent="0.35">
      <c r="A407" s="68" t="s">
        <v>126</v>
      </c>
      <c r="B407" s="68" t="s">
        <v>48</v>
      </c>
      <c r="C407" s="72">
        <v>69</v>
      </c>
      <c r="D407" s="73" t="s">
        <v>40</v>
      </c>
      <c r="F407" s="78">
        <v>8.8000000000000007</v>
      </c>
      <c r="G407" s="79">
        <f t="shared" si="7"/>
        <v>2.6822399141683229</v>
      </c>
      <c r="H407" s="83">
        <v>43.25</v>
      </c>
    </row>
    <row r="408" spans="1:17" s="1" customFormat="1" x14ac:dyDescent="0.35">
      <c r="A408" s="69" t="s">
        <v>126</v>
      </c>
      <c r="B408" s="69" t="s">
        <v>48</v>
      </c>
      <c r="C408" s="74">
        <v>70</v>
      </c>
      <c r="D408" s="75" t="s">
        <v>40</v>
      </c>
      <c r="F408" s="80">
        <v>6.2</v>
      </c>
      <c r="G408" s="81">
        <f t="shared" si="7"/>
        <v>1.8897599395276821</v>
      </c>
      <c r="H408" s="84">
        <v>31.29</v>
      </c>
      <c r="J408" s="66"/>
      <c r="K408" s="69"/>
      <c r="L408" s="74"/>
      <c r="O408" s="66"/>
      <c r="P408" s="75"/>
    </row>
    <row r="409" spans="1:17" x14ac:dyDescent="0.35">
      <c r="G409" s="79" t="str">
        <f t="shared" si="7"/>
        <v xml:space="preserve"> </v>
      </c>
    </row>
    <row r="410" spans="1:17" x14ac:dyDescent="0.35">
      <c r="G410" s="79" t="str">
        <f t="shared" si="7"/>
        <v xml:space="preserve"> </v>
      </c>
    </row>
    <row r="411" spans="1:17" x14ac:dyDescent="0.35">
      <c r="G411" s="79" t="str">
        <f t="shared" si="7"/>
        <v xml:space="preserve"> </v>
      </c>
    </row>
    <row r="412" spans="1:17" x14ac:dyDescent="0.35">
      <c r="G412" s="79" t="str">
        <f t="shared" si="7"/>
        <v xml:space="preserve"> </v>
      </c>
    </row>
    <row r="413" spans="1:17" x14ac:dyDescent="0.35">
      <c r="G413" s="79" t="str">
        <f t="shared" si="7"/>
        <v xml:space="preserve"> </v>
      </c>
    </row>
    <row r="414" spans="1:17" x14ac:dyDescent="0.35">
      <c r="G414" s="79" t="str">
        <f t="shared" si="7"/>
        <v xml:space="preserve"> </v>
      </c>
    </row>
    <row r="415" spans="1:17" x14ac:dyDescent="0.35">
      <c r="G415" s="79" t="str">
        <f t="shared" si="7"/>
        <v xml:space="preserve"> </v>
      </c>
    </row>
    <row r="416" spans="1:17" x14ac:dyDescent="0.35">
      <c r="G416" s="79" t="str">
        <f t="shared" si="7"/>
        <v xml:space="preserve"> </v>
      </c>
    </row>
    <row r="417" spans="7:7" x14ac:dyDescent="0.35">
      <c r="G417" s="79" t="str">
        <f t="shared" si="7"/>
        <v xml:space="preserve"> </v>
      </c>
    </row>
    <row r="418" spans="7:7" x14ac:dyDescent="0.35">
      <c r="G418" s="79" t="str">
        <f t="shared" si="7"/>
        <v xml:space="preserve"> </v>
      </c>
    </row>
    <row r="419" spans="7:7" x14ac:dyDescent="0.35">
      <c r="G419" s="79" t="str">
        <f t="shared" si="7"/>
        <v xml:space="preserve"> </v>
      </c>
    </row>
    <row r="420" spans="7:7" x14ac:dyDescent="0.35">
      <c r="G420" s="79" t="str">
        <f t="shared" si="7"/>
        <v xml:space="preserve"> </v>
      </c>
    </row>
    <row r="421" spans="7:7" x14ac:dyDescent="0.35">
      <c r="G421" s="79" t="str">
        <f t="shared" si="7"/>
        <v xml:space="preserve"> </v>
      </c>
    </row>
    <row r="422" spans="7:7" x14ac:dyDescent="0.35">
      <c r="G422" s="79" t="str">
        <f t="shared" si="7"/>
        <v xml:space="preserve"> </v>
      </c>
    </row>
    <row r="423" spans="7:7" x14ac:dyDescent="0.35">
      <c r="G423" s="79" t="str">
        <f t="shared" si="7"/>
        <v xml:space="preserve"> </v>
      </c>
    </row>
    <row r="424" spans="7:7" x14ac:dyDescent="0.35">
      <c r="G424" s="79" t="str">
        <f t="shared" si="7"/>
        <v xml:space="preserve"> </v>
      </c>
    </row>
    <row r="425" spans="7:7" x14ac:dyDescent="0.35">
      <c r="G425" s="79" t="str">
        <f t="shared" si="7"/>
        <v xml:space="preserve"> </v>
      </c>
    </row>
    <row r="426" spans="7:7" x14ac:dyDescent="0.35">
      <c r="G426" s="79" t="str">
        <f t="shared" si="7"/>
        <v xml:space="preserve"> </v>
      </c>
    </row>
    <row r="427" spans="7:7" x14ac:dyDescent="0.35">
      <c r="G427" s="79" t="str">
        <f t="shared" si="7"/>
        <v xml:space="preserve"> </v>
      </c>
    </row>
    <row r="428" spans="7:7" x14ac:dyDescent="0.35">
      <c r="G428" s="79" t="str">
        <f t="shared" si="7"/>
        <v xml:space="preserve"> </v>
      </c>
    </row>
    <row r="429" spans="7:7" x14ac:dyDescent="0.35">
      <c r="G429" s="79" t="str">
        <f t="shared" si="7"/>
        <v xml:space="preserve"> </v>
      </c>
    </row>
    <row r="430" spans="7:7" x14ac:dyDescent="0.35">
      <c r="G430" s="79" t="str">
        <f t="shared" si="7"/>
        <v xml:space="preserve"> </v>
      </c>
    </row>
    <row r="431" spans="7:7" x14ac:dyDescent="0.35">
      <c r="G431" s="79" t="str">
        <f t="shared" si="7"/>
        <v xml:space="preserve"> </v>
      </c>
    </row>
    <row r="432" spans="7:7" x14ac:dyDescent="0.35">
      <c r="G432" s="79" t="str">
        <f t="shared" si="7"/>
        <v xml:space="preserve"> </v>
      </c>
    </row>
    <row r="433" spans="7:7" x14ac:dyDescent="0.35">
      <c r="G433" s="79" t="str">
        <f t="shared" si="7"/>
        <v xml:space="preserve"> </v>
      </c>
    </row>
    <row r="434" spans="7:7" x14ac:dyDescent="0.35">
      <c r="G434" s="79" t="str">
        <f t="shared" si="7"/>
        <v xml:space="preserve"> </v>
      </c>
    </row>
    <row r="435" spans="7:7" x14ac:dyDescent="0.35">
      <c r="G435" s="79" t="str">
        <f t="shared" si="7"/>
        <v xml:space="preserve"> </v>
      </c>
    </row>
    <row r="436" spans="7:7" x14ac:dyDescent="0.35">
      <c r="G436" s="79" t="str">
        <f t="shared" si="7"/>
        <v xml:space="preserve"> </v>
      </c>
    </row>
    <row r="437" spans="7:7" x14ac:dyDescent="0.35">
      <c r="G437" s="79" t="str">
        <f t="shared" si="7"/>
        <v xml:space="preserve"> </v>
      </c>
    </row>
    <row r="438" spans="7:7" x14ac:dyDescent="0.35">
      <c r="G438" s="79" t="str">
        <f t="shared" si="7"/>
        <v xml:space="preserve"> </v>
      </c>
    </row>
    <row r="439" spans="7:7" x14ac:dyDescent="0.35">
      <c r="G439" s="79" t="str">
        <f t="shared" si="7"/>
        <v xml:space="preserve"> </v>
      </c>
    </row>
    <row r="440" spans="7:7" x14ac:dyDescent="0.35">
      <c r="G440" s="79" t="str">
        <f t="shared" si="7"/>
        <v xml:space="preserve"> </v>
      </c>
    </row>
    <row r="441" spans="7:7" x14ac:dyDescent="0.35">
      <c r="G441" s="79" t="str">
        <f t="shared" si="7"/>
        <v xml:space="preserve"> </v>
      </c>
    </row>
    <row r="442" spans="7:7" x14ac:dyDescent="0.35">
      <c r="G442" s="79" t="str">
        <f t="shared" si="7"/>
        <v xml:space="preserve"> </v>
      </c>
    </row>
    <row r="443" spans="7:7" x14ac:dyDescent="0.35">
      <c r="G443" s="79" t="str">
        <f t="shared" si="7"/>
        <v xml:space="preserve"> </v>
      </c>
    </row>
    <row r="444" spans="7:7" x14ac:dyDescent="0.35">
      <c r="G444" s="79" t="str">
        <f t="shared" si="7"/>
        <v xml:space="preserve"> </v>
      </c>
    </row>
    <row r="445" spans="7:7" x14ac:dyDescent="0.35">
      <c r="G445" s="79" t="str">
        <f t="shared" si="7"/>
        <v xml:space="preserve"> </v>
      </c>
    </row>
    <row r="446" spans="7:7" x14ac:dyDescent="0.35">
      <c r="G446" s="79" t="str">
        <f t="shared" si="7"/>
        <v xml:space="preserve"> </v>
      </c>
    </row>
    <row r="447" spans="7:7" x14ac:dyDescent="0.35">
      <c r="G447" s="79" t="str">
        <f t="shared" si="7"/>
        <v xml:space="preserve"> </v>
      </c>
    </row>
    <row r="448" spans="7:7" x14ac:dyDescent="0.35">
      <c r="G448" s="79" t="str">
        <f t="shared" si="7"/>
        <v xml:space="preserve"> </v>
      </c>
    </row>
    <row r="449" spans="7:7" x14ac:dyDescent="0.35">
      <c r="G449" s="79" t="str">
        <f t="shared" si="7"/>
        <v xml:space="preserve"> </v>
      </c>
    </row>
    <row r="450" spans="7:7" x14ac:dyDescent="0.35">
      <c r="G450" s="79" t="str">
        <f t="shared" si="7"/>
        <v xml:space="preserve"> </v>
      </c>
    </row>
    <row r="451" spans="7:7" x14ac:dyDescent="0.35">
      <c r="G451" s="79" t="str">
        <f t="shared" si="7"/>
        <v xml:space="preserve"> </v>
      </c>
    </row>
    <row r="452" spans="7:7" x14ac:dyDescent="0.35">
      <c r="G452" s="79" t="str">
        <f t="shared" si="7"/>
        <v xml:space="preserve"> </v>
      </c>
    </row>
    <row r="453" spans="7:7" x14ac:dyDescent="0.35">
      <c r="G453" s="79" t="str">
        <f t="shared" si="7"/>
        <v xml:space="preserve"> </v>
      </c>
    </row>
    <row r="454" spans="7:7" x14ac:dyDescent="0.35">
      <c r="G454" s="79" t="str">
        <f t="shared" ref="G454:G517" si="8">IF(F454 = 0, " ", IF(F454&lt;2, F454/1, F454/3.28084))</f>
        <v xml:space="preserve"> </v>
      </c>
    </row>
    <row r="455" spans="7:7" x14ac:dyDescent="0.35">
      <c r="G455" s="79" t="str">
        <f t="shared" si="8"/>
        <v xml:space="preserve"> </v>
      </c>
    </row>
    <row r="456" spans="7:7" x14ac:dyDescent="0.35">
      <c r="G456" s="79" t="str">
        <f t="shared" si="8"/>
        <v xml:space="preserve"> </v>
      </c>
    </row>
    <row r="457" spans="7:7" x14ac:dyDescent="0.35">
      <c r="G457" s="79" t="str">
        <f t="shared" si="8"/>
        <v xml:space="preserve"> </v>
      </c>
    </row>
    <row r="458" spans="7:7" x14ac:dyDescent="0.35">
      <c r="G458" s="79" t="str">
        <f t="shared" si="8"/>
        <v xml:space="preserve"> </v>
      </c>
    </row>
    <row r="459" spans="7:7" x14ac:dyDescent="0.35">
      <c r="G459" s="79" t="str">
        <f t="shared" si="8"/>
        <v xml:space="preserve"> </v>
      </c>
    </row>
    <row r="460" spans="7:7" x14ac:dyDescent="0.35">
      <c r="G460" s="79" t="str">
        <f t="shared" si="8"/>
        <v xml:space="preserve"> </v>
      </c>
    </row>
    <row r="461" spans="7:7" x14ac:dyDescent="0.35">
      <c r="G461" s="79" t="str">
        <f t="shared" si="8"/>
        <v xml:space="preserve"> </v>
      </c>
    </row>
    <row r="462" spans="7:7" x14ac:dyDescent="0.35">
      <c r="G462" s="79" t="str">
        <f t="shared" si="8"/>
        <v xml:space="preserve"> </v>
      </c>
    </row>
    <row r="463" spans="7:7" x14ac:dyDescent="0.35">
      <c r="G463" s="79" t="str">
        <f t="shared" si="8"/>
        <v xml:space="preserve"> </v>
      </c>
    </row>
    <row r="464" spans="7:7" x14ac:dyDescent="0.35">
      <c r="G464" s="79" t="str">
        <f t="shared" si="8"/>
        <v xml:space="preserve"> </v>
      </c>
    </row>
    <row r="465" spans="7:7" x14ac:dyDescent="0.35">
      <c r="G465" s="79" t="str">
        <f t="shared" si="8"/>
        <v xml:space="preserve"> </v>
      </c>
    </row>
    <row r="466" spans="7:7" x14ac:dyDescent="0.35">
      <c r="G466" s="79" t="str">
        <f t="shared" si="8"/>
        <v xml:space="preserve"> </v>
      </c>
    </row>
    <row r="467" spans="7:7" x14ac:dyDescent="0.35">
      <c r="G467" s="79" t="str">
        <f t="shared" si="8"/>
        <v xml:space="preserve"> </v>
      </c>
    </row>
    <row r="468" spans="7:7" x14ac:dyDescent="0.35">
      <c r="G468" s="79" t="str">
        <f t="shared" si="8"/>
        <v xml:space="preserve"> </v>
      </c>
    </row>
    <row r="469" spans="7:7" x14ac:dyDescent="0.35">
      <c r="G469" s="79" t="str">
        <f t="shared" si="8"/>
        <v xml:space="preserve"> </v>
      </c>
    </row>
    <row r="470" spans="7:7" x14ac:dyDescent="0.35">
      <c r="G470" s="79" t="str">
        <f t="shared" si="8"/>
        <v xml:space="preserve"> </v>
      </c>
    </row>
    <row r="471" spans="7:7" x14ac:dyDescent="0.35">
      <c r="G471" s="79" t="str">
        <f t="shared" si="8"/>
        <v xml:space="preserve"> </v>
      </c>
    </row>
    <row r="472" spans="7:7" x14ac:dyDescent="0.35">
      <c r="G472" s="79" t="str">
        <f t="shared" si="8"/>
        <v xml:space="preserve"> </v>
      </c>
    </row>
    <row r="473" spans="7:7" x14ac:dyDescent="0.35">
      <c r="G473" s="79" t="str">
        <f t="shared" si="8"/>
        <v xml:space="preserve"> </v>
      </c>
    </row>
    <row r="474" spans="7:7" x14ac:dyDescent="0.35">
      <c r="G474" s="79" t="str">
        <f t="shared" si="8"/>
        <v xml:space="preserve"> </v>
      </c>
    </row>
    <row r="475" spans="7:7" x14ac:dyDescent="0.35">
      <c r="G475" s="79" t="str">
        <f t="shared" si="8"/>
        <v xml:space="preserve"> </v>
      </c>
    </row>
    <row r="476" spans="7:7" x14ac:dyDescent="0.35">
      <c r="G476" s="79" t="str">
        <f t="shared" si="8"/>
        <v xml:space="preserve"> </v>
      </c>
    </row>
    <row r="477" spans="7:7" x14ac:dyDescent="0.35">
      <c r="G477" s="79" t="str">
        <f t="shared" si="8"/>
        <v xml:space="preserve"> </v>
      </c>
    </row>
    <row r="478" spans="7:7" x14ac:dyDescent="0.35">
      <c r="G478" s="79" t="str">
        <f t="shared" si="8"/>
        <v xml:space="preserve"> </v>
      </c>
    </row>
    <row r="479" spans="7:7" x14ac:dyDescent="0.35">
      <c r="G479" s="79" t="str">
        <f t="shared" si="8"/>
        <v xml:space="preserve"> </v>
      </c>
    </row>
    <row r="480" spans="7:7" x14ac:dyDescent="0.35">
      <c r="G480" s="79" t="str">
        <f t="shared" si="8"/>
        <v xml:space="preserve"> </v>
      </c>
    </row>
    <row r="481" spans="7:7" x14ac:dyDescent="0.35">
      <c r="G481" s="79" t="str">
        <f t="shared" si="8"/>
        <v xml:space="preserve"> </v>
      </c>
    </row>
    <row r="482" spans="7:7" x14ac:dyDescent="0.35">
      <c r="G482" s="79" t="str">
        <f t="shared" si="8"/>
        <v xml:space="preserve"> </v>
      </c>
    </row>
    <row r="483" spans="7:7" x14ac:dyDescent="0.35">
      <c r="G483" s="79" t="str">
        <f t="shared" si="8"/>
        <v xml:space="preserve"> </v>
      </c>
    </row>
    <row r="484" spans="7:7" x14ac:dyDescent="0.35">
      <c r="G484" s="79" t="str">
        <f t="shared" si="8"/>
        <v xml:space="preserve"> </v>
      </c>
    </row>
    <row r="485" spans="7:7" x14ac:dyDescent="0.35">
      <c r="G485" s="79" t="str">
        <f t="shared" si="8"/>
        <v xml:space="preserve"> </v>
      </c>
    </row>
    <row r="486" spans="7:7" x14ac:dyDescent="0.35">
      <c r="G486" s="79" t="str">
        <f t="shared" si="8"/>
        <v xml:space="preserve"> </v>
      </c>
    </row>
    <row r="487" spans="7:7" x14ac:dyDescent="0.35">
      <c r="G487" s="79" t="str">
        <f t="shared" si="8"/>
        <v xml:space="preserve"> </v>
      </c>
    </row>
    <row r="488" spans="7:7" x14ac:dyDescent="0.35">
      <c r="G488" s="79" t="str">
        <f t="shared" si="8"/>
        <v xml:space="preserve"> </v>
      </c>
    </row>
    <row r="489" spans="7:7" x14ac:dyDescent="0.35">
      <c r="G489" s="79" t="str">
        <f t="shared" si="8"/>
        <v xml:space="preserve"> </v>
      </c>
    </row>
    <row r="490" spans="7:7" x14ac:dyDescent="0.35">
      <c r="G490" s="79" t="str">
        <f t="shared" si="8"/>
        <v xml:space="preserve"> </v>
      </c>
    </row>
    <row r="491" spans="7:7" x14ac:dyDescent="0.35">
      <c r="G491" s="79" t="str">
        <f t="shared" si="8"/>
        <v xml:space="preserve"> </v>
      </c>
    </row>
    <row r="492" spans="7:7" x14ac:dyDescent="0.35">
      <c r="G492" s="79" t="str">
        <f t="shared" si="8"/>
        <v xml:space="preserve"> </v>
      </c>
    </row>
    <row r="493" spans="7:7" x14ac:dyDescent="0.35">
      <c r="G493" s="79" t="str">
        <f t="shared" si="8"/>
        <v xml:space="preserve"> </v>
      </c>
    </row>
    <row r="494" spans="7:7" x14ac:dyDescent="0.35">
      <c r="G494" s="79" t="str">
        <f t="shared" si="8"/>
        <v xml:space="preserve"> </v>
      </c>
    </row>
    <row r="495" spans="7:7" x14ac:dyDescent="0.35">
      <c r="G495" s="79" t="str">
        <f t="shared" si="8"/>
        <v xml:space="preserve"> </v>
      </c>
    </row>
    <row r="496" spans="7:7" x14ac:dyDescent="0.35">
      <c r="G496" s="79" t="str">
        <f t="shared" si="8"/>
        <v xml:space="preserve"> </v>
      </c>
    </row>
    <row r="497" spans="7:7" x14ac:dyDescent="0.35">
      <c r="G497" s="79" t="str">
        <f t="shared" si="8"/>
        <v xml:space="preserve"> </v>
      </c>
    </row>
    <row r="498" spans="7:7" x14ac:dyDescent="0.35">
      <c r="G498" s="79" t="str">
        <f t="shared" si="8"/>
        <v xml:space="preserve"> </v>
      </c>
    </row>
    <row r="499" spans="7:7" x14ac:dyDescent="0.35">
      <c r="G499" s="79" t="str">
        <f t="shared" si="8"/>
        <v xml:space="preserve"> </v>
      </c>
    </row>
    <row r="500" spans="7:7" x14ac:dyDescent="0.35">
      <c r="G500" s="79" t="str">
        <f t="shared" si="8"/>
        <v xml:space="preserve"> </v>
      </c>
    </row>
    <row r="501" spans="7:7" x14ac:dyDescent="0.35">
      <c r="G501" s="79" t="str">
        <f t="shared" si="8"/>
        <v xml:space="preserve"> </v>
      </c>
    </row>
    <row r="502" spans="7:7" x14ac:dyDescent="0.35">
      <c r="G502" s="79" t="str">
        <f t="shared" si="8"/>
        <v xml:space="preserve"> </v>
      </c>
    </row>
    <row r="503" spans="7:7" x14ac:dyDescent="0.35">
      <c r="G503" s="79" t="str">
        <f t="shared" si="8"/>
        <v xml:space="preserve"> </v>
      </c>
    </row>
    <row r="504" spans="7:7" x14ac:dyDescent="0.35">
      <c r="G504" s="79" t="str">
        <f t="shared" si="8"/>
        <v xml:space="preserve"> </v>
      </c>
    </row>
    <row r="505" spans="7:7" x14ac:dyDescent="0.35">
      <c r="G505" s="79" t="str">
        <f t="shared" si="8"/>
        <v xml:space="preserve"> </v>
      </c>
    </row>
    <row r="506" spans="7:7" x14ac:dyDescent="0.35">
      <c r="G506" s="79" t="str">
        <f t="shared" si="8"/>
        <v xml:space="preserve"> </v>
      </c>
    </row>
    <row r="507" spans="7:7" x14ac:dyDescent="0.35">
      <c r="G507" s="79" t="str">
        <f t="shared" si="8"/>
        <v xml:space="preserve"> </v>
      </c>
    </row>
    <row r="508" spans="7:7" x14ac:dyDescent="0.35">
      <c r="G508" s="79" t="str">
        <f t="shared" si="8"/>
        <v xml:space="preserve"> </v>
      </c>
    </row>
    <row r="509" spans="7:7" x14ac:dyDescent="0.35">
      <c r="G509" s="79" t="str">
        <f t="shared" si="8"/>
        <v xml:space="preserve"> </v>
      </c>
    </row>
    <row r="510" spans="7:7" x14ac:dyDescent="0.35">
      <c r="G510" s="79" t="str">
        <f t="shared" si="8"/>
        <v xml:space="preserve"> </v>
      </c>
    </row>
    <row r="511" spans="7:7" x14ac:dyDescent="0.35">
      <c r="G511" s="79" t="str">
        <f t="shared" si="8"/>
        <v xml:space="preserve"> </v>
      </c>
    </row>
    <row r="512" spans="7:7" x14ac:dyDescent="0.35">
      <c r="G512" s="79" t="str">
        <f t="shared" si="8"/>
        <v xml:space="preserve"> </v>
      </c>
    </row>
    <row r="513" spans="7:7" x14ac:dyDescent="0.35">
      <c r="G513" s="79" t="str">
        <f t="shared" si="8"/>
        <v xml:space="preserve"> </v>
      </c>
    </row>
    <row r="514" spans="7:7" x14ac:dyDescent="0.35">
      <c r="G514" s="79" t="str">
        <f t="shared" si="8"/>
        <v xml:space="preserve"> </v>
      </c>
    </row>
    <row r="515" spans="7:7" x14ac:dyDescent="0.35">
      <c r="G515" s="79" t="str">
        <f t="shared" si="8"/>
        <v xml:space="preserve"> </v>
      </c>
    </row>
    <row r="516" spans="7:7" x14ac:dyDescent="0.35">
      <c r="G516" s="79" t="str">
        <f t="shared" si="8"/>
        <v xml:space="preserve"> </v>
      </c>
    </row>
    <row r="517" spans="7:7" x14ac:dyDescent="0.35">
      <c r="G517" s="79" t="str">
        <f t="shared" si="8"/>
        <v xml:space="preserve"> </v>
      </c>
    </row>
    <row r="518" spans="7:7" x14ac:dyDescent="0.35">
      <c r="G518" s="79" t="str">
        <f t="shared" ref="G518:G581" si="9">IF(F518 = 0, " ", IF(F518&lt;2, F518/1, F518/3.28084))</f>
        <v xml:space="preserve"> </v>
      </c>
    </row>
    <row r="519" spans="7:7" x14ac:dyDescent="0.35">
      <c r="G519" s="79" t="str">
        <f t="shared" si="9"/>
        <v xml:space="preserve"> </v>
      </c>
    </row>
    <row r="520" spans="7:7" x14ac:dyDescent="0.35">
      <c r="G520" s="79" t="str">
        <f t="shared" si="9"/>
        <v xml:space="preserve"> </v>
      </c>
    </row>
    <row r="521" spans="7:7" x14ac:dyDescent="0.35">
      <c r="G521" s="79" t="str">
        <f t="shared" si="9"/>
        <v xml:space="preserve"> </v>
      </c>
    </row>
    <row r="522" spans="7:7" x14ac:dyDescent="0.35">
      <c r="G522" s="79" t="str">
        <f t="shared" si="9"/>
        <v xml:space="preserve"> </v>
      </c>
    </row>
    <row r="523" spans="7:7" x14ac:dyDescent="0.35">
      <c r="G523" s="79" t="str">
        <f t="shared" si="9"/>
        <v xml:space="preserve"> </v>
      </c>
    </row>
    <row r="524" spans="7:7" x14ac:dyDescent="0.35">
      <c r="G524" s="79" t="str">
        <f t="shared" si="9"/>
        <v xml:space="preserve"> </v>
      </c>
    </row>
    <row r="525" spans="7:7" x14ac:dyDescent="0.35">
      <c r="G525" s="79" t="str">
        <f t="shared" si="9"/>
        <v xml:space="preserve"> </v>
      </c>
    </row>
    <row r="526" spans="7:7" x14ac:dyDescent="0.35">
      <c r="G526" s="79" t="str">
        <f t="shared" si="9"/>
        <v xml:space="preserve"> </v>
      </c>
    </row>
    <row r="527" spans="7:7" x14ac:dyDescent="0.35">
      <c r="G527" s="79" t="str">
        <f t="shared" si="9"/>
        <v xml:space="preserve"> </v>
      </c>
    </row>
    <row r="528" spans="7:7" x14ac:dyDescent="0.35">
      <c r="G528" s="79" t="str">
        <f t="shared" si="9"/>
        <v xml:space="preserve"> </v>
      </c>
    </row>
    <row r="529" spans="7:7" x14ac:dyDescent="0.35">
      <c r="G529" s="79" t="str">
        <f t="shared" si="9"/>
        <v xml:space="preserve"> </v>
      </c>
    </row>
    <row r="530" spans="7:7" x14ac:dyDescent="0.35">
      <c r="G530" s="79" t="str">
        <f t="shared" si="9"/>
        <v xml:space="preserve"> </v>
      </c>
    </row>
    <row r="531" spans="7:7" x14ac:dyDescent="0.35">
      <c r="G531" s="79" t="str">
        <f t="shared" si="9"/>
        <v xml:space="preserve"> </v>
      </c>
    </row>
    <row r="532" spans="7:7" x14ac:dyDescent="0.35">
      <c r="G532" s="79" t="str">
        <f t="shared" si="9"/>
        <v xml:space="preserve"> </v>
      </c>
    </row>
    <row r="533" spans="7:7" x14ac:dyDescent="0.35">
      <c r="G533" s="79" t="str">
        <f t="shared" si="9"/>
        <v xml:space="preserve"> </v>
      </c>
    </row>
    <row r="534" spans="7:7" x14ac:dyDescent="0.35">
      <c r="G534" s="79" t="str">
        <f t="shared" si="9"/>
        <v xml:space="preserve"> </v>
      </c>
    </row>
    <row r="535" spans="7:7" x14ac:dyDescent="0.35">
      <c r="G535" s="79" t="str">
        <f t="shared" si="9"/>
        <v xml:space="preserve"> </v>
      </c>
    </row>
    <row r="536" spans="7:7" x14ac:dyDescent="0.35">
      <c r="G536" s="79" t="str">
        <f t="shared" si="9"/>
        <v xml:space="preserve"> </v>
      </c>
    </row>
    <row r="537" spans="7:7" x14ac:dyDescent="0.35">
      <c r="G537" s="79" t="str">
        <f t="shared" si="9"/>
        <v xml:space="preserve"> </v>
      </c>
    </row>
    <row r="538" spans="7:7" x14ac:dyDescent="0.35">
      <c r="G538" s="79" t="str">
        <f t="shared" si="9"/>
        <v xml:space="preserve"> </v>
      </c>
    </row>
    <row r="539" spans="7:7" x14ac:dyDescent="0.35">
      <c r="G539" s="79" t="str">
        <f t="shared" si="9"/>
        <v xml:space="preserve"> </v>
      </c>
    </row>
    <row r="540" spans="7:7" x14ac:dyDescent="0.35">
      <c r="G540" s="79" t="str">
        <f t="shared" si="9"/>
        <v xml:space="preserve"> </v>
      </c>
    </row>
    <row r="541" spans="7:7" x14ac:dyDescent="0.35">
      <c r="G541" s="79" t="str">
        <f t="shared" si="9"/>
        <v xml:space="preserve"> </v>
      </c>
    </row>
    <row r="542" spans="7:7" x14ac:dyDescent="0.35">
      <c r="G542" s="79" t="str">
        <f t="shared" si="9"/>
        <v xml:space="preserve"> </v>
      </c>
    </row>
    <row r="543" spans="7:7" x14ac:dyDescent="0.35">
      <c r="G543" s="79" t="str">
        <f t="shared" si="9"/>
        <v xml:space="preserve"> </v>
      </c>
    </row>
    <row r="544" spans="7:7" x14ac:dyDescent="0.35">
      <c r="G544" s="79" t="str">
        <f t="shared" si="9"/>
        <v xml:space="preserve"> </v>
      </c>
    </row>
    <row r="545" spans="7:7" x14ac:dyDescent="0.35">
      <c r="G545" s="79" t="str">
        <f t="shared" si="9"/>
        <v xml:space="preserve"> </v>
      </c>
    </row>
    <row r="546" spans="7:7" x14ac:dyDescent="0.35">
      <c r="G546" s="79" t="str">
        <f t="shared" si="9"/>
        <v xml:space="preserve"> </v>
      </c>
    </row>
    <row r="547" spans="7:7" x14ac:dyDescent="0.35">
      <c r="G547" s="79" t="str">
        <f t="shared" si="9"/>
        <v xml:space="preserve"> </v>
      </c>
    </row>
    <row r="548" spans="7:7" x14ac:dyDescent="0.35">
      <c r="G548" s="79" t="str">
        <f t="shared" si="9"/>
        <v xml:space="preserve"> </v>
      </c>
    </row>
    <row r="549" spans="7:7" x14ac:dyDescent="0.35">
      <c r="G549" s="79" t="str">
        <f t="shared" si="9"/>
        <v xml:space="preserve"> </v>
      </c>
    </row>
    <row r="550" spans="7:7" x14ac:dyDescent="0.35">
      <c r="G550" s="79" t="str">
        <f t="shared" si="9"/>
        <v xml:space="preserve"> </v>
      </c>
    </row>
    <row r="551" spans="7:7" x14ac:dyDescent="0.35">
      <c r="G551" s="79" t="str">
        <f t="shared" si="9"/>
        <v xml:space="preserve"> </v>
      </c>
    </row>
    <row r="552" spans="7:7" x14ac:dyDescent="0.35">
      <c r="G552" s="79" t="str">
        <f t="shared" si="9"/>
        <v xml:space="preserve"> </v>
      </c>
    </row>
    <row r="553" spans="7:7" x14ac:dyDescent="0.35">
      <c r="G553" s="79" t="str">
        <f t="shared" si="9"/>
        <v xml:space="preserve"> </v>
      </c>
    </row>
    <row r="554" spans="7:7" x14ac:dyDescent="0.35">
      <c r="G554" s="79" t="str">
        <f t="shared" si="9"/>
        <v xml:space="preserve"> </v>
      </c>
    </row>
    <row r="555" spans="7:7" x14ac:dyDescent="0.35">
      <c r="G555" s="79" t="str">
        <f t="shared" si="9"/>
        <v xml:space="preserve"> </v>
      </c>
    </row>
    <row r="556" spans="7:7" x14ac:dyDescent="0.35">
      <c r="G556" s="79" t="str">
        <f t="shared" si="9"/>
        <v xml:space="preserve"> </v>
      </c>
    </row>
    <row r="557" spans="7:7" x14ac:dyDescent="0.35">
      <c r="G557" s="79" t="str">
        <f t="shared" si="9"/>
        <v xml:space="preserve"> </v>
      </c>
    </row>
    <row r="558" spans="7:7" x14ac:dyDescent="0.35">
      <c r="G558" s="79" t="str">
        <f t="shared" si="9"/>
        <v xml:space="preserve"> </v>
      </c>
    </row>
    <row r="559" spans="7:7" x14ac:dyDescent="0.35">
      <c r="G559" s="79" t="str">
        <f t="shared" si="9"/>
        <v xml:space="preserve"> </v>
      </c>
    </row>
    <row r="560" spans="7:7" x14ac:dyDescent="0.35">
      <c r="G560" s="79" t="str">
        <f t="shared" si="9"/>
        <v xml:space="preserve"> </v>
      </c>
    </row>
    <row r="561" spans="7:7" x14ac:dyDescent="0.35">
      <c r="G561" s="79" t="str">
        <f t="shared" si="9"/>
        <v xml:space="preserve"> </v>
      </c>
    </row>
    <row r="562" spans="7:7" x14ac:dyDescent="0.35">
      <c r="G562" s="79" t="str">
        <f t="shared" si="9"/>
        <v xml:space="preserve"> </v>
      </c>
    </row>
    <row r="563" spans="7:7" x14ac:dyDescent="0.35">
      <c r="G563" s="79" t="str">
        <f t="shared" si="9"/>
        <v xml:space="preserve"> </v>
      </c>
    </row>
    <row r="564" spans="7:7" x14ac:dyDescent="0.35">
      <c r="G564" s="79" t="str">
        <f t="shared" si="9"/>
        <v xml:space="preserve"> </v>
      </c>
    </row>
    <row r="565" spans="7:7" x14ac:dyDescent="0.35">
      <c r="G565" s="79" t="str">
        <f t="shared" si="9"/>
        <v xml:space="preserve"> </v>
      </c>
    </row>
    <row r="566" spans="7:7" x14ac:dyDescent="0.35">
      <c r="G566" s="79" t="str">
        <f t="shared" si="9"/>
        <v xml:space="preserve"> </v>
      </c>
    </row>
    <row r="567" spans="7:7" x14ac:dyDescent="0.35">
      <c r="G567" s="79" t="str">
        <f t="shared" si="9"/>
        <v xml:space="preserve"> </v>
      </c>
    </row>
    <row r="568" spans="7:7" x14ac:dyDescent="0.35">
      <c r="G568" s="79" t="str">
        <f t="shared" si="9"/>
        <v xml:space="preserve"> </v>
      </c>
    </row>
    <row r="569" spans="7:7" x14ac:dyDescent="0.35">
      <c r="G569" s="79" t="str">
        <f t="shared" si="9"/>
        <v xml:space="preserve"> </v>
      </c>
    </row>
    <row r="570" spans="7:7" x14ac:dyDescent="0.35">
      <c r="G570" s="79" t="str">
        <f t="shared" si="9"/>
        <v xml:space="preserve"> </v>
      </c>
    </row>
    <row r="571" spans="7:7" x14ac:dyDescent="0.35">
      <c r="G571" s="79" t="str">
        <f t="shared" si="9"/>
        <v xml:space="preserve"> </v>
      </c>
    </row>
    <row r="572" spans="7:7" x14ac:dyDescent="0.35">
      <c r="G572" s="79" t="str">
        <f t="shared" si="9"/>
        <v xml:space="preserve"> </v>
      </c>
    </row>
    <row r="573" spans="7:7" x14ac:dyDescent="0.35">
      <c r="G573" s="79" t="str">
        <f t="shared" si="9"/>
        <v xml:space="preserve"> </v>
      </c>
    </row>
    <row r="574" spans="7:7" x14ac:dyDescent="0.35">
      <c r="G574" s="79" t="str">
        <f t="shared" si="9"/>
        <v xml:space="preserve"> </v>
      </c>
    </row>
    <row r="575" spans="7:7" x14ac:dyDescent="0.35">
      <c r="G575" s="79" t="str">
        <f t="shared" si="9"/>
        <v xml:space="preserve"> </v>
      </c>
    </row>
    <row r="576" spans="7:7" x14ac:dyDescent="0.35">
      <c r="G576" s="79" t="str">
        <f t="shared" si="9"/>
        <v xml:space="preserve"> </v>
      </c>
    </row>
    <row r="577" spans="7:7" x14ac:dyDescent="0.35">
      <c r="G577" s="79" t="str">
        <f t="shared" si="9"/>
        <v xml:space="preserve"> </v>
      </c>
    </row>
    <row r="578" spans="7:7" x14ac:dyDescent="0.35">
      <c r="G578" s="79" t="str">
        <f t="shared" si="9"/>
        <v xml:space="preserve"> </v>
      </c>
    </row>
    <row r="579" spans="7:7" x14ac:dyDescent="0.35">
      <c r="G579" s="79" t="str">
        <f t="shared" si="9"/>
        <v xml:space="preserve"> </v>
      </c>
    </row>
    <row r="580" spans="7:7" x14ac:dyDescent="0.35">
      <c r="G580" s="79" t="str">
        <f t="shared" si="9"/>
        <v xml:space="preserve"> </v>
      </c>
    </row>
    <row r="581" spans="7:7" x14ac:dyDescent="0.35">
      <c r="G581" s="79" t="str">
        <f t="shared" si="9"/>
        <v xml:space="preserve"> </v>
      </c>
    </row>
    <row r="582" spans="7:7" x14ac:dyDescent="0.35">
      <c r="G582" s="79" t="str">
        <f t="shared" ref="G582:G645" si="10">IF(F582 = 0, " ", IF(F582&lt;2, F582/1, F582/3.28084))</f>
        <v xml:space="preserve"> </v>
      </c>
    </row>
    <row r="583" spans="7:7" x14ac:dyDescent="0.35">
      <c r="G583" s="79" t="str">
        <f t="shared" si="10"/>
        <v xml:space="preserve"> </v>
      </c>
    </row>
    <row r="584" spans="7:7" x14ac:dyDescent="0.35">
      <c r="G584" s="79" t="str">
        <f t="shared" si="10"/>
        <v xml:space="preserve"> </v>
      </c>
    </row>
    <row r="585" spans="7:7" x14ac:dyDescent="0.35">
      <c r="G585" s="79" t="str">
        <f t="shared" si="10"/>
        <v xml:space="preserve"> </v>
      </c>
    </row>
    <row r="586" spans="7:7" x14ac:dyDescent="0.35">
      <c r="G586" s="79" t="str">
        <f t="shared" si="10"/>
        <v xml:space="preserve"> </v>
      </c>
    </row>
    <row r="587" spans="7:7" x14ac:dyDescent="0.35">
      <c r="G587" s="79" t="str">
        <f t="shared" si="10"/>
        <v xml:space="preserve"> </v>
      </c>
    </row>
    <row r="588" spans="7:7" x14ac:dyDescent="0.35">
      <c r="G588" s="79" t="str">
        <f t="shared" si="10"/>
        <v xml:space="preserve"> </v>
      </c>
    </row>
    <row r="589" spans="7:7" x14ac:dyDescent="0.35">
      <c r="G589" s="79" t="str">
        <f t="shared" si="10"/>
        <v xml:space="preserve"> </v>
      </c>
    </row>
    <row r="590" spans="7:7" x14ac:dyDescent="0.35">
      <c r="G590" s="79" t="str">
        <f t="shared" si="10"/>
        <v xml:space="preserve"> </v>
      </c>
    </row>
    <row r="591" spans="7:7" x14ac:dyDescent="0.35">
      <c r="G591" s="79" t="str">
        <f t="shared" si="10"/>
        <v xml:space="preserve"> </v>
      </c>
    </row>
    <row r="592" spans="7:7" x14ac:dyDescent="0.35">
      <c r="G592" s="79" t="str">
        <f t="shared" si="10"/>
        <v xml:space="preserve"> </v>
      </c>
    </row>
    <row r="593" spans="7:7" x14ac:dyDescent="0.35">
      <c r="G593" s="79" t="str">
        <f t="shared" si="10"/>
        <v xml:space="preserve"> </v>
      </c>
    </row>
    <row r="594" spans="7:7" x14ac:dyDescent="0.35">
      <c r="G594" s="79" t="str">
        <f t="shared" si="10"/>
        <v xml:space="preserve"> </v>
      </c>
    </row>
    <row r="595" spans="7:7" x14ac:dyDescent="0.35">
      <c r="G595" s="79" t="str">
        <f t="shared" si="10"/>
        <v xml:space="preserve"> </v>
      </c>
    </row>
    <row r="596" spans="7:7" x14ac:dyDescent="0.35">
      <c r="G596" s="79" t="str">
        <f t="shared" si="10"/>
        <v xml:space="preserve"> </v>
      </c>
    </row>
    <row r="597" spans="7:7" x14ac:dyDescent="0.35">
      <c r="G597" s="79" t="str">
        <f t="shared" si="10"/>
        <v xml:space="preserve"> </v>
      </c>
    </row>
    <row r="598" spans="7:7" x14ac:dyDescent="0.35">
      <c r="G598" s="79" t="str">
        <f t="shared" si="10"/>
        <v xml:space="preserve"> </v>
      </c>
    </row>
    <row r="599" spans="7:7" x14ac:dyDescent="0.35">
      <c r="G599" s="79" t="str">
        <f t="shared" si="10"/>
        <v xml:space="preserve"> </v>
      </c>
    </row>
    <row r="600" spans="7:7" x14ac:dyDescent="0.35">
      <c r="G600" s="79" t="str">
        <f t="shared" si="10"/>
        <v xml:space="preserve"> </v>
      </c>
    </row>
    <row r="601" spans="7:7" x14ac:dyDescent="0.35">
      <c r="G601" s="79" t="str">
        <f t="shared" si="10"/>
        <v xml:space="preserve"> </v>
      </c>
    </row>
    <row r="602" spans="7:7" x14ac:dyDescent="0.35">
      <c r="G602" s="79" t="str">
        <f t="shared" si="10"/>
        <v xml:space="preserve"> </v>
      </c>
    </row>
    <row r="603" spans="7:7" x14ac:dyDescent="0.35">
      <c r="G603" s="79" t="str">
        <f t="shared" si="10"/>
        <v xml:space="preserve"> </v>
      </c>
    </row>
    <row r="604" spans="7:7" x14ac:dyDescent="0.35">
      <c r="G604" s="79" t="str">
        <f t="shared" si="10"/>
        <v xml:space="preserve"> </v>
      </c>
    </row>
    <row r="605" spans="7:7" x14ac:dyDescent="0.35">
      <c r="G605" s="79" t="str">
        <f t="shared" si="10"/>
        <v xml:space="preserve"> </v>
      </c>
    </row>
    <row r="606" spans="7:7" x14ac:dyDescent="0.35">
      <c r="G606" s="79" t="str">
        <f t="shared" si="10"/>
        <v xml:space="preserve"> </v>
      </c>
    </row>
    <row r="607" spans="7:7" x14ac:dyDescent="0.35">
      <c r="G607" s="79" t="str">
        <f t="shared" si="10"/>
        <v xml:space="preserve"> </v>
      </c>
    </row>
    <row r="608" spans="7:7" x14ac:dyDescent="0.35">
      <c r="G608" s="79" t="str">
        <f t="shared" si="10"/>
        <v xml:space="preserve"> </v>
      </c>
    </row>
    <row r="609" spans="7:7" x14ac:dyDescent="0.35">
      <c r="G609" s="79" t="str">
        <f t="shared" si="10"/>
        <v xml:space="preserve"> </v>
      </c>
    </row>
    <row r="610" spans="7:7" x14ac:dyDescent="0.35">
      <c r="G610" s="79" t="str">
        <f t="shared" si="10"/>
        <v xml:space="preserve"> </v>
      </c>
    </row>
    <row r="611" spans="7:7" x14ac:dyDescent="0.35">
      <c r="G611" s="79" t="str">
        <f t="shared" si="10"/>
        <v xml:space="preserve"> </v>
      </c>
    </row>
    <row r="612" spans="7:7" x14ac:dyDescent="0.35">
      <c r="G612" s="79" t="str">
        <f t="shared" si="10"/>
        <v xml:space="preserve"> </v>
      </c>
    </row>
    <row r="613" spans="7:7" x14ac:dyDescent="0.35">
      <c r="G613" s="79" t="str">
        <f t="shared" si="10"/>
        <v xml:space="preserve"> </v>
      </c>
    </row>
    <row r="614" spans="7:7" x14ac:dyDescent="0.35">
      <c r="G614" s="79" t="str">
        <f t="shared" si="10"/>
        <v xml:space="preserve"> </v>
      </c>
    </row>
    <row r="615" spans="7:7" x14ac:dyDescent="0.35">
      <c r="G615" s="79" t="str">
        <f t="shared" si="10"/>
        <v xml:space="preserve"> </v>
      </c>
    </row>
    <row r="616" spans="7:7" x14ac:dyDescent="0.35">
      <c r="G616" s="79" t="str">
        <f t="shared" si="10"/>
        <v xml:space="preserve"> </v>
      </c>
    </row>
    <row r="617" spans="7:7" x14ac:dyDescent="0.35">
      <c r="G617" s="79" t="str">
        <f t="shared" si="10"/>
        <v xml:space="preserve"> </v>
      </c>
    </row>
    <row r="618" spans="7:7" x14ac:dyDescent="0.35">
      <c r="G618" s="79" t="str">
        <f t="shared" si="10"/>
        <v xml:space="preserve"> </v>
      </c>
    </row>
    <row r="619" spans="7:7" x14ac:dyDescent="0.35">
      <c r="G619" s="79" t="str">
        <f t="shared" si="10"/>
        <v xml:space="preserve"> </v>
      </c>
    </row>
    <row r="620" spans="7:7" x14ac:dyDescent="0.35">
      <c r="G620" s="79" t="str">
        <f t="shared" si="10"/>
        <v xml:space="preserve"> </v>
      </c>
    </row>
    <row r="621" spans="7:7" x14ac:dyDescent="0.35">
      <c r="G621" s="79" t="str">
        <f t="shared" si="10"/>
        <v xml:space="preserve"> </v>
      </c>
    </row>
    <row r="622" spans="7:7" x14ac:dyDescent="0.35">
      <c r="G622" s="79" t="str">
        <f t="shared" si="10"/>
        <v xml:space="preserve"> </v>
      </c>
    </row>
    <row r="623" spans="7:7" x14ac:dyDescent="0.35">
      <c r="G623" s="79" t="str">
        <f t="shared" si="10"/>
        <v xml:space="preserve"> </v>
      </c>
    </row>
    <row r="624" spans="7:7" x14ac:dyDescent="0.35">
      <c r="G624" s="79" t="str">
        <f t="shared" si="10"/>
        <v xml:space="preserve"> </v>
      </c>
    </row>
    <row r="625" spans="7:7" x14ac:dyDescent="0.35">
      <c r="G625" s="79" t="str">
        <f t="shared" si="10"/>
        <v xml:space="preserve"> </v>
      </c>
    </row>
    <row r="626" spans="7:7" x14ac:dyDescent="0.35">
      <c r="G626" s="79" t="str">
        <f t="shared" si="10"/>
        <v xml:space="preserve"> </v>
      </c>
    </row>
    <row r="627" spans="7:7" x14ac:dyDescent="0.35">
      <c r="G627" s="79" t="str">
        <f t="shared" si="10"/>
        <v xml:space="preserve"> </v>
      </c>
    </row>
    <row r="628" spans="7:7" x14ac:dyDescent="0.35">
      <c r="G628" s="79" t="str">
        <f t="shared" si="10"/>
        <v xml:space="preserve"> </v>
      </c>
    </row>
    <row r="629" spans="7:7" x14ac:dyDescent="0.35">
      <c r="G629" s="79" t="str">
        <f t="shared" si="10"/>
        <v xml:space="preserve"> </v>
      </c>
    </row>
    <row r="630" spans="7:7" x14ac:dyDescent="0.35">
      <c r="G630" s="79" t="str">
        <f t="shared" si="10"/>
        <v xml:space="preserve"> </v>
      </c>
    </row>
    <row r="631" spans="7:7" x14ac:dyDescent="0.35">
      <c r="G631" s="79" t="str">
        <f t="shared" si="10"/>
        <v xml:space="preserve"> </v>
      </c>
    </row>
    <row r="632" spans="7:7" x14ac:dyDescent="0.35">
      <c r="G632" s="79" t="str">
        <f t="shared" si="10"/>
        <v xml:space="preserve"> </v>
      </c>
    </row>
    <row r="633" spans="7:7" x14ac:dyDescent="0.35">
      <c r="G633" s="79" t="str">
        <f t="shared" si="10"/>
        <v xml:space="preserve"> </v>
      </c>
    </row>
    <row r="634" spans="7:7" x14ac:dyDescent="0.35">
      <c r="G634" s="79" t="str">
        <f t="shared" si="10"/>
        <v xml:space="preserve"> </v>
      </c>
    </row>
    <row r="635" spans="7:7" x14ac:dyDescent="0.35">
      <c r="G635" s="79" t="str">
        <f t="shared" si="10"/>
        <v xml:space="preserve"> </v>
      </c>
    </row>
    <row r="636" spans="7:7" x14ac:dyDescent="0.35">
      <c r="G636" s="79" t="str">
        <f t="shared" si="10"/>
        <v xml:space="preserve"> </v>
      </c>
    </row>
    <row r="637" spans="7:7" x14ac:dyDescent="0.35">
      <c r="G637" s="79" t="str">
        <f t="shared" si="10"/>
        <v xml:space="preserve"> </v>
      </c>
    </row>
    <row r="638" spans="7:7" x14ac:dyDescent="0.35">
      <c r="G638" s="79" t="str">
        <f t="shared" si="10"/>
        <v xml:space="preserve"> </v>
      </c>
    </row>
    <row r="639" spans="7:7" x14ac:dyDescent="0.35">
      <c r="G639" s="79" t="str">
        <f t="shared" si="10"/>
        <v xml:space="preserve"> </v>
      </c>
    </row>
    <row r="640" spans="7:7" x14ac:dyDescent="0.35">
      <c r="G640" s="79" t="str">
        <f t="shared" si="10"/>
        <v xml:space="preserve"> </v>
      </c>
    </row>
    <row r="641" spans="7:7" x14ac:dyDescent="0.35">
      <c r="G641" s="79" t="str">
        <f t="shared" si="10"/>
        <v xml:space="preserve"> </v>
      </c>
    </row>
    <row r="642" spans="7:7" x14ac:dyDescent="0.35">
      <c r="G642" s="79" t="str">
        <f t="shared" si="10"/>
        <v xml:space="preserve"> </v>
      </c>
    </row>
    <row r="643" spans="7:7" x14ac:dyDescent="0.35">
      <c r="G643" s="79" t="str">
        <f t="shared" si="10"/>
        <v xml:space="preserve"> </v>
      </c>
    </row>
    <row r="644" spans="7:7" x14ac:dyDescent="0.35">
      <c r="G644" s="79" t="str">
        <f t="shared" si="10"/>
        <v xml:space="preserve"> </v>
      </c>
    </row>
    <row r="645" spans="7:7" x14ac:dyDescent="0.35">
      <c r="G645" s="79" t="str">
        <f t="shared" si="10"/>
        <v xml:space="preserve"> </v>
      </c>
    </row>
    <row r="646" spans="7:7" x14ac:dyDescent="0.35">
      <c r="G646" s="79" t="str">
        <f t="shared" ref="G646:G709" si="11">IF(F646 = 0, " ", IF(F646&lt;2, F646/1, F646/3.28084))</f>
        <v xml:space="preserve"> </v>
      </c>
    </row>
    <row r="647" spans="7:7" x14ac:dyDescent="0.35">
      <c r="G647" s="79" t="str">
        <f t="shared" si="11"/>
        <v xml:space="preserve"> </v>
      </c>
    </row>
    <row r="648" spans="7:7" x14ac:dyDescent="0.35">
      <c r="G648" s="79" t="str">
        <f t="shared" si="11"/>
        <v xml:space="preserve"> </v>
      </c>
    </row>
    <row r="649" spans="7:7" x14ac:dyDescent="0.35">
      <c r="G649" s="79" t="str">
        <f t="shared" si="11"/>
        <v xml:space="preserve"> </v>
      </c>
    </row>
    <row r="650" spans="7:7" x14ac:dyDescent="0.35">
      <c r="G650" s="79" t="str">
        <f t="shared" si="11"/>
        <v xml:space="preserve"> </v>
      </c>
    </row>
    <row r="651" spans="7:7" x14ac:dyDescent="0.35">
      <c r="G651" s="79" t="str">
        <f t="shared" si="11"/>
        <v xml:space="preserve"> </v>
      </c>
    </row>
    <row r="652" spans="7:7" x14ac:dyDescent="0.35">
      <c r="G652" s="79" t="str">
        <f t="shared" si="11"/>
        <v xml:space="preserve"> </v>
      </c>
    </row>
    <row r="653" spans="7:7" x14ac:dyDescent="0.35">
      <c r="G653" s="79" t="str">
        <f t="shared" si="11"/>
        <v xml:space="preserve"> </v>
      </c>
    </row>
    <row r="654" spans="7:7" x14ac:dyDescent="0.35">
      <c r="G654" s="79" t="str">
        <f t="shared" si="11"/>
        <v xml:space="preserve"> </v>
      </c>
    </row>
    <row r="655" spans="7:7" x14ac:dyDescent="0.35">
      <c r="G655" s="79" t="str">
        <f t="shared" si="11"/>
        <v xml:space="preserve"> </v>
      </c>
    </row>
    <row r="656" spans="7:7" x14ac:dyDescent="0.35">
      <c r="G656" s="79" t="str">
        <f t="shared" si="11"/>
        <v xml:space="preserve"> </v>
      </c>
    </row>
    <row r="657" spans="7:7" x14ac:dyDescent="0.35">
      <c r="G657" s="79" t="str">
        <f t="shared" si="11"/>
        <v xml:space="preserve"> </v>
      </c>
    </row>
    <row r="658" spans="7:7" x14ac:dyDescent="0.35">
      <c r="G658" s="79" t="str">
        <f t="shared" si="11"/>
        <v xml:space="preserve"> </v>
      </c>
    </row>
    <row r="659" spans="7:7" x14ac:dyDescent="0.35">
      <c r="G659" s="79" t="str">
        <f t="shared" si="11"/>
        <v xml:space="preserve"> </v>
      </c>
    </row>
    <row r="660" spans="7:7" x14ac:dyDescent="0.35">
      <c r="G660" s="79" t="str">
        <f t="shared" si="11"/>
        <v xml:space="preserve"> </v>
      </c>
    </row>
    <row r="661" spans="7:7" x14ac:dyDescent="0.35">
      <c r="G661" s="79" t="str">
        <f t="shared" si="11"/>
        <v xml:space="preserve"> </v>
      </c>
    </row>
    <row r="662" spans="7:7" x14ac:dyDescent="0.35">
      <c r="G662" s="79" t="str">
        <f t="shared" si="11"/>
        <v xml:space="preserve"> </v>
      </c>
    </row>
    <row r="663" spans="7:7" x14ac:dyDescent="0.35">
      <c r="G663" s="79" t="str">
        <f t="shared" si="11"/>
        <v xml:space="preserve"> </v>
      </c>
    </row>
    <row r="664" spans="7:7" x14ac:dyDescent="0.35">
      <c r="G664" s="79" t="str">
        <f t="shared" si="11"/>
        <v xml:space="preserve"> </v>
      </c>
    </row>
    <row r="665" spans="7:7" x14ac:dyDescent="0.35">
      <c r="G665" s="79" t="str">
        <f t="shared" si="11"/>
        <v xml:space="preserve"> </v>
      </c>
    </row>
    <row r="666" spans="7:7" x14ac:dyDescent="0.35">
      <c r="G666" s="79" t="str">
        <f t="shared" si="11"/>
        <v xml:space="preserve"> </v>
      </c>
    </row>
    <row r="667" spans="7:7" x14ac:dyDescent="0.35">
      <c r="G667" s="79" t="str">
        <f t="shared" si="11"/>
        <v xml:space="preserve"> </v>
      </c>
    </row>
    <row r="668" spans="7:7" x14ac:dyDescent="0.35">
      <c r="G668" s="79" t="str">
        <f t="shared" si="11"/>
        <v xml:space="preserve"> </v>
      </c>
    </row>
    <row r="669" spans="7:7" x14ac:dyDescent="0.35">
      <c r="G669" s="79" t="str">
        <f t="shared" si="11"/>
        <v xml:space="preserve"> </v>
      </c>
    </row>
    <row r="670" spans="7:7" x14ac:dyDescent="0.35">
      <c r="G670" s="79" t="str">
        <f t="shared" si="11"/>
        <v xml:space="preserve"> </v>
      </c>
    </row>
    <row r="671" spans="7:7" x14ac:dyDescent="0.35">
      <c r="G671" s="79" t="str">
        <f t="shared" si="11"/>
        <v xml:space="preserve"> </v>
      </c>
    </row>
    <row r="672" spans="7:7" x14ac:dyDescent="0.35">
      <c r="G672" s="79" t="str">
        <f t="shared" si="11"/>
        <v xml:space="preserve"> </v>
      </c>
    </row>
    <row r="673" spans="7:7" x14ac:dyDescent="0.35">
      <c r="G673" s="79" t="str">
        <f t="shared" si="11"/>
        <v xml:space="preserve"> </v>
      </c>
    </row>
    <row r="674" spans="7:7" x14ac:dyDescent="0.35">
      <c r="G674" s="79" t="str">
        <f t="shared" si="11"/>
        <v xml:space="preserve"> </v>
      </c>
    </row>
    <row r="675" spans="7:7" x14ac:dyDescent="0.35">
      <c r="G675" s="79" t="str">
        <f t="shared" si="11"/>
        <v xml:space="preserve"> </v>
      </c>
    </row>
    <row r="676" spans="7:7" x14ac:dyDescent="0.35">
      <c r="G676" s="79" t="str">
        <f t="shared" si="11"/>
        <v xml:space="preserve"> </v>
      </c>
    </row>
    <row r="677" spans="7:7" x14ac:dyDescent="0.35">
      <c r="G677" s="79" t="str">
        <f t="shared" si="11"/>
        <v xml:space="preserve"> </v>
      </c>
    </row>
    <row r="678" spans="7:7" x14ac:dyDescent="0.35">
      <c r="G678" s="79" t="str">
        <f t="shared" si="11"/>
        <v xml:space="preserve"> </v>
      </c>
    </row>
    <row r="679" spans="7:7" x14ac:dyDescent="0.35">
      <c r="G679" s="79" t="str">
        <f t="shared" si="11"/>
        <v xml:space="preserve"> </v>
      </c>
    </row>
    <row r="680" spans="7:7" x14ac:dyDescent="0.35">
      <c r="G680" s="79" t="str">
        <f t="shared" si="11"/>
        <v xml:space="preserve"> </v>
      </c>
    </row>
    <row r="681" spans="7:7" x14ac:dyDescent="0.35">
      <c r="G681" s="79" t="str">
        <f t="shared" si="11"/>
        <v xml:space="preserve"> </v>
      </c>
    </row>
    <row r="682" spans="7:7" x14ac:dyDescent="0.35">
      <c r="G682" s="79" t="str">
        <f t="shared" si="11"/>
        <v xml:space="preserve"> </v>
      </c>
    </row>
    <row r="683" spans="7:7" x14ac:dyDescent="0.35">
      <c r="G683" s="79" t="str">
        <f t="shared" si="11"/>
        <v xml:space="preserve"> </v>
      </c>
    </row>
    <row r="684" spans="7:7" x14ac:dyDescent="0.35">
      <c r="G684" s="79" t="str">
        <f t="shared" si="11"/>
        <v xml:space="preserve"> </v>
      </c>
    </row>
    <row r="685" spans="7:7" x14ac:dyDescent="0.35">
      <c r="G685" s="79" t="str">
        <f t="shared" si="11"/>
        <v xml:space="preserve"> </v>
      </c>
    </row>
    <row r="686" spans="7:7" x14ac:dyDescent="0.35">
      <c r="G686" s="79" t="str">
        <f t="shared" si="11"/>
        <v xml:space="preserve"> </v>
      </c>
    </row>
    <row r="687" spans="7:7" x14ac:dyDescent="0.35">
      <c r="G687" s="79" t="str">
        <f t="shared" si="11"/>
        <v xml:space="preserve"> </v>
      </c>
    </row>
    <row r="688" spans="7:7" x14ac:dyDescent="0.35">
      <c r="G688" s="79" t="str">
        <f t="shared" si="11"/>
        <v xml:space="preserve"> </v>
      </c>
    </row>
    <row r="689" spans="7:7" x14ac:dyDescent="0.35">
      <c r="G689" s="79" t="str">
        <f t="shared" si="11"/>
        <v xml:space="preserve"> </v>
      </c>
    </row>
    <row r="690" spans="7:7" x14ac:dyDescent="0.35">
      <c r="G690" s="79" t="str">
        <f t="shared" si="11"/>
        <v xml:space="preserve"> </v>
      </c>
    </row>
    <row r="691" spans="7:7" x14ac:dyDescent="0.35">
      <c r="G691" s="79" t="str">
        <f t="shared" si="11"/>
        <v xml:space="preserve"> </v>
      </c>
    </row>
    <row r="692" spans="7:7" x14ac:dyDescent="0.35">
      <c r="G692" s="79" t="str">
        <f t="shared" si="11"/>
        <v xml:space="preserve"> </v>
      </c>
    </row>
    <row r="693" spans="7:7" x14ac:dyDescent="0.35">
      <c r="G693" s="79" t="str">
        <f t="shared" si="11"/>
        <v xml:space="preserve"> </v>
      </c>
    </row>
    <row r="694" spans="7:7" x14ac:dyDescent="0.35">
      <c r="G694" s="79" t="str">
        <f t="shared" si="11"/>
        <v xml:space="preserve"> </v>
      </c>
    </row>
    <row r="695" spans="7:7" x14ac:dyDescent="0.35">
      <c r="G695" s="79" t="str">
        <f t="shared" si="11"/>
        <v xml:space="preserve"> </v>
      </c>
    </row>
    <row r="696" spans="7:7" x14ac:dyDescent="0.35">
      <c r="G696" s="79" t="str">
        <f t="shared" si="11"/>
        <v xml:space="preserve"> </v>
      </c>
    </row>
    <row r="697" spans="7:7" x14ac:dyDescent="0.35">
      <c r="G697" s="79" t="str">
        <f t="shared" si="11"/>
        <v xml:space="preserve"> </v>
      </c>
    </row>
    <row r="698" spans="7:7" x14ac:dyDescent="0.35">
      <c r="G698" s="79" t="str">
        <f t="shared" si="11"/>
        <v xml:space="preserve"> </v>
      </c>
    </row>
    <row r="699" spans="7:7" x14ac:dyDescent="0.35">
      <c r="G699" s="79" t="str">
        <f t="shared" si="11"/>
        <v xml:space="preserve"> </v>
      </c>
    </row>
    <row r="700" spans="7:7" x14ac:dyDescent="0.35">
      <c r="G700" s="79" t="str">
        <f t="shared" si="11"/>
        <v xml:space="preserve"> </v>
      </c>
    </row>
    <row r="701" spans="7:7" x14ac:dyDescent="0.35">
      <c r="G701" s="79" t="str">
        <f t="shared" si="11"/>
        <v xml:space="preserve"> </v>
      </c>
    </row>
    <row r="702" spans="7:7" x14ac:dyDescent="0.35">
      <c r="G702" s="79" t="str">
        <f t="shared" si="11"/>
        <v xml:space="preserve"> </v>
      </c>
    </row>
    <row r="703" spans="7:7" x14ac:dyDescent="0.35">
      <c r="G703" s="79" t="str">
        <f t="shared" si="11"/>
        <v xml:space="preserve"> </v>
      </c>
    </row>
    <row r="704" spans="7:7" x14ac:dyDescent="0.35">
      <c r="G704" s="79" t="str">
        <f t="shared" si="11"/>
        <v xml:space="preserve"> </v>
      </c>
    </row>
    <row r="705" spans="7:7" x14ac:dyDescent="0.35">
      <c r="G705" s="79" t="str">
        <f t="shared" si="11"/>
        <v xml:space="preserve"> </v>
      </c>
    </row>
    <row r="706" spans="7:7" x14ac:dyDescent="0.35">
      <c r="G706" s="79" t="str">
        <f t="shared" si="11"/>
        <v xml:space="preserve"> </v>
      </c>
    </row>
    <row r="707" spans="7:7" x14ac:dyDescent="0.35">
      <c r="G707" s="79" t="str">
        <f t="shared" si="11"/>
        <v xml:space="preserve"> </v>
      </c>
    </row>
    <row r="708" spans="7:7" x14ac:dyDescent="0.35">
      <c r="G708" s="79" t="str">
        <f t="shared" si="11"/>
        <v xml:space="preserve"> </v>
      </c>
    </row>
    <row r="709" spans="7:7" x14ac:dyDescent="0.35">
      <c r="G709" s="79" t="str">
        <f t="shared" si="11"/>
        <v xml:space="preserve"> </v>
      </c>
    </row>
    <row r="710" spans="7:7" x14ac:dyDescent="0.35">
      <c r="G710" s="79" t="str">
        <f t="shared" ref="G710:G724" si="12">IF(F710 = 0, " ", IF(F710&lt;2, F710/1, F710/3.28084))</f>
        <v xml:space="preserve"> </v>
      </c>
    </row>
    <row r="711" spans="7:7" x14ac:dyDescent="0.35">
      <c r="G711" s="79" t="str">
        <f t="shared" si="12"/>
        <v xml:space="preserve"> </v>
      </c>
    </row>
    <row r="712" spans="7:7" x14ac:dyDescent="0.35">
      <c r="G712" s="79" t="str">
        <f t="shared" si="12"/>
        <v xml:space="preserve"> </v>
      </c>
    </row>
    <row r="713" spans="7:7" x14ac:dyDescent="0.35">
      <c r="G713" s="79" t="str">
        <f t="shared" si="12"/>
        <v xml:space="preserve"> </v>
      </c>
    </row>
    <row r="714" spans="7:7" x14ac:dyDescent="0.35">
      <c r="G714" s="79" t="str">
        <f t="shared" si="12"/>
        <v xml:space="preserve"> </v>
      </c>
    </row>
    <row r="715" spans="7:7" x14ac:dyDescent="0.35">
      <c r="G715" s="79" t="str">
        <f t="shared" si="12"/>
        <v xml:space="preserve"> </v>
      </c>
    </row>
    <row r="716" spans="7:7" x14ac:dyDescent="0.35">
      <c r="G716" s="79" t="str">
        <f t="shared" si="12"/>
        <v xml:space="preserve"> </v>
      </c>
    </row>
    <row r="717" spans="7:7" x14ac:dyDescent="0.35">
      <c r="G717" s="79" t="str">
        <f t="shared" si="12"/>
        <v xml:space="preserve"> </v>
      </c>
    </row>
    <row r="718" spans="7:7" x14ac:dyDescent="0.35">
      <c r="G718" s="79" t="str">
        <f t="shared" si="12"/>
        <v xml:space="preserve"> </v>
      </c>
    </row>
    <row r="719" spans="7:7" x14ac:dyDescent="0.35">
      <c r="G719" s="79" t="str">
        <f t="shared" si="12"/>
        <v xml:space="preserve"> </v>
      </c>
    </row>
    <row r="720" spans="7:7" x14ac:dyDescent="0.35">
      <c r="G720" s="79" t="str">
        <f t="shared" si="12"/>
        <v xml:space="preserve"> </v>
      </c>
    </row>
    <row r="721" spans="7:7" x14ac:dyDescent="0.35">
      <c r="G721" s="79" t="str">
        <f t="shared" si="12"/>
        <v xml:space="preserve"> </v>
      </c>
    </row>
    <row r="722" spans="7:7" x14ac:dyDescent="0.35">
      <c r="G722" s="79" t="str">
        <f t="shared" si="12"/>
        <v xml:space="preserve"> </v>
      </c>
    </row>
    <row r="723" spans="7:7" x14ac:dyDescent="0.35">
      <c r="G723" s="79" t="str">
        <f t="shared" si="12"/>
        <v xml:space="preserve"> </v>
      </c>
    </row>
    <row r="724" spans="7:7" x14ac:dyDescent="0.35">
      <c r="G724" s="79" t="str">
        <f t="shared" si="12"/>
        <v xml:space="preserve"> </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8310D-4A8B-44B2-9D55-E84B8AFF5843}">
  <dimension ref="A1:Q168"/>
  <sheetViews>
    <sheetView zoomScale="81" workbookViewId="0">
      <selection activeCell="J19" sqref="J19"/>
    </sheetView>
  </sheetViews>
  <sheetFormatPr defaultRowHeight="14.5" x14ac:dyDescent="0.35"/>
  <cols>
    <col min="1" max="1" width="7.1796875" style="68" bestFit="1" customWidth="1"/>
    <col min="2" max="2" width="9.36328125" bestFit="1" customWidth="1"/>
    <col min="3" max="3" width="5.7265625" style="72" bestFit="1" customWidth="1"/>
    <col min="4" max="4" width="7.453125" style="73" bestFit="1" customWidth="1"/>
    <col min="6" max="6" width="6.26953125" style="78" bestFit="1" customWidth="1"/>
    <col min="7" max="7" width="6.36328125" style="79" bestFit="1" customWidth="1"/>
    <col min="8" max="8" width="8.7265625" style="64"/>
    <col min="9" max="9" width="7" style="72" bestFit="1" customWidth="1"/>
    <col min="10" max="10" width="8.7265625" style="79"/>
    <col min="12" max="12" width="9.54296875" style="72" customWidth="1"/>
    <col min="13" max="13" width="9.6328125" customWidth="1"/>
    <col min="15" max="15" width="8.7265625" style="64"/>
    <col min="16" max="16" width="8.7265625" style="73"/>
    <col min="17" max="17" width="38.453125" customWidth="1"/>
  </cols>
  <sheetData>
    <row r="1" spans="1:17" ht="44" thickBot="1" x14ac:dyDescent="0.4">
      <c r="A1" s="67" t="s">
        <v>24</v>
      </c>
      <c r="B1" s="86" t="s">
        <v>2</v>
      </c>
      <c r="C1" s="70" t="s">
        <v>7</v>
      </c>
      <c r="D1" s="71" t="s">
        <v>41</v>
      </c>
      <c r="E1" s="58" t="s">
        <v>67</v>
      </c>
      <c r="F1" s="76" t="s">
        <v>8</v>
      </c>
      <c r="G1" s="77" t="s">
        <v>9</v>
      </c>
      <c r="H1" s="65" t="s">
        <v>12</v>
      </c>
      <c r="I1" s="70" t="s">
        <v>10</v>
      </c>
      <c r="J1" s="77" t="s">
        <v>11</v>
      </c>
      <c r="K1" s="58" t="s">
        <v>13</v>
      </c>
      <c r="L1" s="70" t="s">
        <v>14</v>
      </c>
      <c r="M1" s="58" t="s">
        <v>15</v>
      </c>
      <c r="N1" s="58" t="s">
        <v>16</v>
      </c>
      <c r="O1" s="65" t="s">
        <v>17</v>
      </c>
      <c r="P1" s="71" t="s">
        <v>18</v>
      </c>
      <c r="Q1" s="58" t="s">
        <v>5</v>
      </c>
    </row>
    <row r="2" spans="1:17" x14ac:dyDescent="0.35">
      <c r="A2" s="68" t="s">
        <v>25</v>
      </c>
      <c r="B2" t="s">
        <v>26</v>
      </c>
      <c r="C2" s="72">
        <v>1</v>
      </c>
      <c r="D2" s="73" t="s">
        <v>42</v>
      </c>
      <c r="F2" s="78">
        <v>10.7</v>
      </c>
      <c r="G2" s="79">
        <f>IF(F2 = 0, " ", IF(F2&lt;2, F2/1, F2/3.28084))</f>
        <v>3.2613598956364833</v>
      </c>
      <c r="H2" s="64">
        <v>75.430000000000007</v>
      </c>
      <c r="I2" s="72">
        <v>1</v>
      </c>
      <c r="L2" s="72" t="s">
        <v>20</v>
      </c>
      <c r="M2" t="s">
        <v>29</v>
      </c>
      <c r="N2" t="s">
        <v>19</v>
      </c>
      <c r="O2" s="64">
        <v>0</v>
      </c>
      <c r="P2" s="73">
        <v>160</v>
      </c>
      <c r="Q2" t="s">
        <v>32</v>
      </c>
    </row>
    <row r="3" spans="1:17" x14ac:dyDescent="0.35">
      <c r="A3" s="68" t="s">
        <v>25</v>
      </c>
      <c r="B3" t="s">
        <v>26</v>
      </c>
      <c r="C3" s="72">
        <v>1</v>
      </c>
      <c r="G3" s="79" t="str">
        <f t="shared" ref="G3:G70" si="0">IF(F3 = 0, " ", IF(F3&lt;2, F3/1, F3/3.28084))</f>
        <v xml:space="preserve"> </v>
      </c>
      <c r="L3" s="72" t="s">
        <v>20</v>
      </c>
      <c r="M3" t="s">
        <v>22</v>
      </c>
      <c r="N3" t="s">
        <v>19</v>
      </c>
      <c r="O3" s="64">
        <v>0.41</v>
      </c>
      <c r="P3" s="73">
        <v>0</v>
      </c>
    </row>
    <row r="4" spans="1:17" x14ac:dyDescent="0.35">
      <c r="A4" s="68" t="s">
        <v>25</v>
      </c>
      <c r="B4" t="s">
        <v>26</v>
      </c>
      <c r="C4" s="72">
        <v>2</v>
      </c>
      <c r="D4" s="73" t="s">
        <v>42</v>
      </c>
      <c r="F4" s="78">
        <v>5</v>
      </c>
      <c r="G4" s="79">
        <f t="shared" si="0"/>
        <v>1.5239999512320015</v>
      </c>
      <c r="H4" s="64">
        <v>11.04</v>
      </c>
      <c r="I4" s="72">
        <v>2</v>
      </c>
      <c r="J4" s="79">
        <v>1.4</v>
      </c>
      <c r="L4" s="72" t="s">
        <v>20</v>
      </c>
      <c r="M4" t="s">
        <v>29</v>
      </c>
      <c r="N4" t="s">
        <v>19</v>
      </c>
      <c r="O4" s="64">
        <v>0</v>
      </c>
      <c r="P4" s="73">
        <v>210</v>
      </c>
      <c r="Q4" t="s">
        <v>32</v>
      </c>
    </row>
    <row r="5" spans="1:17" x14ac:dyDescent="0.35">
      <c r="A5" s="68" t="s">
        <v>25</v>
      </c>
      <c r="B5" t="s">
        <v>26</v>
      </c>
      <c r="C5" s="72">
        <v>3</v>
      </c>
      <c r="D5" s="73" t="s">
        <v>42</v>
      </c>
      <c r="F5" s="78">
        <v>10.9</v>
      </c>
      <c r="G5" s="79">
        <f t="shared" si="0"/>
        <v>3.3223198936857634</v>
      </c>
      <c r="H5" s="64">
        <v>39.85</v>
      </c>
      <c r="I5" s="72">
        <v>1</v>
      </c>
      <c r="L5" s="72" t="s">
        <v>20</v>
      </c>
      <c r="M5" t="s">
        <v>22</v>
      </c>
      <c r="N5" t="s">
        <v>19</v>
      </c>
      <c r="O5" s="64">
        <v>0.45</v>
      </c>
      <c r="P5" s="73">
        <v>0</v>
      </c>
      <c r="Q5" t="s">
        <v>32</v>
      </c>
    </row>
    <row r="6" spans="1:17" x14ac:dyDescent="0.35">
      <c r="A6" s="68" t="s">
        <v>25</v>
      </c>
      <c r="B6" t="s">
        <v>26</v>
      </c>
      <c r="C6" s="72">
        <v>4</v>
      </c>
      <c r="D6" s="73" t="s">
        <v>42</v>
      </c>
      <c r="F6" s="78">
        <v>14</v>
      </c>
      <c r="G6" s="79">
        <f t="shared" si="0"/>
        <v>4.267199863449604</v>
      </c>
      <c r="H6" s="64">
        <v>86.6</v>
      </c>
      <c r="I6" s="72">
        <v>1</v>
      </c>
      <c r="K6">
        <v>77</v>
      </c>
      <c r="L6" s="72" t="s">
        <v>20</v>
      </c>
      <c r="M6" t="s">
        <v>21</v>
      </c>
      <c r="N6" t="s">
        <v>19</v>
      </c>
      <c r="O6" s="64">
        <v>1.4</v>
      </c>
      <c r="P6" s="73">
        <v>45</v>
      </c>
      <c r="Q6" t="s">
        <v>32</v>
      </c>
    </row>
    <row r="7" spans="1:17" x14ac:dyDescent="0.35">
      <c r="A7" s="68" t="s">
        <v>25</v>
      </c>
      <c r="B7" t="s">
        <v>26</v>
      </c>
      <c r="C7" s="72">
        <v>5</v>
      </c>
      <c r="D7" s="73" t="s">
        <v>42</v>
      </c>
      <c r="F7" s="78">
        <v>13.6</v>
      </c>
      <c r="G7" s="79">
        <f t="shared" si="0"/>
        <v>4.1452798673510438</v>
      </c>
      <c r="H7" s="64">
        <v>70.62</v>
      </c>
      <c r="I7" s="72">
        <v>1</v>
      </c>
      <c r="K7">
        <v>344</v>
      </c>
      <c r="L7" s="72" t="s">
        <v>20</v>
      </c>
      <c r="M7" t="s">
        <v>29</v>
      </c>
      <c r="N7" t="s">
        <v>19</v>
      </c>
      <c r="O7" s="64">
        <v>0</v>
      </c>
      <c r="P7" s="73">
        <v>310</v>
      </c>
    </row>
    <row r="8" spans="1:17" x14ac:dyDescent="0.35">
      <c r="A8" s="68" t="s">
        <v>25</v>
      </c>
      <c r="B8" t="s">
        <v>26</v>
      </c>
      <c r="C8" s="72">
        <v>5</v>
      </c>
      <c r="G8" s="79" t="str">
        <f t="shared" si="0"/>
        <v xml:space="preserve"> </v>
      </c>
      <c r="L8" s="72" t="s">
        <v>20</v>
      </c>
      <c r="M8" t="s">
        <v>21</v>
      </c>
      <c r="N8" t="s">
        <v>19</v>
      </c>
      <c r="O8" s="64">
        <v>0.57999999999999996</v>
      </c>
      <c r="P8" s="73">
        <v>80</v>
      </c>
    </row>
    <row r="9" spans="1:17" x14ac:dyDescent="0.35">
      <c r="A9" s="68" t="s">
        <v>25</v>
      </c>
      <c r="B9" t="s">
        <v>26</v>
      </c>
      <c r="C9" s="72">
        <v>5</v>
      </c>
      <c r="G9" s="79" t="str">
        <f t="shared" si="0"/>
        <v xml:space="preserve"> </v>
      </c>
      <c r="L9" s="72" t="s">
        <v>20</v>
      </c>
      <c r="M9" t="s">
        <v>21</v>
      </c>
      <c r="N9" t="s">
        <v>19</v>
      </c>
      <c r="O9" s="64">
        <v>1.62</v>
      </c>
      <c r="P9" s="73">
        <v>16</v>
      </c>
    </row>
    <row r="10" spans="1:17" x14ac:dyDescent="0.35">
      <c r="A10" s="68" t="s">
        <v>25</v>
      </c>
      <c r="B10" t="s">
        <v>26</v>
      </c>
      <c r="C10" s="72">
        <v>6</v>
      </c>
      <c r="D10" s="73" t="s">
        <v>42</v>
      </c>
      <c r="F10" s="78">
        <v>8.1999999999999993</v>
      </c>
      <c r="G10" s="79">
        <f t="shared" si="0"/>
        <v>2.4993599200204826</v>
      </c>
      <c r="H10" s="64">
        <v>21.46</v>
      </c>
      <c r="I10" s="72">
        <v>1</v>
      </c>
      <c r="L10" s="72" t="s">
        <v>20</v>
      </c>
      <c r="M10" t="s">
        <v>22</v>
      </c>
      <c r="N10" t="s">
        <v>19</v>
      </c>
      <c r="O10" s="64">
        <v>0.41</v>
      </c>
      <c r="P10" s="73">
        <v>0</v>
      </c>
    </row>
    <row r="11" spans="1:17" x14ac:dyDescent="0.35">
      <c r="A11" s="68" t="s">
        <v>25</v>
      </c>
      <c r="B11" t="s">
        <v>26</v>
      </c>
      <c r="C11" s="72">
        <v>6</v>
      </c>
      <c r="G11" s="79" t="str">
        <f t="shared" si="0"/>
        <v xml:space="preserve"> </v>
      </c>
      <c r="L11" s="72" t="s">
        <v>20</v>
      </c>
      <c r="M11" t="s">
        <v>22</v>
      </c>
      <c r="N11" t="s">
        <v>19</v>
      </c>
      <c r="O11" s="64">
        <v>0.57999999999999996</v>
      </c>
      <c r="P11" s="73">
        <v>0</v>
      </c>
    </row>
    <row r="12" spans="1:17" x14ac:dyDescent="0.35">
      <c r="A12" s="68" t="s">
        <v>25</v>
      </c>
      <c r="B12" t="s">
        <v>26</v>
      </c>
      <c r="C12" s="72">
        <v>6</v>
      </c>
      <c r="G12" s="79" t="str">
        <f t="shared" si="0"/>
        <v xml:space="preserve"> </v>
      </c>
      <c r="L12" s="72" t="s">
        <v>20</v>
      </c>
      <c r="M12" t="s">
        <v>22</v>
      </c>
      <c r="N12" t="s">
        <v>19</v>
      </c>
      <c r="O12" s="64">
        <v>1.23</v>
      </c>
      <c r="P12" s="73">
        <v>0</v>
      </c>
    </row>
    <row r="13" spans="1:17" x14ac:dyDescent="0.35">
      <c r="A13" s="68" t="s">
        <v>25</v>
      </c>
      <c r="B13" t="s">
        <v>26</v>
      </c>
      <c r="C13" s="72">
        <v>6</v>
      </c>
      <c r="L13" s="72" t="s">
        <v>20</v>
      </c>
      <c r="M13" t="s">
        <v>30</v>
      </c>
      <c r="N13" t="s">
        <v>19</v>
      </c>
      <c r="O13" s="64">
        <v>0.33</v>
      </c>
      <c r="P13" s="73">
        <v>0</v>
      </c>
    </row>
    <row r="14" spans="1:17" x14ac:dyDescent="0.35">
      <c r="A14" s="68" t="s">
        <v>25</v>
      </c>
      <c r="B14" t="s">
        <v>26</v>
      </c>
      <c r="C14" s="72">
        <v>7</v>
      </c>
      <c r="D14" s="73" t="s">
        <v>42</v>
      </c>
      <c r="F14" s="78">
        <v>9.3000000000000007</v>
      </c>
      <c r="G14" s="79">
        <f t="shared" si="0"/>
        <v>2.8346399092915231</v>
      </c>
      <c r="H14" s="64">
        <v>28.82</v>
      </c>
      <c r="I14" s="72">
        <v>2</v>
      </c>
      <c r="J14" s="79">
        <v>0.7</v>
      </c>
      <c r="L14" s="72" t="s">
        <v>20</v>
      </c>
      <c r="M14" t="s">
        <v>29</v>
      </c>
      <c r="N14" t="s">
        <v>20</v>
      </c>
      <c r="O14" s="64">
        <v>0</v>
      </c>
      <c r="P14" s="73">
        <v>160</v>
      </c>
    </row>
    <row r="15" spans="1:17" x14ac:dyDescent="0.35">
      <c r="A15" s="68" t="s">
        <v>25</v>
      </c>
      <c r="B15" t="s">
        <v>26</v>
      </c>
      <c r="C15" s="72">
        <v>7</v>
      </c>
      <c r="G15" s="79" t="str">
        <f t="shared" si="0"/>
        <v xml:space="preserve"> </v>
      </c>
      <c r="L15" s="72" t="s">
        <v>20</v>
      </c>
      <c r="M15" t="s">
        <v>22</v>
      </c>
      <c r="N15" t="s">
        <v>20</v>
      </c>
      <c r="O15" s="64">
        <v>0.46</v>
      </c>
      <c r="P15" s="73">
        <v>0</v>
      </c>
    </row>
    <row r="16" spans="1:17" x14ac:dyDescent="0.35">
      <c r="A16" s="68" t="s">
        <v>25</v>
      </c>
      <c r="B16" t="s">
        <v>26</v>
      </c>
      <c r="C16" s="72">
        <v>7</v>
      </c>
      <c r="G16" s="79" t="str">
        <f t="shared" si="0"/>
        <v xml:space="preserve"> </v>
      </c>
      <c r="L16" s="72" t="s">
        <v>20</v>
      </c>
      <c r="M16" t="s">
        <v>22</v>
      </c>
      <c r="N16" t="s">
        <v>20</v>
      </c>
      <c r="O16" s="64">
        <v>0.7</v>
      </c>
      <c r="P16" s="73">
        <v>0</v>
      </c>
    </row>
    <row r="17" spans="1:17" x14ac:dyDescent="0.35">
      <c r="A17" s="68" t="s">
        <v>25</v>
      </c>
      <c r="B17" t="s">
        <v>26</v>
      </c>
      <c r="C17" s="72">
        <v>8</v>
      </c>
      <c r="D17" s="73" t="s">
        <v>42</v>
      </c>
      <c r="F17" s="78">
        <v>9.9</v>
      </c>
      <c r="G17" s="79">
        <f t="shared" si="0"/>
        <v>3.0175199034393634</v>
      </c>
      <c r="H17" s="64">
        <v>35.46</v>
      </c>
      <c r="I17" s="72">
        <v>2</v>
      </c>
      <c r="J17" s="79">
        <v>0.65</v>
      </c>
      <c r="L17" s="72" t="s">
        <v>20</v>
      </c>
      <c r="M17" t="s">
        <v>21</v>
      </c>
      <c r="N17" t="s">
        <v>20</v>
      </c>
      <c r="O17" s="64">
        <v>0.21</v>
      </c>
      <c r="P17" s="73">
        <v>124</v>
      </c>
      <c r="Q17" t="s">
        <v>27</v>
      </c>
    </row>
    <row r="18" spans="1:17" x14ac:dyDescent="0.35">
      <c r="A18" s="68" t="s">
        <v>25</v>
      </c>
      <c r="B18" t="s">
        <v>26</v>
      </c>
      <c r="C18" s="72">
        <v>8</v>
      </c>
      <c r="G18" s="79" t="str">
        <f t="shared" si="0"/>
        <v xml:space="preserve"> </v>
      </c>
      <c r="L18" s="72" t="s">
        <v>20</v>
      </c>
      <c r="M18" t="s">
        <v>22</v>
      </c>
      <c r="N18" t="s">
        <v>19</v>
      </c>
      <c r="O18" s="64">
        <v>0.69</v>
      </c>
      <c r="P18" s="73">
        <v>0</v>
      </c>
    </row>
    <row r="19" spans="1:17" x14ac:dyDescent="0.35">
      <c r="A19" s="68" t="s">
        <v>25</v>
      </c>
      <c r="B19" t="s">
        <v>26</v>
      </c>
      <c r="C19" s="72">
        <v>8</v>
      </c>
      <c r="G19" s="79" t="str">
        <f t="shared" si="0"/>
        <v xml:space="preserve"> </v>
      </c>
      <c r="L19" s="72" t="s">
        <v>20</v>
      </c>
      <c r="M19" t="s">
        <v>22</v>
      </c>
      <c r="N19" t="s">
        <v>19</v>
      </c>
      <c r="O19" s="64">
        <v>1.3</v>
      </c>
      <c r="P19" s="73">
        <v>0</v>
      </c>
    </row>
    <row r="20" spans="1:17" x14ac:dyDescent="0.35">
      <c r="A20" s="68" t="s">
        <v>25</v>
      </c>
      <c r="B20" t="s">
        <v>26</v>
      </c>
      <c r="C20" s="72">
        <v>8</v>
      </c>
      <c r="L20" s="72" t="s">
        <v>20</v>
      </c>
      <c r="M20" t="s">
        <v>30</v>
      </c>
      <c r="N20" t="s">
        <v>19</v>
      </c>
      <c r="O20" s="64">
        <v>0.21</v>
      </c>
      <c r="P20" s="73">
        <v>0</v>
      </c>
    </row>
    <row r="21" spans="1:17" x14ac:dyDescent="0.35">
      <c r="A21" s="68" t="s">
        <v>25</v>
      </c>
      <c r="B21" t="s">
        <v>26</v>
      </c>
      <c r="C21" s="72">
        <v>9</v>
      </c>
      <c r="D21" s="73" t="s">
        <v>42</v>
      </c>
      <c r="F21" s="78">
        <v>11.8</v>
      </c>
      <c r="G21" s="79">
        <f t="shared" si="0"/>
        <v>3.5966398849075238</v>
      </c>
      <c r="H21" s="64">
        <v>51.65</v>
      </c>
      <c r="I21" s="72">
        <v>1</v>
      </c>
      <c r="L21" s="72" t="s">
        <v>20</v>
      </c>
      <c r="M21" t="s">
        <v>22</v>
      </c>
      <c r="N21" t="s">
        <v>19</v>
      </c>
      <c r="O21" s="64">
        <v>0</v>
      </c>
      <c r="P21" s="73">
        <v>0</v>
      </c>
    </row>
    <row r="22" spans="1:17" x14ac:dyDescent="0.35">
      <c r="A22" s="68" t="s">
        <v>25</v>
      </c>
      <c r="B22" t="s">
        <v>26</v>
      </c>
      <c r="C22" s="72">
        <v>9</v>
      </c>
      <c r="G22" s="79" t="str">
        <f t="shared" si="0"/>
        <v xml:space="preserve"> </v>
      </c>
      <c r="L22" s="72" t="s">
        <v>20</v>
      </c>
      <c r="M22" t="s">
        <v>22</v>
      </c>
      <c r="N22" t="s">
        <v>20</v>
      </c>
      <c r="O22" s="64">
        <v>0.18</v>
      </c>
      <c r="P22" s="73">
        <v>243</v>
      </c>
    </row>
    <row r="23" spans="1:17" x14ac:dyDescent="0.35">
      <c r="A23" s="68" t="s">
        <v>25</v>
      </c>
      <c r="B23" t="s">
        <v>26</v>
      </c>
      <c r="C23" s="72">
        <v>9</v>
      </c>
      <c r="G23" s="79" t="str">
        <f t="shared" si="0"/>
        <v xml:space="preserve"> </v>
      </c>
      <c r="L23" s="72" t="s">
        <v>20</v>
      </c>
      <c r="M23" t="s">
        <v>22</v>
      </c>
      <c r="N23" t="s">
        <v>19</v>
      </c>
      <c r="O23" s="64">
        <v>0.77</v>
      </c>
      <c r="P23" s="73">
        <v>0</v>
      </c>
    </row>
    <row r="24" spans="1:17" x14ac:dyDescent="0.35">
      <c r="A24" s="68" t="s">
        <v>25</v>
      </c>
      <c r="B24" t="s">
        <v>26</v>
      </c>
      <c r="C24" s="72">
        <v>9</v>
      </c>
      <c r="G24" s="79" t="str">
        <f t="shared" si="0"/>
        <v xml:space="preserve"> </v>
      </c>
      <c r="L24" s="72" t="s">
        <v>20</v>
      </c>
      <c r="M24" t="s">
        <v>21</v>
      </c>
      <c r="N24" t="s">
        <v>19</v>
      </c>
      <c r="O24" s="64">
        <v>0.77</v>
      </c>
      <c r="P24" s="73">
        <v>60</v>
      </c>
    </row>
    <row r="25" spans="1:17" x14ac:dyDescent="0.35">
      <c r="A25" s="68" t="s">
        <v>25</v>
      </c>
      <c r="B25" t="s">
        <v>26</v>
      </c>
      <c r="C25" s="72">
        <v>9</v>
      </c>
      <c r="L25" s="72" t="s">
        <v>20</v>
      </c>
      <c r="M25" t="s">
        <v>30</v>
      </c>
      <c r="N25" t="s">
        <v>19</v>
      </c>
      <c r="O25" s="64">
        <v>0.85</v>
      </c>
      <c r="P25" s="73">
        <v>0</v>
      </c>
    </row>
    <row r="26" spans="1:17" x14ac:dyDescent="0.35">
      <c r="A26" s="68" t="s">
        <v>25</v>
      </c>
      <c r="B26" t="s">
        <v>26</v>
      </c>
      <c r="C26" s="72">
        <v>10</v>
      </c>
      <c r="D26" s="73" t="s">
        <v>42</v>
      </c>
      <c r="F26" s="78">
        <v>8.5</v>
      </c>
      <c r="G26" s="79">
        <f t="shared" si="0"/>
        <v>2.5907999170944027</v>
      </c>
      <c r="H26" s="64">
        <v>28.93</v>
      </c>
      <c r="I26" s="72">
        <v>1</v>
      </c>
      <c r="K26">
        <v>382</v>
      </c>
      <c r="L26" s="72" t="s">
        <v>20</v>
      </c>
      <c r="M26" t="s">
        <v>22</v>
      </c>
      <c r="N26" t="s">
        <v>20</v>
      </c>
      <c r="O26" s="64">
        <v>1.06</v>
      </c>
      <c r="P26" s="73">
        <v>66</v>
      </c>
    </row>
    <row r="27" spans="1:17" x14ac:dyDescent="0.35">
      <c r="A27" s="68" t="s">
        <v>25</v>
      </c>
      <c r="B27" t="s">
        <v>26</v>
      </c>
      <c r="C27" s="72">
        <v>10</v>
      </c>
      <c r="L27" s="72" t="s">
        <v>20</v>
      </c>
      <c r="M27" t="s">
        <v>30</v>
      </c>
      <c r="N27" t="s">
        <v>19</v>
      </c>
      <c r="O27" s="64">
        <v>1.1200000000000001</v>
      </c>
      <c r="P27" s="73">
        <v>0</v>
      </c>
    </row>
    <row r="28" spans="1:17" x14ac:dyDescent="0.35">
      <c r="A28" s="68" t="s">
        <v>25</v>
      </c>
      <c r="B28" t="s">
        <v>26</v>
      </c>
      <c r="C28" s="72">
        <v>11</v>
      </c>
      <c r="D28" s="73" t="s">
        <v>42</v>
      </c>
      <c r="F28" s="78">
        <v>7.6</v>
      </c>
      <c r="G28" s="79">
        <f t="shared" si="0"/>
        <v>2.3164799258726423</v>
      </c>
      <c r="H28" s="64">
        <v>17.98</v>
      </c>
      <c r="I28" s="72">
        <v>2</v>
      </c>
      <c r="J28" s="79">
        <v>0.81</v>
      </c>
      <c r="L28" s="72" t="s">
        <v>20</v>
      </c>
      <c r="M28" t="s">
        <v>22</v>
      </c>
      <c r="N28" t="s">
        <v>20</v>
      </c>
      <c r="O28" s="64">
        <v>0.73</v>
      </c>
      <c r="P28" s="73">
        <v>0</v>
      </c>
      <c r="Q28" t="s">
        <v>28</v>
      </c>
    </row>
    <row r="29" spans="1:17" x14ac:dyDescent="0.35">
      <c r="A29" s="68" t="s">
        <v>25</v>
      </c>
      <c r="B29" t="s">
        <v>26</v>
      </c>
      <c r="C29" s="72">
        <v>11</v>
      </c>
      <c r="G29" s="79" t="str">
        <f t="shared" si="0"/>
        <v xml:space="preserve"> </v>
      </c>
      <c r="L29" s="72" t="s">
        <v>20</v>
      </c>
      <c r="M29" t="s">
        <v>22</v>
      </c>
      <c r="N29" t="s">
        <v>19</v>
      </c>
      <c r="O29" s="64">
        <v>0.65</v>
      </c>
      <c r="P29" s="73">
        <v>0</v>
      </c>
    </row>
    <row r="30" spans="1:17" x14ac:dyDescent="0.35">
      <c r="A30" s="68" t="s">
        <v>25</v>
      </c>
      <c r="B30" t="s">
        <v>26</v>
      </c>
      <c r="C30" s="72">
        <v>12</v>
      </c>
      <c r="D30" s="73" t="s">
        <v>42</v>
      </c>
      <c r="F30" s="78">
        <v>11.11</v>
      </c>
      <c r="G30" s="79">
        <f t="shared" si="0"/>
        <v>3.3863278916375075</v>
      </c>
      <c r="H30" s="64">
        <v>54.06</v>
      </c>
      <c r="I30" s="72">
        <v>1</v>
      </c>
      <c r="L30" s="72" t="s">
        <v>20</v>
      </c>
      <c r="M30" t="s">
        <v>30</v>
      </c>
      <c r="N30" t="s">
        <v>19</v>
      </c>
      <c r="O30" s="64">
        <v>0.87</v>
      </c>
      <c r="P30" s="73">
        <v>0</v>
      </c>
      <c r="Q30" t="s">
        <v>33</v>
      </c>
    </row>
    <row r="31" spans="1:17" x14ac:dyDescent="0.35">
      <c r="A31" s="68" t="s">
        <v>25</v>
      </c>
      <c r="B31" t="s">
        <v>26</v>
      </c>
      <c r="C31" s="72">
        <v>12</v>
      </c>
      <c r="G31" s="79" t="str">
        <f t="shared" si="0"/>
        <v xml:space="preserve"> </v>
      </c>
      <c r="L31" s="72" t="s">
        <v>20</v>
      </c>
      <c r="M31" t="s">
        <v>21</v>
      </c>
      <c r="N31" t="s">
        <v>19</v>
      </c>
      <c r="O31" s="64">
        <v>0.78</v>
      </c>
      <c r="P31" s="73">
        <v>39</v>
      </c>
    </row>
    <row r="32" spans="1:17" x14ac:dyDescent="0.35">
      <c r="A32" s="68" t="s">
        <v>25</v>
      </c>
      <c r="B32" t="s">
        <v>26</v>
      </c>
      <c r="C32" s="72">
        <v>12</v>
      </c>
      <c r="G32" s="79" t="str">
        <f t="shared" si="0"/>
        <v xml:space="preserve"> </v>
      </c>
      <c r="L32" s="72" t="s">
        <v>20</v>
      </c>
      <c r="M32" t="s">
        <v>21</v>
      </c>
      <c r="N32" t="s">
        <v>19</v>
      </c>
      <c r="O32" s="64">
        <v>1.19</v>
      </c>
      <c r="P32" s="73">
        <v>68</v>
      </c>
    </row>
    <row r="33" spans="1:17" x14ac:dyDescent="0.35">
      <c r="A33" s="68" t="s">
        <v>25</v>
      </c>
      <c r="B33" t="s">
        <v>26</v>
      </c>
      <c r="C33" s="72">
        <v>13</v>
      </c>
      <c r="D33" s="73" t="s">
        <v>42</v>
      </c>
      <c r="F33" s="78">
        <v>11.1</v>
      </c>
      <c r="G33" s="79">
        <f t="shared" si="0"/>
        <v>3.3832798917350435</v>
      </c>
      <c r="H33" s="64">
        <v>57.87</v>
      </c>
      <c r="I33" s="72">
        <v>1</v>
      </c>
      <c r="L33" s="72" t="s">
        <v>20</v>
      </c>
      <c r="M33" t="s">
        <v>30</v>
      </c>
      <c r="N33" t="s">
        <v>19</v>
      </c>
      <c r="O33" s="64">
        <v>0.79</v>
      </c>
      <c r="P33" s="73">
        <v>0</v>
      </c>
    </row>
    <row r="34" spans="1:17" x14ac:dyDescent="0.35">
      <c r="A34" s="68" t="s">
        <v>25</v>
      </c>
      <c r="B34" t="s">
        <v>26</v>
      </c>
      <c r="C34" s="72">
        <v>13</v>
      </c>
      <c r="G34" s="79" t="str">
        <f t="shared" si="0"/>
        <v xml:space="preserve"> </v>
      </c>
      <c r="L34" s="72" t="s">
        <v>20</v>
      </c>
      <c r="M34" t="s">
        <v>21</v>
      </c>
      <c r="N34" t="s">
        <v>19</v>
      </c>
      <c r="O34" s="64">
        <v>0.66</v>
      </c>
      <c r="P34" s="73">
        <v>29</v>
      </c>
    </row>
    <row r="35" spans="1:17" x14ac:dyDescent="0.35">
      <c r="A35" s="68" t="s">
        <v>25</v>
      </c>
      <c r="B35" t="s">
        <v>26</v>
      </c>
      <c r="C35" s="72">
        <v>14</v>
      </c>
      <c r="D35" s="73" t="s">
        <v>42</v>
      </c>
      <c r="F35" s="78">
        <v>7.2</v>
      </c>
      <c r="G35" s="79">
        <f t="shared" si="0"/>
        <v>2.1945599297740821</v>
      </c>
      <c r="H35" s="64">
        <v>22.22</v>
      </c>
      <c r="I35" s="72">
        <v>1</v>
      </c>
      <c r="L35" s="72" t="s">
        <v>20</v>
      </c>
      <c r="M35" t="s">
        <v>30</v>
      </c>
      <c r="N35" t="s">
        <v>19</v>
      </c>
      <c r="O35" s="64">
        <v>0.85</v>
      </c>
      <c r="P35" s="73">
        <v>0</v>
      </c>
    </row>
    <row r="36" spans="1:17" x14ac:dyDescent="0.35">
      <c r="A36" s="68" t="s">
        <v>25</v>
      </c>
      <c r="B36" t="s">
        <v>26</v>
      </c>
      <c r="C36" s="72">
        <v>14</v>
      </c>
      <c r="G36" s="79" t="str">
        <f t="shared" si="0"/>
        <v xml:space="preserve"> </v>
      </c>
      <c r="L36" s="72" t="s">
        <v>20</v>
      </c>
      <c r="M36" t="s">
        <v>31</v>
      </c>
      <c r="N36" t="s">
        <v>19</v>
      </c>
      <c r="O36" s="64">
        <v>0</v>
      </c>
      <c r="P36" s="73">
        <v>363</v>
      </c>
    </row>
    <row r="37" spans="1:17" x14ac:dyDescent="0.35">
      <c r="A37" s="68" t="s">
        <v>25</v>
      </c>
      <c r="B37" t="s">
        <v>26</v>
      </c>
      <c r="C37" s="72">
        <v>14</v>
      </c>
      <c r="G37" s="79" t="str">
        <f t="shared" si="0"/>
        <v xml:space="preserve"> </v>
      </c>
      <c r="L37" s="72" t="s">
        <v>20</v>
      </c>
      <c r="M37" t="s">
        <v>22</v>
      </c>
      <c r="N37" t="s">
        <v>19</v>
      </c>
      <c r="O37" s="64">
        <v>1.75</v>
      </c>
      <c r="P37" s="73">
        <v>0</v>
      </c>
    </row>
    <row r="38" spans="1:17" x14ac:dyDescent="0.35">
      <c r="A38" s="68" t="s">
        <v>25</v>
      </c>
      <c r="B38" t="s">
        <v>26</v>
      </c>
      <c r="C38" s="72">
        <v>15</v>
      </c>
      <c r="D38" s="73" t="s">
        <v>42</v>
      </c>
      <c r="F38" s="78">
        <v>1.3</v>
      </c>
      <c r="G38" s="79">
        <f t="shared" si="0"/>
        <v>1.3</v>
      </c>
      <c r="H38" s="64">
        <v>5.44</v>
      </c>
      <c r="I38" s="72">
        <v>1</v>
      </c>
      <c r="L38" s="72" t="s">
        <v>20</v>
      </c>
      <c r="M38" t="s">
        <v>21</v>
      </c>
      <c r="N38" t="s">
        <v>20</v>
      </c>
      <c r="O38" s="64">
        <v>0.5</v>
      </c>
      <c r="P38" s="73">
        <v>490</v>
      </c>
      <c r="Q38" t="s">
        <v>33</v>
      </c>
    </row>
    <row r="39" spans="1:17" x14ac:dyDescent="0.35">
      <c r="A39" s="68" t="s">
        <v>25</v>
      </c>
      <c r="B39" t="s">
        <v>26</v>
      </c>
      <c r="C39" s="72">
        <v>16</v>
      </c>
      <c r="D39" s="73" t="s">
        <v>42</v>
      </c>
      <c r="F39" s="78">
        <v>7.4</v>
      </c>
      <c r="G39" s="79">
        <f t="shared" si="0"/>
        <v>2.2555199278233626</v>
      </c>
      <c r="H39" s="64">
        <v>22.05</v>
      </c>
      <c r="I39" s="72">
        <v>1</v>
      </c>
      <c r="L39" s="72" t="s">
        <v>20</v>
      </c>
      <c r="M39" t="s">
        <v>21</v>
      </c>
      <c r="N39" t="s">
        <v>19</v>
      </c>
      <c r="O39" s="64">
        <v>0.67</v>
      </c>
      <c r="P39" s="73">
        <v>106</v>
      </c>
    </row>
    <row r="40" spans="1:17" x14ac:dyDescent="0.35">
      <c r="A40" s="68" t="s">
        <v>25</v>
      </c>
      <c r="B40" t="s">
        <v>26</v>
      </c>
      <c r="C40" s="72">
        <v>16</v>
      </c>
      <c r="G40" s="79" t="str">
        <f t="shared" si="0"/>
        <v xml:space="preserve"> </v>
      </c>
      <c r="L40" s="72" t="s">
        <v>20</v>
      </c>
      <c r="M40" t="s">
        <v>29</v>
      </c>
      <c r="N40" t="s">
        <v>19</v>
      </c>
      <c r="O40" s="64">
        <v>0</v>
      </c>
      <c r="P40" s="73">
        <v>222</v>
      </c>
    </row>
    <row r="41" spans="1:17" x14ac:dyDescent="0.35">
      <c r="A41" s="68" t="s">
        <v>25</v>
      </c>
      <c r="B41" t="s">
        <v>26</v>
      </c>
      <c r="C41" s="72">
        <v>17</v>
      </c>
      <c r="D41" s="73" t="s">
        <v>42</v>
      </c>
      <c r="F41" s="78">
        <v>10.5</v>
      </c>
      <c r="G41" s="79">
        <f t="shared" si="0"/>
        <v>3.2003998975872032</v>
      </c>
      <c r="H41" s="64">
        <v>42.72</v>
      </c>
      <c r="I41" s="72">
        <v>1</v>
      </c>
      <c r="L41" s="72" t="s">
        <v>20</v>
      </c>
      <c r="M41" t="s">
        <v>21</v>
      </c>
      <c r="N41" t="s">
        <v>19</v>
      </c>
      <c r="O41" s="64">
        <v>0.48</v>
      </c>
      <c r="P41" s="73">
        <v>81</v>
      </c>
    </row>
    <row r="42" spans="1:17" x14ac:dyDescent="0.35">
      <c r="A42" s="68" t="s">
        <v>25</v>
      </c>
      <c r="B42" t="s">
        <v>26</v>
      </c>
      <c r="C42" s="72">
        <v>17</v>
      </c>
      <c r="G42" s="79" t="str">
        <f t="shared" si="0"/>
        <v xml:space="preserve"> </v>
      </c>
      <c r="L42" s="72" t="s">
        <v>20</v>
      </c>
      <c r="M42" t="s">
        <v>30</v>
      </c>
      <c r="N42" t="s">
        <v>19</v>
      </c>
      <c r="O42" s="64">
        <v>0.56999999999999995</v>
      </c>
      <c r="P42" s="73">
        <v>0</v>
      </c>
    </row>
    <row r="43" spans="1:17" x14ac:dyDescent="0.35">
      <c r="A43" s="68" t="s">
        <v>25</v>
      </c>
      <c r="B43" t="s">
        <v>26</v>
      </c>
      <c r="C43" s="72">
        <v>18</v>
      </c>
      <c r="D43" s="73" t="s">
        <v>42</v>
      </c>
      <c r="F43" s="78">
        <v>9.9</v>
      </c>
      <c r="G43" s="79">
        <f t="shared" si="0"/>
        <v>3.0175199034393634</v>
      </c>
      <c r="H43" s="64">
        <v>44.39</v>
      </c>
      <c r="I43" s="72">
        <v>1</v>
      </c>
      <c r="L43" s="72" t="s">
        <v>20</v>
      </c>
      <c r="M43" t="s">
        <v>21</v>
      </c>
      <c r="N43" t="s">
        <v>19</v>
      </c>
      <c r="O43" s="64">
        <v>0.42</v>
      </c>
      <c r="P43" s="73">
        <v>45</v>
      </c>
    </row>
    <row r="44" spans="1:17" x14ac:dyDescent="0.35">
      <c r="A44" s="68" t="s">
        <v>25</v>
      </c>
      <c r="B44" t="s">
        <v>26</v>
      </c>
      <c r="C44" s="72">
        <v>18</v>
      </c>
      <c r="G44" s="79" t="str">
        <f t="shared" si="0"/>
        <v xml:space="preserve"> </v>
      </c>
      <c r="L44" s="72" t="s">
        <v>20</v>
      </c>
      <c r="M44" t="s">
        <v>30</v>
      </c>
      <c r="N44" t="s">
        <v>19</v>
      </c>
      <c r="O44" s="64">
        <v>0.61</v>
      </c>
      <c r="P44" s="73">
        <v>0</v>
      </c>
    </row>
    <row r="45" spans="1:17" x14ac:dyDescent="0.35">
      <c r="A45" s="68" t="s">
        <v>25</v>
      </c>
      <c r="B45" t="s">
        <v>48</v>
      </c>
      <c r="C45" s="72">
        <v>19</v>
      </c>
      <c r="D45" s="73" t="s">
        <v>40</v>
      </c>
      <c r="F45" s="78">
        <v>18.899999999999999</v>
      </c>
      <c r="G45" s="79">
        <f t="shared" si="0"/>
        <v>5.7607198156569659</v>
      </c>
      <c r="H45" s="64">
        <v>96.52</v>
      </c>
    </row>
    <row r="46" spans="1:17" x14ac:dyDescent="0.35">
      <c r="A46" s="68" t="s">
        <v>25</v>
      </c>
      <c r="B46" t="s">
        <v>48</v>
      </c>
      <c r="C46" s="72">
        <v>20</v>
      </c>
      <c r="D46" s="73" t="s">
        <v>40</v>
      </c>
      <c r="F46" s="78">
        <v>21.6</v>
      </c>
      <c r="G46" s="79">
        <f t="shared" si="0"/>
        <v>6.5836797893222476</v>
      </c>
      <c r="H46" s="64">
        <v>86.36</v>
      </c>
    </row>
    <row r="47" spans="1:17" x14ac:dyDescent="0.35">
      <c r="A47" s="68" t="s">
        <v>25</v>
      </c>
      <c r="B47" t="s">
        <v>48</v>
      </c>
      <c r="C47" s="72">
        <v>21</v>
      </c>
      <c r="D47" s="73" t="s">
        <v>40</v>
      </c>
      <c r="F47" s="78">
        <v>21.8</v>
      </c>
      <c r="G47" s="79">
        <f t="shared" si="0"/>
        <v>6.6446397873715268</v>
      </c>
      <c r="H47" s="64">
        <v>111.76</v>
      </c>
    </row>
    <row r="48" spans="1:17" x14ac:dyDescent="0.35">
      <c r="A48" s="68" t="s">
        <v>25</v>
      </c>
      <c r="B48" t="s">
        <v>48</v>
      </c>
      <c r="C48" s="72">
        <v>22</v>
      </c>
      <c r="D48" s="73" t="s">
        <v>40</v>
      </c>
      <c r="F48" s="78">
        <v>13.8</v>
      </c>
      <c r="G48" s="79">
        <f t="shared" si="0"/>
        <v>4.2062398654003248</v>
      </c>
      <c r="H48" s="64">
        <v>63.94</v>
      </c>
    </row>
    <row r="49" spans="1:17" x14ac:dyDescent="0.35">
      <c r="A49" s="68" t="s">
        <v>25</v>
      </c>
      <c r="B49" t="s">
        <v>48</v>
      </c>
      <c r="C49" s="72">
        <v>23</v>
      </c>
      <c r="D49" s="73" t="s">
        <v>40</v>
      </c>
      <c r="F49" s="78">
        <v>14.7</v>
      </c>
      <c r="G49" s="79">
        <f t="shared" si="0"/>
        <v>4.4805598566220848</v>
      </c>
      <c r="H49" s="64">
        <v>48.43</v>
      </c>
    </row>
    <row r="50" spans="1:17" x14ac:dyDescent="0.35">
      <c r="A50" s="68" t="s">
        <v>25</v>
      </c>
      <c r="B50" t="s">
        <v>48</v>
      </c>
      <c r="C50" s="72">
        <v>24</v>
      </c>
      <c r="D50" s="73" t="s">
        <v>40</v>
      </c>
      <c r="F50" s="78">
        <v>11.8</v>
      </c>
      <c r="G50" s="79">
        <f t="shared" si="0"/>
        <v>3.5966398849075238</v>
      </c>
      <c r="H50" s="64">
        <v>43.6</v>
      </c>
    </row>
    <row r="51" spans="1:17" x14ac:dyDescent="0.35">
      <c r="A51" s="68" t="s">
        <v>25</v>
      </c>
      <c r="B51" t="s">
        <v>48</v>
      </c>
      <c r="C51" s="72">
        <v>25</v>
      </c>
      <c r="D51" s="73" t="s">
        <v>40</v>
      </c>
      <c r="F51" s="78">
        <v>10.6</v>
      </c>
      <c r="G51" s="79">
        <f t="shared" si="0"/>
        <v>3.2308798966118433</v>
      </c>
      <c r="H51" s="64">
        <v>47.7</v>
      </c>
    </row>
    <row r="52" spans="1:17" x14ac:dyDescent="0.35">
      <c r="A52" s="68" t="s">
        <v>25</v>
      </c>
      <c r="B52" t="s">
        <v>48</v>
      </c>
      <c r="C52" s="72">
        <v>26</v>
      </c>
      <c r="D52" s="73" t="s">
        <v>40</v>
      </c>
      <c r="F52" s="78">
        <v>14.4</v>
      </c>
      <c r="G52" s="79">
        <f t="shared" si="0"/>
        <v>4.3891198595481642</v>
      </c>
      <c r="H52" s="64">
        <v>52.59</v>
      </c>
    </row>
    <row r="53" spans="1:17" x14ac:dyDescent="0.35">
      <c r="A53" s="68" t="s">
        <v>25</v>
      </c>
      <c r="B53" t="s">
        <v>48</v>
      </c>
      <c r="C53" s="72">
        <v>27</v>
      </c>
      <c r="D53" s="73" t="s">
        <v>40</v>
      </c>
      <c r="F53" s="78">
        <v>12.4</v>
      </c>
      <c r="G53" s="79">
        <f t="shared" si="0"/>
        <v>3.7795198790553641</v>
      </c>
      <c r="H53" s="64">
        <v>72.12</v>
      </c>
      <c r="Q53" t="s">
        <v>39</v>
      </c>
    </row>
    <row r="54" spans="1:17" x14ac:dyDescent="0.35">
      <c r="A54" s="68" t="s">
        <v>25</v>
      </c>
      <c r="B54" t="s">
        <v>48</v>
      </c>
      <c r="C54" s="72">
        <v>28</v>
      </c>
      <c r="D54" s="73" t="s">
        <v>40</v>
      </c>
      <c r="F54" s="78">
        <v>16.5</v>
      </c>
      <c r="G54" s="79">
        <f t="shared" si="0"/>
        <v>5.0291998390656047</v>
      </c>
      <c r="H54" s="64">
        <v>57.74</v>
      </c>
    </row>
    <row r="55" spans="1:17" x14ac:dyDescent="0.35">
      <c r="A55" s="68" t="s">
        <v>25</v>
      </c>
      <c r="B55" t="s">
        <v>48</v>
      </c>
      <c r="C55" s="72">
        <v>29</v>
      </c>
      <c r="D55" s="73" t="s">
        <v>40</v>
      </c>
      <c r="F55" s="78">
        <v>16.600000000000001</v>
      </c>
      <c r="G55" s="79">
        <f t="shared" si="0"/>
        <v>5.0596798380902452</v>
      </c>
      <c r="H55" s="64">
        <v>64.02</v>
      </c>
    </row>
    <row r="56" spans="1:17" x14ac:dyDescent="0.35">
      <c r="A56" s="68" t="s">
        <v>25</v>
      </c>
      <c r="B56" t="s">
        <v>48</v>
      </c>
      <c r="C56" s="72">
        <v>30</v>
      </c>
      <c r="D56" s="73" t="s">
        <v>40</v>
      </c>
      <c r="F56" s="78">
        <v>15.9</v>
      </c>
      <c r="G56" s="79">
        <f t="shared" si="0"/>
        <v>4.8463198449177654</v>
      </c>
      <c r="H56" s="64">
        <v>48.62</v>
      </c>
    </row>
    <row r="57" spans="1:17" x14ac:dyDescent="0.35">
      <c r="A57" s="68" t="s">
        <v>25</v>
      </c>
      <c r="B57" t="s">
        <v>48</v>
      </c>
      <c r="C57" s="72">
        <v>31</v>
      </c>
      <c r="D57" s="73" t="s">
        <v>40</v>
      </c>
      <c r="F57" s="78">
        <v>16.899999999999999</v>
      </c>
      <c r="G57" s="79">
        <f t="shared" si="0"/>
        <v>5.1511198351641649</v>
      </c>
      <c r="H57" s="64">
        <v>57.94</v>
      </c>
    </row>
    <row r="58" spans="1:17" x14ac:dyDescent="0.35">
      <c r="A58" s="68" t="s">
        <v>25</v>
      </c>
      <c r="B58" t="s">
        <v>48</v>
      </c>
      <c r="C58" s="72">
        <v>32</v>
      </c>
      <c r="D58" s="73" t="s">
        <v>40</v>
      </c>
      <c r="F58" s="78">
        <v>12.2</v>
      </c>
      <c r="G58" s="79">
        <f t="shared" si="0"/>
        <v>3.7185598810060836</v>
      </c>
      <c r="H58" s="64">
        <v>42.55</v>
      </c>
    </row>
    <row r="59" spans="1:17" x14ac:dyDescent="0.35">
      <c r="A59" s="68" t="s">
        <v>25</v>
      </c>
      <c r="B59" t="s">
        <v>48</v>
      </c>
      <c r="C59" s="72">
        <v>33</v>
      </c>
      <c r="D59" s="73" t="s">
        <v>40</v>
      </c>
      <c r="F59" s="78">
        <v>13.1</v>
      </c>
      <c r="G59" s="79">
        <f t="shared" si="0"/>
        <v>3.992879872227844</v>
      </c>
      <c r="H59" s="64">
        <v>43</v>
      </c>
    </row>
    <row r="60" spans="1:17" x14ac:dyDescent="0.35">
      <c r="A60" s="68" t="s">
        <v>25</v>
      </c>
      <c r="B60" t="s">
        <v>48</v>
      </c>
      <c r="C60" s="72">
        <v>34</v>
      </c>
      <c r="D60" s="73" t="s">
        <v>40</v>
      </c>
      <c r="F60" s="78">
        <v>15.3</v>
      </c>
      <c r="G60" s="79">
        <f t="shared" si="0"/>
        <v>4.6634398507699251</v>
      </c>
      <c r="H60" s="64">
        <v>43.03</v>
      </c>
    </row>
    <row r="61" spans="1:17" x14ac:dyDescent="0.35">
      <c r="A61" s="68" t="s">
        <v>25</v>
      </c>
      <c r="B61" t="s">
        <v>48</v>
      </c>
      <c r="C61" s="72">
        <v>35</v>
      </c>
      <c r="D61" s="73" t="s">
        <v>40</v>
      </c>
      <c r="F61" s="78">
        <v>13.9</v>
      </c>
      <c r="G61" s="79">
        <f t="shared" si="0"/>
        <v>4.2367198644249644</v>
      </c>
      <c r="H61" s="64">
        <v>59.29</v>
      </c>
    </row>
    <row r="62" spans="1:17" x14ac:dyDescent="0.35">
      <c r="A62" s="68" t="s">
        <v>25</v>
      </c>
      <c r="B62" t="s">
        <v>48</v>
      </c>
      <c r="C62" s="72">
        <v>36</v>
      </c>
      <c r="D62" s="73" t="s">
        <v>40</v>
      </c>
      <c r="F62" s="78">
        <v>15.8</v>
      </c>
      <c r="G62" s="79">
        <f t="shared" si="0"/>
        <v>4.8158398458931249</v>
      </c>
      <c r="H62" s="64">
        <v>60.69</v>
      </c>
    </row>
    <row r="63" spans="1:17" x14ac:dyDescent="0.35">
      <c r="A63" s="68" t="s">
        <v>25</v>
      </c>
      <c r="B63" t="s">
        <v>48</v>
      </c>
      <c r="C63" s="72">
        <v>37</v>
      </c>
      <c r="D63" s="73" t="s">
        <v>40</v>
      </c>
      <c r="F63" s="78">
        <v>17.399999999999999</v>
      </c>
      <c r="G63" s="79">
        <f t="shared" si="0"/>
        <v>5.3035198302873647</v>
      </c>
      <c r="H63" s="64">
        <v>76.290000000000006</v>
      </c>
    </row>
    <row r="64" spans="1:17" x14ac:dyDescent="0.35">
      <c r="A64" s="68" t="s">
        <v>25</v>
      </c>
      <c r="B64" t="s">
        <v>44</v>
      </c>
      <c r="C64" s="72">
        <v>38</v>
      </c>
      <c r="D64" s="73" t="s">
        <v>42</v>
      </c>
      <c r="F64" s="78">
        <v>11.7</v>
      </c>
      <c r="G64" s="79">
        <f t="shared" si="0"/>
        <v>3.5661598858828834</v>
      </c>
      <c r="H64" s="64">
        <v>54.83</v>
      </c>
      <c r="I64" s="72">
        <v>1</v>
      </c>
      <c r="L64" s="72" t="s">
        <v>20</v>
      </c>
      <c r="M64" t="s">
        <v>22</v>
      </c>
      <c r="N64" t="s">
        <v>19</v>
      </c>
      <c r="O64" s="64">
        <v>0.97</v>
      </c>
      <c r="P64" s="73">
        <v>0</v>
      </c>
    </row>
    <row r="65" spans="1:17" x14ac:dyDescent="0.35">
      <c r="A65" s="68" t="s">
        <v>25</v>
      </c>
      <c r="B65" t="s">
        <v>44</v>
      </c>
      <c r="C65" s="72">
        <v>39</v>
      </c>
      <c r="D65" s="73" t="s">
        <v>42</v>
      </c>
      <c r="F65" s="78">
        <v>10.8</v>
      </c>
      <c r="G65" s="79">
        <f t="shared" si="0"/>
        <v>3.2918398946611238</v>
      </c>
      <c r="H65" s="64">
        <v>43.67</v>
      </c>
      <c r="I65" s="72">
        <v>1</v>
      </c>
      <c r="L65" s="72" t="s">
        <v>20</v>
      </c>
      <c r="M65" t="s">
        <v>22</v>
      </c>
      <c r="N65" t="s">
        <v>19</v>
      </c>
      <c r="O65" s="64">
        <v>0.9</v>
      </c>
      <c r="P65" s="73">
        <v>7</v>
      </c>
    </row>
    <row r="66" spans="1:17" x14ac:dyDescent="0.35">
      <c r="A66" s="68" t="s">
        <v>25</v>
      </c>
      <c r="B66" t="s">
        <v>44</v>
      </c>
      <c r="C66" s="72">
        <v>39</v>
      </c>
      <c r="G66" s="79" t="str">
        <f t="shared" si="0"/>
        <v xml:space="preserve"> </v>
      </c>
      <c r="L66" s="72" t="s">
        <v>20</v>
      </c>
      <c r="M66" t="s">
        <v>22</v>
      </c>
      <c r="N66" t="s">
        <v>19</v>
      </c>
      <c r="O66" s="64">
        <v>1.38</v>
      </c>
      <c r="P66" s="73">
        <v>0</v>
      </c>
    </row>
    <row r="67" spans="1:17" x14ac:dyDescent="0.35">
      <c r="A67" s="68" t="s">
        <v>25</v>
      </c>
      <c r="B67" t="s">
        <v>44</v>
      </c>
      <c r="C67" s="72">
        <v>39</v>
      </c>
      <c r="G67" s="79" t="str">
        <f t="shared" si="0"/>
        <v xml:space="preserve"> </v>
      </c>
      <c r="L67" s="72" t="s">
        <v>20</v>
      </c>
      <c r="M67" t="s">
        <v>22</v>
      </c>
      <c r="N67" t="s">
        <v>19</v>
      </c>
      <c r="O67" s="64">
        <v>0.36</v>
      </c>
      <c r="P67" s="73">
        <v>0</v>
      </c>
    </row>
    <row r="68" spans="1:17" x14ac:dyDescent="0.35">
      <c r="A68" s="68" t="s">
        <v>25</v>
      </c>
      <c r="B68" t="s">
        <v>44</v>
      </c>
      <c r="C68" s="72">
        <v>40</v>
      </c>
      <c r="D68" s="73" t="s">
        <v>42</v>
      </c>
      <c r="F68" s="78">
        <v>11.8</v>
      </c>
      <c r="G68" s="79">
        <f t="shared" si="0"/>
        <v>3.5966398849075238</v>
      </c>
      <c r="H68" s="64">
        <v>52.57</v>
      </c>
      <c r="I68" s="72">
        <v>1</v>
      </c>
      <c r="L68" s="72" t="s">
        <v>19</v>
      </c>
      <c r="N68" t="s">
        <v>43</v>
      </c>
    </row>
    <row r="69" spans="1:17" x14ac:dyDescent="0.35">
      <c r="A69" s="68" t="s">
        <v>25</v>
      </c>
      <c r="B69" t="s">
        <v>44</v>
      </c>
      <c r="C69" s="72">
        <v>41</v>
      </c>
      <c r="D69" s="73" t="s">
        <v>42</v>
      </c>
      <c r="F69" s="78">
        <v>7.9</v>
      </c>
      <c r="G69" s="79">
        <f t="shared" si="0"/>
        <v>2.4079199229465624</v>
      </c>
      <c r="H69" s="64">
        <v>20.96</v>
      </c>
      <c r="I69" s="72">
        <v>2</v>
      </c>
      <c r="J69" s="79">
        <v>0.2</v>
      </c>
      <c r="L69" s="72" t="s">
        <v>19</v>
      </c>
      <c r="N69" t="s">
        <v>20</v>
      </c>
      <c r="Q69" t="s">
        <v>28</v>
      </c>
    </row>
    <row r="70" spans="1:17" x14ac:dyDescent="0.35">
      <c r="A70" s="68" t="s">
        <v>25</v>
      </c>
      <c r="B70" t="s">
        <v>44</v>
      </c>
      <c r="C70" s="72">
        <v>42</v>
      </c>
      <c r="D70" s="73" t="s">
        <v>42</v>
      </c>
      <c r="F70" s="78">
        <v>10.5</v>
      </c>
      <c r="G70" s="79">
        <f t="shared" si="0"/>
        <v>3.2003998975872032</v>
      </c>
      <c r="H70" s="64">
        <v>40.86</v>
      </c>
      <c r="I70" s="72">
        <v>1</v>
      </c>
      <c r="L70" s="72" t="s">
        <v>20</v>
      </c>
      <c r="M70" t="s">
        <v>22</v>
      </c>
      <c r="N70" t="s">
        <v>19</v>
      </c>
      <c r="O70" s="64">
        <v>0.81</v>
      </c>
      <c r="P70" s="73">
        <v>0</v>
      </c>
    </row>
    <row r="71" spans="1:17" x14ac:dyDescent="0.35">
      <c r="A71" s="68" t="s">
        <v>25</v>
      </c>
      <c r="B71" t="s">
        <v>44</v>
      </c>
      <c r="C71" s="72">
        <v>43</v>
      </c>
      <c r="D71" s="73" t="s">
        <v>42</v>
      </c>
      <c r="F71" s="78">
        <v>12.4</v>
      </c>
      <c r="G71" s="79">
        <f t="shared" ref="G71:G134" si="1">IF(F71 = 0, " ", IF(F71&lt;2, F71/1, F71/3.28084))</f>
        <v>3.7795198790553641</v>
      </c>
      <c r="H71" s="64">
        <v>62.86</v>
      </c>
      <c r="I71" s="72">
        <v>1</v>
      </c>
      <c r="L71" s="72" t="s">
        <v>19</v>
      </c>
      <c r="N71" t="s">
        <v>19</v>
      </c>
    </row>
    <row r="72" spans="1:17" x14ac:dyDescent="0.35">
      <c r="A72" s="68" t="s">
        <v>25</v>
      </c>
      <c r="B72" t="s">
        <v>44</v>
      </c>
      <c r="C72" s="72">
        <v>44</v>
      </c>
      <c r="D72" s="73" t="s">
        <v>42</v>
      </c>
      <c r="F72" s="78">
        <v>6.4</v>
      </c>
      <c r="G72" s="79">
        <f t="shared" si="1"/>
        <v>1.9507199375769622</v>
      </c>
      <c r="H72" s="64">
        <v>14.51</v>
      </c>
      <c r="I72" s="72">
        <v>1</v>
      </c>
      <c r="L72" s="72" t="s">
        <v>20</v>
      </c>
      <c r="M72" t="s">
        <v>22</v>
      </c>
      <c r="N72" t="s">
        <v>19</v>
      </c>
      <c r="O72" s="64">
        <v>0.88</v>
      </c>
      <c r="P72" s="73">
        <v>0</v>
      </c>
    </row>
    <row r="73" spans="1:17" x14ac:dyDescent="0.35">
      <c r="A73" s="68" t="s">
        <v>25</v>
      </c>
      <c r="B73" t="s">
        <v>44</v>
      </c>
      <c r="C73" s="72">
        <v>44</v>
      </c>
      <c r="G73" s="79" t="str">
        <f t="shared" si="1"/>
        <v xml:space="preserve"> </v>
      </c>
      <c r="L73" s="72" t="s">
        <v>20</v>
      </c>
      <c r="M73" t="s">
        <v>22</v>
      </c>
      <c r="N73" t="s">
        <v>19</v>
      </c>
      <c r="O73" s="64">
        <v>0.7</v>
      </c>
      <c r="P73" s="73">
        <v>0</v>
      </c>
    </row>
    <row r="74" spans="1:17" x14ac:dyDescent="0.35">
      <c r="A74" s="68" t="s">
        <v>25</v>
      </c>
      <c r="B74" t="s">
        <v>44</v>
      </c>
      <c r="C74" s="72">
        <v>45</v>
      </c>
      <c r="D74" s="73" t="s">
        <v>42</v>
      </c>
      <c r="F74" s="78">
        <v>8.1</v>
      </c>
      <c r="G74" s="79">
        <f t="shared" si="1"/>
        <v>2.4688799209958425</v>
      </c>
      <c r="H74" s="64">
        <v>20.5</v>
      </c>
      <c r="I74" s="72">
        <v>1</v>
      </c>
      <c r="L74" s="72" t="s">
        <v>20</v>
      </c>
      <c r="M74" t="s">
        <v>22</v>
      </c>
      <c r="N74" t="s">
        <v>19</v>
      </c>
      <c r="O74" s="64">
        <v>0.96</v>
      </c>
      <c r="P74" s="73">
        <v>9</v>
      </c>
    </row>
    <row r="75" spans="1:17" x14ac:dyDescent="0.35">
      <c r="A75" s="68" t="s">
        <v>25</v>
      </c>
      <c r="B75" t="s">
        <v>44</v>
      </c>
      <c r="C75" s="72">
        <v>45</v>
      </c>
      <c r="G75" s="79" t="str">
        <f t="shared" si="1"/>
        <v xml:space="preserve"> </v>
      </c>
      <c r="L75" s="72" t="s">
        <v>20</v>
      </c>
      <c r="M75" t="s">
        <v>22</v>
      </c>
      <c r="N75" t="s">
        <v>19</v>
      </c>
      <c r="O75" s="64">
        <v>0.63</v>
      </c>
      <c r="P75" s="73">
        <v>0</v>
      </c>
    </row>
    <row r="76" spans="1:17" x14ac:dyDescent="0.35">
      <c r="A76" s="68" t="s">
        <v>25</v>
      </c>
      <c r="B76" t="s">
        <v>44</v>
      </c>
      <c r="C76" s="72">
        <v>45</v>
      </c>
      <c r="G76" s="79" t="str">
        <f t="shared" si="1"/>
        <v xml:space="preserve"> </v>
      </c>
      <c r="L76" s="72" t="s">
        <v>20</v>
      </c>
      <c r="M76" t="s">
        <v>22</v>
      </c>
      <c r="N76" t="s">
        <v>19</v>
      </c>
      <c r="O76" s="64">
        <v>1.35</v>
      </c>
      <c r="P76" s="73">
        <v>0</v>
      </c>
    </row>
    <row r="77" spans="1:17" x14ac:dyDescent="0.35">
      <c r="A77" s="68" t="s">
        <v>25</v>
      </c>
      <c r="B77" t="s">
        <v>44</v>
      </c>
      <c r="C77" s="72">
        <v>46</v>
      </c>
      <c r="D77" s="73" t="s">
        <v>42</v>
      </c>
      <c r="F77" s="78">
        <v>9.1</v>
      </c>
      <c r="G77" s="79">
        <f t="shared" si="1"/>
        <v>2.7736799112422426</v>
      </c>
      <c r="H77" s="64">
        <v>36.47</v>
      </c>
      <c r="I77" s="72">
        <v>1</v>
      </c>
      <c r="L77" s="72" t="s">
        <v>20</v>
      </c>
      <c r="M77" t="s">
        <v>22</v>
      </c>
      <c r="N77" t="s">
        <v>19</v>
      </c>
      <c r="O77" s="64">
        <v>0.95</v>
      </c>
      <c r="P77" s="73">
        <v>6</v>
      </c>
    </row>
    <row r="78" spans="1:17" x14ac:dyDescent="0.35">
      <c r="A78" s="68" t="s">
        <v>25</v>
      </c>
      <c r="B78" t="s">
        <v>44</v>
      </c>
      <c r="C78" s="72">
        <v>46</v>
      </c>
      <c r="G78" s="79" t="str">
        <f t="shared" si="1"/>
        <v xml:space="preserve"> </v>
      </c>
      <c r="L78" s="72" t="s">
        <v>20</v>
      </c>
      <c r="M78" t="s">
        <v>22</v>
      </c>
      <c r="N78" t="s">
        <v>19</v>
      </c>
      <c r="O78" s="64">
        <v>1.29</v>
      </c>
      <c r="P78" s="73">
        <v>0</v>
      </c>
    </row>
    <row r="79" spans="1:17" x14ac:dyDescent="0.35">
      <c r="A79" s="68" t="s">
        <v>25</v>
      </c>
      <c r="B79" t="s">
        <v>44</v>
      </c>
      <c r="C79" s="72">
        <v>47</v>
      </c>
      <c r="D79" s="73" t="s">
        <v>42</v>
      </c>
      <c r="F79" s="78">
        <v>10</v>
      </c>
      <c r="G79" s="79">
        <f t="shared" si="1"/>
        <v>3.047999902464003</v>
      </c>
      <c r="H79" s="64">
        <v>31.62</v>
      </c>
      <c r="I79" s="72">
        <v>1</v>
      </c>
      <c r="L79" s="72" t="s">
        <v>20</v>
      </c>
      <c r="M79" t="s">
        <v>22</v>
      </c>
      <c r="N79" t="s">
        <v>19</v>
      </c>
      <c r="O79" s="64">
        <v>1.17</v>
      </c>
      <c r="P79" s="73">
        <v>0</v>
      </c>
    </row>
    <row r="80" spans="1:17" x14ac:dyDescent="0.35">
      <c r="A80" s="68" t="s">
        <v>25</v>
      </c>
      <c r="B80" t="s">
        <v>44</v>
      </c>
      <c r="C80" s="72">
        <v>48</v>
      </c>
      <c r="D80" s="73" t="s">
        <v>42</v>
      </c>
      <c r="F80" s="78">
        <v>8.6999999999999993</v>
      </c>
      <c r="G80" s="79">
        <f t="shared" si="1"/>
        <v>2.6517599151436824</v>
      </c>
      <c r="H80" s="64">
        <v>22.07</v>
      </c>
      <c r="I80" s="72">
        <v>1</v>
      </c>
      <c r="K80">
        <v>34</v>
      </c>
      <c r="L80" s="72" t="s">
        <v>20</v>
      </c>
      <c r="M80" t="s">
        <v>22</v>
      </c>
      <c r="N80" t="s">
        <v>19</v>
      </c>
      <c r="O80" s="64">
        <v>0</v>
      </c>
      <c r="P80" s="73">
        <v>0</v>
      </c>
    </row>
    <row r="81" spans="1:17" x14ac:dyDescent="0.35">
      <c r="A81" s="68" t="s">
        <v>25</v>
      </c>
      <c r="B81" t="s">
        <v>44</v>
      </c>
      <c r="C81" s="72">
        <v>49</v>
      </c>
      <c r="D81" s="73" t="s">
        <v>42</v>
      </c>
      <c r="F81" s="78">
        <v>9.1</v>
      </c>
      <c r="G81" s="79">
        <f t="shared" si="1"/>
        <v>2.7736799112422426</v>
      </c>
      <c r="H81" s="64">
        <v>31.37</v>
      </c>
      <c r="I81" s="72">
        <v>1</v>
      </c>
      <c r="L81" s="72" t="s">
        <v>20</v>
      </c>
      <c r="M81" t="s">
        <v>22</v>
      </c>
      <c r="N81" t="s">
        <v>19</v>
      </c>
      <c r="O81" s="64">
        <v>1.18</v>
      </c>
      <c r="P81" s="73">
        <v>0</v>
      </c>
    </row>
    <row r="82" spans="1:17" x14ac:dyDescent="0.35">
      <c r="A82" s="68" t="s">
        <v>25</v>
      </c>
      <c r="B82" t="s">
        <v>44</v>
      </c>
      <c r="C82" s="72">
        <v>50</v>
      </c>
      <c r="D82" s="73" t="s">
        <v>42</v>
      </c>
      <c r="F82" s="78">
        <v>6.5</v>
      </c>
      <c r="G82" s="79">
        <f t="shared" si="1"/>
        <v>1.981199936601602</v>
      </c>
      <c r="H82" s="64">
        <v>17.38</v>
      </c>
      <c r="I82" s="72">
        <v>1</v>
      </c>
      <c r="K82">
        <v>173</v>
      </c>
      <c r="L82" s="72" t="s">
        <v>20</v>
      </c>
      <c r="M82" t="s">
        <v>22</v>
      </c>
      <c r="N82" t="s">
        <v>19</v>
      </c>
      <c r="O82" s="64">
        <v>0.95</v>
      </c>
      <c r="P82" s="73">
        <v>0</v>
      </c>
    </row>
    <row r="83" spans="1:17" x14ac:dyDescent="0.35">
      <c r="A83" s="68" t="s">
        <v>25</v>
      </c>
      <c r="B83" t="s">
        <v>44</v>
      </c>
      <c r="C83" s="72">
        <v>50</v>
      </c>
      <c r="G83" s="79" t="str">
        <f t="shared" si="1"/>
        <v xml:space="preserve"> </v>
      </c>
      <c r="L83" s="72" t="s">
        <v>20</v>
      </c>
      <c r="M83" t="s">
        <v>22</v>
      </c>
      <c r="N83" t="s">
        <v>19</v>
      </c>
      <c r="O83" s="64">
        <v>0.59</v>
      </c>
      <c r="P83" s="73">
        <v>0</v>
      </c>
    </row>
    <row r="84" spans="1:17" x14ac:dyDescent="0.35">
      <c r="A84" s="68" t="s">
        <v>25</v>
      </c>
      <c r="B84" t="s">
        <v>44</v>
      </c>
      <c r="C84" s="72">
        <v>50</v>
      </c>
      <c r="G84" s="79" t="str">
        <f t="shared" si="1"/>
        <v xml:space="preserve"> </v>
      </c>
      <c r="L84" s="72" t="s">
        <v>20</v>
      </c>
      <c r="M84" t="s">
        <v>22</v>
      </c>
      <c r="N84" t="s">
        <v>19</v>
      </c>
      <c r="O84" s="64">
        <v>0.16</v>
      </c>
      <c r="P84" s="73">
        <v>0</v>
      </c>
    </row>
    <row r="85" spans="1:17" x14ac:dyDescent="0.35">
      <c r="A85" s="68" t="s">
        <v>25</v>
      </c>
      <c r="B85" t="s">
        <v>44</v>
      </c>
      <c r="C85" s="72">
        <v>51</v>
      </c>
      <c r="D85" s="73" t="s">
        <v>42</v>
      </c>
      <c r="F85" s="78">
        <v>7.8</v>
      </c>
      <c r="G85" s="79">
        <f t="shared" si="1"/>
        <v>2.3774399239219224</v>
      </c>
      <c r="H85" s="64">
        <v>23.35</v>
      </c>
      <c r="I85" s="72">
        <v>1</v>
      </c>
      <c r="K85">
        <v>106</v>
      </c>
      <c r="L85" s="72" t="s">
        <v>20</v>
      </c>
      <c r="M85" t="s">
        <v>22</v>
      </c>
      <c r="N85" t="s">
        <v>19</v>
      </c>
      <c r="O85" s="64">
        <v>0.6</v>
      </c>
      <c r="P85" s="73">
        <v>0</v>
      </c>
    </row>
    <row r="86" spans="1:17" x14ac:dyDescent="0.35">
      <c r="A86" s="68" t="s">
        <v>25</v>
      </c>
      <c r="B86" t="s">
        <v>44</v>
      </c>
      <c r="C86" s="72">
        <v>52</v>
      </c>
      <c r="D86" s="73" t="s">
        <v>42</v>
      </c>
      <c r="F86" s="78">
        <v>5.7</v>
      </c>
      <c r="G86" s="79">
        <f t="shared" si="1"/>
        <v>1.7373599444044818</v>
      </c>
      <c r="H86" s="64">
        <v>12.44</v>
      </c>
      <c r="I86" s="72">
        <v>1</v>
      </c>
      <c r="L86" s="72" t="s">
        <v>20</v>
      </c>
      <c r="M86" t="s">
        <v>22</v>
      </c>
      <c r="N86" t="s">
        <v>19</v>
      </c>
      <c r="O86" s="64">
        <v>0.56999999999999995</v>
      </c>
      <c r="P86" s="73">
        <v>14</v>
      </c>
    </row>
    <row r="87" spans="1:17" x14ac:dyDescent="0.35">
      <c r="A87" s="68" t="s">
        <v>25</v>
      </c>
      <c r="B87" t="s">
        <v>44</v>
      </c>
      <c r="C87" s="72">
        <v>52</v>
      </c>
      <c r="G87" s="79" t="str">
        <f t="shared" si="1"/>
        <v xml:space="preserve"> </v>
      </c>
      <c r="L87" s="72" t="s">
        <v>20</v>
      </c>
      <c r="M87" t="s">
        <v>22</v>
      </c>
      <c r="N87" t="s">
        <v>19</v>
      </c>
      <c r="O87" s="64">
        <v>0.7</v>
      </c>
      <c r="P87" s="73">
        <v>0</v>
      </c>
    </row>
    <row r="88" spans="1:17" x14ac:dyDescent="0.35">
      <c r="A88" s="68" t="s">
        <v>25</v>
      </c>
      <c r="B88" t="s">
        <v>44</v>
      </c>
      <c r="C88" s="72">
        <v>52</v>
      </c>
      <c r="G88" s="79" t="str">
        <f t="shared" si="1"/>
        <v xml:space="preserve"> </v>
      </c>
      <c r="L88" s="72" t="s">
        <v>20</v>
      </c>
      <c r="M88" t="s">
        <v>21</v>
      </c>
      <c r="N88" t="s">
        <v>19</v>
      </c>
      <c r="O88" s="64">
        <v>1.05</v>
      </c>
      <c r="P88" s="73">
        <v>42</v>
      </c>
    </row>
    <row r="89" spans="1:17" x14ac:dyDescent="0.35">
      <c r="A89" s="68" t="s">
        <v>25</v>
      </c>
      <c r="B89" t="s">
        <v>44</v>
      </c>
      <c r="C89" s="72">
        <v>53</v>
      </c>
      <c r="D89" s="73" t="s">
        <v>42</v>
      </c>
      <c r="F89" s="78">
        <v>8</v>
      </c>
      <c r="G89" s="79">
        <f t="shared" si="1"/>
        <v>2.4383999219712025</v>
      </c>
      <c r="H89" s="64">
        <v>20.76</v>
      </c>
      <c r="I89" s="72">
        <v>2</v>
      </c>
      <c r="J89" s="79">
        <v>0.15</v>
      </c>
      <c r="L89" s="72" t="s">
        <v>20</v>
      </c>
      <c r="M89" t="s">
        <v>22</v>
      </c>
      <c r="N89" t="s">
        <v>19</v>
      </c>
      <c r="O89" s="64">
        <v>0.48</v>
      </c>
      <c r="P89" s="73">
        <v>0</v>
      </c>
    </row>
    <row r="90" spans="1:17" x14ac:dyDescent="0.35">
      <c r="A90" s="68" t="s">
        <v>25</v>
      </c>
      <c r="B90" t="s">
        <v>45</v>
      </c>
      <c r="C90" s="72">
        <v>54</v>
      </c>
      <c r="D90" s="73" t="s">
        <v>42</v>
      </c>
      <c r="F90" s="78">
        <v>10.5</v>
      </c>
      <c r="G90" s="79">
        <f t="shared" si="1"/>
        <v>3.2003998975872032</v>
      </c>
      <c r="H90" s="64">
        <v>44.98</v>
      </c>
      <c r="I90" s="72">
        <v>1</v>
      </c>
      <c r="L90" s="72" t="s">
        <v>20</v>
      </c>
      <c r="M90" t="s">
        <v>22</v>
      </c>
      <c r="N90" t="s">
        <v>19</v>
      </c>
      <c r="O90" s="64">
        <v>1.35</v>
      </c>
      <c r="P90" s="73">
        <v>0</v>
      </c>
    </row>
    <row r="91" spans="1:17" x14ac:dyDescent="0.35">
      <c r="A91" s="68" t="s">
        <v>25</v>
      </c>
      <c r="B91" t="s">
        <v>45</v>
      </c>
      <c r="C91" s="72">
        <v>55</v>
      </c>
      <c r="D91" s="73" t="s">
        <v>42</v>
      </c>
      <c r="F91" s="78">
        <v>8.1</v>
      </c>
      <c r="G91" s="79">
        <f t="shared" si="1"/>
        <v>2.4688799209958425</v>
      </c>
      <c r="H91" s="64">
        <v>27.34</v>
      </c>
      <c r="I91" s="72">
        <v>1</v>
      </c>
      <c r="L91" s="72" t="s">
        <v>19</v>
      </c>
      <c r="N91" t="s">
        <v>19</v>
      </c>
    </row>
    <row r="92" spans="1:17" x14ac:dyDescent="0.35">
      <c r="A92" s="68" t="s">
        <v>25</v>
      </c>
      <c r="B92" t="s">
        <v>45</v>
      </c>
      <c r="C92" s="72">
        <v>56</v>
      </c>
      <c r="D92" s="73" t="s">
        <v>42</v>
      </c>
      <c r="F92" s="78">
        <v>10</v>
      </c>
      <c r="G92" s="79">
        <f t="shared" si="1"/>
        <v>3.047999902464003</v>
      </c>
      <c r="H92" s="64">
        <v>43.17</v>
      </c>
      <c r="I92" s="72">
        <v>1</v>
      </c>
      <c r="K92">
        <v>55</v>
      </c>
      <c r="L92" s="72" t="s">
        <v>20</v>
      </c>
      <c r="M92" t="s">
        <v>22</v>
      </c>
      <c r="N92" t="s">
        <v>19</v>
      </c>
      <c r="O92" s="64">
        <v>1.04</v>
      </c>
      <c r="P92" s="73">
        <v>27</v>
      </c>
    </row>
    <row r="93" spans="1:17" x14ac:dyDescent="0.35">
      <c r="A93" s="68" t="s">
        <v>25</v>
      </c>
      <c r="B93" t="s">
        <v>45</v>
      </c>
      <c r="C93" s="72">
        <v>57</v>
      </c>
      <c r="D93" s="73" t="s">
        <v>42</v>
      </c>
      <c r="F93" s="78">
        <v>11.5</v>
      </c>
      <c r="G93" s="79">
        <f t="shared" si="1"/>
        <v>3.5051998878336037</v>
      </c>
      <c r="H93" s="64">
        <v>44.04</v>
      </c>
      <c r="I93" s="72">
        <v>2</v>
      </c>
      <c r="J93" s="79">
        <v>0.41</v>
      </c>
      <c r="L93" s="72" t="s">
        <v>19</v>
      </c>
      <c r="N93" t="s">
        <v>19</v>
      </c>
    </row>
    <row r="94" spans="1:17" x14ac:dyDescent="0.35">
      <c r="A94" s="68" t="s">
        <v>25</v>
      </c>
      <c r="B94" t="s">
        <v>45</v>
      </c>
      <c r="C94" s="72">
        <v>58</v>
      </c>
      <c r="D94" s="73" t="s">
        <v>42</v>
      </c>
      <c r="F94" s="78">
        <v>4.4000000000000004</v>
      </c>
      <c r="G94" s="79">
        <f t="shared" si="1"/>
        <v>1.3411199570841614</v>
      </c>
      <c r="H94" s="64">
        <v>9.42</v>
      </c>
      <c r="I94" s="72">
        <v>1</v>
      </c>
      <c r="K94">
        <v>90</v>
      </c>
      <c r="L94" s="72" t="s">
        <v>19</v>
      </c>
      <c r="N94" t="s">
        <v>19</v>
      </c>
      <c r="Q94" t="s">
        <v>46</v>
      </c>
    </row>
    <row r="95" spans="1:17" x14ac:dyDescent="0.35">
      <c r="A95" s="68" t="s">
        <v>25</v>
      </c>
      <c r="B95" t="s">
        <v>45</v>
      </c>
      <c r="C95" s="72">
        <v>59</v>
      </c>
      <c r="D95" s="73" t="s">
        <v>42</v>
      </c>
      <c r="F95" s="78">
        <v>5.5</v>
      </c>
      <c r="G95" s="79">
        <f t="shared" si="1"/>
        <v>1.6763999463552017</v>
      </c>
      <c r="H95" s="64">
        <v>13.03</v>
      </c>
      <c r="I95" s="72">
        <v>1</v>
      </c>
      <c r="K95">
        <v>115</v>
      </c>
      <c r="L95" s="72" t="s">
        <v>20</v>
      </c>
      <c r="M95" t="s">
        <v>22</v>
      </c>
      <c r="N95" t="s">
        <v>19</v>
      </c>
      <c r="O95" s="64">
        <v>0.6</v>
      </c>
      <c r="P95" s="73">
        <v>0</v>
      </c>
    </row>
    <row r="96" spans="1:17" x14ac:dyDescent="0.35">
      <c r="A96" s="68" t="s">
        <v>25</v>
      </c>
      <c r="B96" t="s">
        <v>45</v>
      </c>
      <c r="C96" s="72">
        <v>60</v>
      </c>
      <c r="D96" s="73" t="s">
        <v>42</v>
      </c>
      <c r="F96" s="78">
        <v>14.8</v>
      </c>
      <c r="G96" s="79">
        <f t="shared" si="1"/>
        <v>4.5110398556467253</v>
      </c>
      <c r="H96" s="64">
        <v>72.45</v>
      </c>
      <c r="I96" s="72">
        <v>1</v>
      </c>
      <c r="L96" s="72" t="s">
        <v>20</v>
      </c>
      <c r="M96" t="s">
        <v>22</v>
      </c>
      <c r="N96" t="s">
        <v>19</v>
      </c>
      <c r="O96" s="64">
        <v>1.1000000000000001</v>
      </c>
      <c r="P96" s="73">
        <v>0</v>
      </c>
    </row>
    <row r="97" spans="1:17" x14ac:dyDescent="0.35">
      <c r="A97" s="68" t="s">
        <v>25</v>
      </c>
      <c r="B97" t="s">
        <v>45</v>
      </c>
      <c r="C97" s="72">
        <v>61</v>
      </c>
      <c r="D97" s="73" t="s">
        <v>42</v>
      </c>
      <c r="F97" s="78">
        <v>12.3</v>
      </c>
      <c r="G97" s="79">
        <f t="shared" si="1"/>
        <v>3.7490398800307241</v>
      </c>
      <c r="H97" s="64">
        <v>49.92</v>
      </c>
      <c r="I97" s="72">
        <v>1</v>
      </c>
      <c r="L97" s="72" t="s">
        <v>20</v>
      </c>
      <c r="M97" t="s">
        <v>22</v>
      </c>
      <c r="N97" t="s">
        <v>19</v>
      </c>
      <c r="O97" s="64">
        <v>1.3</v>
      </c>
      <c r="P97" s="73">
        <v>20</v>
      </c>
    </row>
    <row r="98" spans="1:17" x14ac:dyDescent="0.35">
      <c r="A98" s="68" t="s">
        <v>25</v>
      </c>
      <c r="B98" t="s">
        <v>45</v>
      </c>
      <c r="C98" s="72">
        <v>62</v>
      </c>
      <c r="D98" s="73" t="s">
        <v>42</v>
      </c>
      <c r="F98" s="78">
        <v>16.100000000000001</v>
      </c>
      <c r="G98" s="79">
        <f t="shared" si="1"/>
        <v>4.9072798429670454</v>
      </c>
      <c r="H98" s="64">
        <v>87.28</v>
      </c>
      <c r="I98" s="72">
        <v>1</v>
      </c>
      <c r="L98" s="72" t="s">
        <v>20</v>
      </c>
      <c r="M98" t="s">
        <v>22</v>
      </c>
      <c r="N98" t="s">
        <v>19</v>
      </c>
      <c r="O98" s="64">
        <v>1.41</v>
      </c>
      <c r="P98" s="73">
        <v>0</v>
      </c>
    </row>
    <row r="99" spans="1:17" x14ac:dyDescent="0.35">
      <c r="A99" s="68" t="s">
        <v>25</v>
      </c>
      <c r="B99" t="s">
        <v>45</v>
      </c>
      <c r="C99" s="72">
        <v>63</v>
      </c>
      <c r="D99" s="73" t="s">
        <v>42</v>
      </c>
      <c r="F99" s="78">
        <v>11</v>
      </c>
      <c r="G99" s="79">
        <f t="shared" si="1"/>
        <v>3.3527998927104035</v>
      </c>
      <c r="H99" s="64">
        <v>34.47</v>
      </c>
      <c r="I99" s="72">
        <v>1</v>
      </c>
      <c r="L99" s="72" t="s">
        <v>19</v>
      </c>
      <c r="N99" t="s">
        <v>19</v>
      </c>
    </row>
    <row r="100" spans="1:17" x14ac:dyDescent="0.35">
      <c r="A100" s="68" t="s">
        <v>25</v>
      </c>
      <c r="B100" t="s">
        <v>45</v>
      </c>
      <c r="C100" s="72">
        <v>64</v>
      </c>
      <c r="D100" s="73" t="s">
        <v>42</v>
      </c>
      <c r="F100" s="78">
        <v>4.8</v>
      </c>
      <c r="G100" s="79">
        <f t="shared" si="1"/>
        <v>1.4630399531827214</v>
      </c>
      <c r="H100" s="64">
        <v>12.05</v>
      </c>
      <c r="I100" s="72">
        <v>1</v>
      </c>
      <c r="L100" s="72" t="s">
        <v>20</v>
      </c>
      <c r="M100" t="s">
        <v>22</v>
      </c>
      <c r="N100" t="s">
        <v>19</v>
      </c>
      <c r="O100" s="64">
        <v>0.54</v>
      </c>
      <c r="P100" s="73">
        <v>30</v>
      </c>
      <c r="Q100" t="s">
        <v>47</v>
      </c>
    </row>
    <row r="101" spans="1:17" x14ac:dyDescent="0.35">
      <c r="A101" s="68" t="s">
        <v>25</v>
      </c>
      <c r="B101" t="s">
        <v>45</v>
      </c>
      <c r="C101" s="72">
        <v>64</v>
      </c>
      <c r="G101" s="79" t="str">
        <f t="shared" si="1"/>
        <v xml:space="preserve"> </v>
      </c>
      <c r="L101" s="72" t="s">
        <v>20</v>
      </c>
      <c r="M101" t="s">
        <v>22</v>
      </c>
      <c r="N101" t="s">
        <v>19</v>
      </c>
      <c r="O101" s="64">
        <v>0.57999999999999996</v>
      </c>
      <c r="P101" s="73">
        <v>30</v>
      </c>
    </row>
    <row r="102" spans="1:17" x14ac:dyDescent="0.35">
      <c r="A102" s="68" t="s">
        <v>25</v>
      </c>
      <c r="B102" t="s">
        <v>45</v>
      </c>
      <c r="C102" s="72">
        <v>65</v>
      </c>
      <c r="D102" s="73" t="s">
        <v>42</v>
      </c>
      <c r="F102" s="78">
        <v>10.4</v>
      </c>
      <c r="G102" s="79">
        <f t="shared" si="1"/>
        <v>3.1699198985625632</v>
      </c>
      <c r="H102" s="64">
        <v>40.93</v>
      </c>
      <c r="I102" s="72">
        <v>1</v>
      </c>
      <c r="L102" s="72" t="s">
        <v>20</v>
      </c>
      <c r="M102" t="s">
        <v>22</v>
      </c>
      <c r="N102" t="s">
        <v>19</v>
      </c>
      <c r="O102" s="64">
        <v>1.0900000000000001</v>
      </c>
      <c r="P102" s="73">
        <v>0</v>
      </c>
    </row>
    <row r="103" spans="1:17" x14ac:dyDescent="0.35">
      <c r="A103" s="68" t="s">
        <v>25</v>
      </c>
      <c r="B103" t="s">
        <v>45</v>
      </c>
      <c r="C103" s="72">
        <v>66</v>
      </c>
      <c r="D103" s="73" t="s">
        <v>42</v>
      </c>
      <c r="F103" s="78">
        <v>8</v>
      </c>
      <c r="G103" s="79">
        <f t="shared" si="1"/>
        <v>2.4383999219712025</v>
      </c>
      <c r="H103" s="64">
        <v>26.39</v>
      </c>
      <c r="I103" s="72">
        <v>1</v>
      </c>
      <c r="L103" s="72" t="s">
        <v>19</v>
      </c>
      <c r="N103" t="s">
        <v>19</v>
      </c>
    </row>
    <row r="104" spans="1:17" x14ac:dyDescent="0.35">
      <c r="A104" s="68" t="s">
        <v>25</v>
      </c>
      <c r="B104" t="s">
        <v>45</v>
      </c>
      <c r="C104" s="72">
        <v>67</v>
      </c>
      <c r="D104" s="73" t="s">
        <v>42</v>
      </c>
      <c r="F104" s="78">
        <v>12.2</v>
      </c>
      <c r="G104" s="79">
        <f t="shared" si="1"/>
        <v>3.7185598810060836</v>
      </c>
      <c r="H104" s="64">
        <v>51.79</v>
      </c>
      <c r="I104" s="72">
        <v>1</v>
      </c>
      <c r="L104" s="72" t="s">
        <v>19</v>
      </c>
      <c r="N104" t="s">
        <v>19</v>
      </c>
    </row>
    <row r="105" spans="1:17" x14ac:dyDescent="0.35">
      <c r="A105" s="68" t="s">
        <v>25</v>
      </c>
      <c r="B105" t="s">
        <v>45</v>
      </c>
      <c r="C105" s="72">
        <v>68</v>
      </c>
      <c r="D105" s="73" t="s">
        <v>42</v>
      </c>
      <c r="F105" s="78">
        <v>8</v>
      </c>
      <c r="G105" s="79">
        <f t="shared" si="1"/>
        <v>2.4383999219712025</v>
      </c>
      <c r="H105" s="64">
        <v>28.5</v>
      </c>
      <c r="I105" s="72">
        <v>1</v>
      </c>
      <c r="L105" s="72" t="s">
        <v>20</v>
      </c>
      <c r="M105" t="s">
        <v>22</v>
      </c>
      <c r="N105" t="s">
        <v>19</v>
      </c>
      <c r="O105" s="64">
        <v>0.78</v>
      </c>
      <c r="P105" s="73">
        <v>0</v>
      </c>
    </row>
    <row r="106" spans="1:17" x14ac:dyDescent="0.35">
      <c r="A106" s="68" t="s">
        <v>25</v>
      </c>
      <c r="B106" t="s">
        <v>45</v>
      </c>
      <c r="C106" s="72">
        <v>69</v>
      </c>
      <c r="D106" s="73" t="s">
        <v>42</v>
      </c>
      <c r="F106" s="78">
        <v>9.1999999999999993</v>
      </c>
      <c r="G106" s="79">
        <f t="shared" si="1"/>
        <v>2.8041599102668826</v>
      </c>
      <c r="H106" s="64">
        <v>31.12</v>
      </c>
      <c r="I106" s="72">
        <v>1</v>
      </c>
      <c r="L106" s="72" t="s">
        <v>20</v>
      </c>
      <c r="M106" t="s">
        <v>21</v>
      </c>
      <c r="N106" t="s">
        <v>19</v>
      </c>
      <c r="O106" s="64">
        <v>0.97</v>
      </c>
      <c r="P106" s="73">
        <v>20</v>
      </c>
    </row>
    <row r="107" spans="1:17" x14ac:dyDescent="0.35">
      <c r="A107" s="68" t="s">
        <v>25</v>
      </c>
      <c r="B107" t="s">
        <v>60</v>
      </c>
      <c r="C107" s="72">
        <v>70</v>
      </c>
      <c r="D107" s="73" t="s">
        <v>42</v>
      </c>
      <c r="F107" s="78">
        <v>13</v>
      </c>
      <c r="G107" s="79">
        <f t="shared" si="1"/>
        <v>3.962399873203204</v>
      </c>
      <c r="H107" s="64">
        <v>50.02</v>
      </c>
      <c r="I107" s="72">
        <v>1</v>
      </c>
      <c r="L107" s="72" t="s">
        <v>20</v>
      </c>
      <c r="M107" t="s">
        <v>22</v>
      </c>
      <c r="N107" t="s">
        <v>19</v>
      </c>
      <c r="O107" s="64">
        <v>0.68</v>
      </c>
      <c r="P107" s="73">
        <v>12</v>
      </c>
      <c r="Q107" t="s">
        <v>72</v>
      </c>
    </row>
    <row r="108" spans="1:17" x14ac:dyDescent="0.35">
      <c r="A108" s="68" t="s">
        <v>25</v>
      </c>
      <c r="B108" t="s">
        <v>60</v>
      </c>
      <c r="C108" s="72">
        <v>71</v>
      </c>
      <c r="D108" s="73" t="s">
        <v>40</v>
      </c>
      <c r="E108" t="s">
        <v>36</v>
      </c>
      <c r="F108" s="78">
        <v>13.9</v>
      </c>
      <c r="G108" s="79">
        <f t="shared" si="1"/>
        <v>4.2367198644249644</v>
      </c>
      <c r="H108" s="64">
        <v>71.56</v>
      </c>
      <c r="Q108" t="s">
        <v>73</v>
      </c>
    </row>
    <row r="109" spans="1:17" x14ac:dyDescent="0.35">
      <c r="A109" s="68" t="s">
        <v>25</v>
      </c>
      <c r="B109" t="s">
        <v>60</v>
      </c>
      <c r="C109" s="72">
        <v>72</v>
      </c>
      <c r="D109" s="73" t="s">
        <v>40</v>
      </c>
      <c r="E109" t="s">
        <v>68</v>
      </c>
      <c r="F109" s="78">
        <v>17.399999999999999</v>
      </c>
      <c r="G109" s="79">
        <f t="shared" si="1"/>
        <v>5.3035198302873647</v>
      </c>
      <c r="H109" s="64">
        <v>58.56</v>
      </c>
      <c r="Q109" t="s">
        <v>74</v>
      </c>
    </row>
    <row r="110" spans="1:17" x14ac:dyDescent="0.35">
      <c r="A110" s="68" t="s">
        <v>25</v>
      </c>
      <c r="B110" t="s">
        <v>60</v>
      </c>
      <c r="C110" s="72">
        <v>73</v>
      </c>
      <c r="D110" s="73" t="s">
        <v>42</v>
      </c>
      <c r="F110" s="78">
        <v>9</v>
      </c>
      <c r="G110" s="79">
        <f t="shared" si="1"/>
        <v>2.743199912217603</v>
      </c>
      <c r="H110" s="64">
        <v>19.13</v>
      </c>
      <c r="I110" s="72">
        <v>1</v>
      </c>
      <c r="L110" s="72" t="s">
        <v>20</v>
      </c>
      <c r="M110" t="s">
        <v>22</v>
      </c>
      <c r="N110" t="s">
        <v>19</v>
      </c>
      <c r="O110" s="64">
        <v>0.56000000000000005</v>
      </c>
      <c r="P110" s="73">
        <v>0</v>
      </c>
      <c r="Q110" t="s">
        <v>75</v>
      </c>
    </row>
    <row r="111" spans="1:17" x14ac:dyDescent="0.35">
      <c r="A111" s="68" t="s">
        <v>25</v>
      </c>
      <c r="B111" t="s">
        <v>60</v>
      </c>
      <c r="C111" s="72">
        <v>73</v>
      </c>
      <c r="G111" s="79" t="str">
        <f t="shared" si="1"/>
        <v xml:space="preserve"> </v>
      </c>
      <c r="L111" s="72" t="s">
        <v>20</v>
      </c>
      <c r="M111" t="s">
        <v>21</v>
      </c>
      <c r="N111" t="s">
        <v>19</v>
      </c>
      <c r="O111" s="64">
        <v>0.56000000000000005</v>
      </c>
      <c r="P111" s="73">
        <v>30</v>
      </c>
    </row>
    <row r="112" spans="1:17" x14ac:dyDescent="0.35">
      <c r="A112" s="68" t="s">
        <v>25</v>
      </c>
      <c r="B112" t="s">
        <v>60</v>
      </c>
      <c r="C112" s="72">
        <v>74</v>
      </c>
      <c r="D112" s="73" t="s">
        <v>40</v>
      </c>
      <c r="E112" t="s">
        <v>69</v>
      </c>
      <c r="F112" s="78">
        <v>9.4</v>
      </c>
      <c r="G112" s="79">
        <f t="shared" si="1"/>
        <v>2.8651199083161631</v>
      </c>
      <c r="H112" s="64">
        <v>33.17</v>
      </c>
      <c r="Q112" t="s">
        <v>76</v>
      </c>
    </row>
    <row r="113" spans="1:17" x14ac:dyDescent="0.35">
      <c r="A113" s="68" t="s">
        <v>25</v>
      </c>
      <c r="B113" t="s">
        <v>60</v>
      </c>
      <c r="C113" s="72">
        <v>75</v>
      </c>
      <c r="D113" s="73" t="s">
        <v>42</v>
      </c>
      <c r="F113" s="78">
        <v>10.1</v>
      </c>
      <c r="G113" s="79">
        <f t="shared" si="1"/>
        <v>3.078479901488643</v>
      </c>
      <c r="H113" s="64">
        <v>32.61</v>
      </c>
      <c r="I113" s="72">
        <v>2</v>
      </c>
      <c r="J113" s="79">
        <v>0.14000000000000001</v>
      </c>
      <c r="K113">
        <v>95</v>
      </c>
      <c r="L113" s="72" t="s">
        <v>19</v>
      </c>
      <c r="N113" t="s">
        <v>19</v>
      </c>
      <c r="Q113" t="s">
        <v>77</v>
      </c>
    </row>
    <row r="114" spans="1:17" x14ac:dyDescent="0.35">
      <c r="A114" s="68" t="s">
        <v>25</v>
      </c>
      <c r="B114" t="s">
        <v>60</v>
      </c>
      <c r="C114" s="72">
        <v>76</v>
      </c>
      <c r="D114" s="73" t="s">
        <v>40</v>
      </c>
      <c r="F114" s="78">
        <v>11.7</v>
      </c>
      <c r="G114" s="79">
        <f t="shared" si="1"/>
        <v>3.5661598858828834</v>
      </c>
      <c r="H114" s="64">
        <v>33.92</v>
      </c>
      <c r="Q114" t="s">
        <v>78</v>
      </c>
    </row>
    <row r="115" spans="1:17" x14ac:dyDescent="0.35">
      <c r="A115" s="68" t="s">
        <v>25</v>
      </c>
      <c r="B115" t="s">
        <v>60</v>
      </c>
      <c r="C115" s="72">
        <v>77</v>
      </c>
      <c r="D115" s="73" t="s">
        <v>40</v>
      </c>
      <c r="E115" t="s">
        <v>19</v>
      </c>
      <c r="F115" s="78">
        <v>9</v>
      </c>
      <c r="G115" s="79">
        <f t="shared" si="1"/>
        <v>2.743199912217603</v>
      </c>
      <c r="H115" s="64">
        <v>25.41</v>
      </c>
      <c r="Q115" t="s">
        <v>79</v>
      </c>
    </row>
    <row r="116" spans="1:17" x14ac:dyDescent="0.35">
      <c r="A116" s="68" t="s">
        <v>25</v>
      </c>
      <c r="B116" t="s">
        <v>60</v>
      </c>
      <c r="C116" s="72">
        <v>78</v>
      </c>
      <c r="D116" s="73" t="s">
        <v>42</v>
      </c>
      <c r="F116" s="78">
        <v>10.8</v>
      </c>
      <c r="G116" s="79">
        <f t="shared" si="1"/>
        <v>3.2918398946611238</v>
      </c>
      <c r="H116" s="64">
        <v>35.4</v>
      </c>
      <c r="I116" s="72">
        <v>1</v>
      </c>
      <c r="L116" s="72" t="s">
        <v>20</v>
      </c>
      <c r="M116" t="s">
        <v>21</v>
      </c>
      <c r="N116" t="s">
        <v>19</v>
      </c>
      <c r="O116" s="64">
        <v>0.34</v>
      </c>
      <c r="P116" s="73">
        <v>47</v>
      </c>
      <c r="Q116" t="s">
        <v>80</v>
      </c>
    </row>
    <row r="117" spans="1:17" x14ac:dyDescent="0.35">
      <c r="A117" s="68" t="s">
        <v>25</v>
      </c>
      <c r="B117" t="s">
        <v>60</v>
      </c>
      <c r="C117" s="72">
        <v>79</v>
      </c>
      <c r="D117" s="73" t="s">
        <v>40</v>
      </c>
      <c r="E117" t="s">
        <v>68</v>
      </c>
      <c r="F117" s="78">
        <v>9.1999999999999993</v>
      </c>
      <c r="G117" s="79">
        <f t="shared" si="1"/>
        <v>2.8041599102668826</v>
      </c>
      <c r="H117" s="64">
        <v>23.86</v>
      </c>
      <c r="Q117" t="s">
        <v>81</v>
      </c>
    </row>
    <row r="118" spans="1:17" x14ac:dyDescent="0.35">
      <c r="A118" s="68" t="s">
        <v>25</v>
      </c>
      <c r="B118" t="s">
        <v>60</v>
      </c>
      <c r="C118" s="72">
        <v>80</v>
      </c>
      <c r="D118" s="73" t="s">
        <v>42</v>
      </c>
      <c r="F118" s="78">
        <v>7</v>
      </c>
      <c r="G118" s="79">
        <f t="shared" si="1"/>
        <v>2.133599931724802</v>
      </c>
      <c r="H118" s="64">
        <v>17.149999999999999</v>
      </c>
      <c r="I118" s="72">
        <v>1</v>
      </c>
      <c r="L118" s="72" t="s">
        <v>19</v>
      </c>
      <c r="N118" t="s">
        <v>19</v>
      </c>
      <c r="Q118" t="s">
        <v>82</v>
      </c>
    </row>
    <row r="119" spans="1:17" x14ac:dyDescent="0.35">
      <c r="A119" s="68" t="s">
        <v>25</v>
      </c>
      <c r="B119" t="s">
        <v>60</v>
      </c>
      <c r="C119" s="72">
        <v>81</v>
      </c>
      <c r="D119" s="73" t="s">
        <v>40</v>
      </c>
      <c r="E119" t="s">
        <v>68</v>
      </c>
      <c r="F119" s="78">
        <v>12.1</v>
      </c>
      <c r="G119" s="79">
        <f t="shared" si="1"/>
        <v>3.6880798819814435</v>
      </c>
      <c r="H119" s="64">
        <v>42.02</v>
      </c>
      <c r="Q119" t="s">
        <v>83</v>
      </c>
    </row>
    <row r="120" spans="1:17" x14ac:dyDescent="0.35">
      <c r="A120" s="68" t="s">
        <v>25</v>
      </c>
      <c r="B120" t="s">
        <v>60</v>
      </c>
      <c r="C120" s="72">
        <v>82</v>
      </c>
      <c r="D120" s="73" t="s">
        <v>42</v>
      </c>
      <c r="F120" s="78">
        <v>9.9</v>
      </c>
      <c r="G120" s="79">
        <f t="shared" si="1"/>
        <v>3.0175199034393634</v>
      </c>
      <c r="H120" s="64">
        <v>30.03</v>
      </c>
      <c r="I120" s="72">
        <v>1</v>
      </c>
      <c r="L120" s="72" t="s">
        <v>19</v>
      </c>
      <c r="N120" t="s">
        <v>19</v>
      </c>
      <c r="Q120" t="s">
        <v>84</v>
      </c>
    </row>
    <row r="121" spans="1:17" x14ac:dyDescent="0.35">
      <c r="A121" s="68" t="s">
        <v>25</v>
      </c>
      <c r="B121" t="s">
        <v>60</v>
      </c>
      <c r="C121" s="72">
        <v>83</v>
      </c>
      <c r="D121" s="73" t="s">
        <v>40</v>
      </c>
      <c r="E121" t="s">
        <v>19</v>
      </c>
      <c r="F121" s="78">
        <v>10.9</v>
      </c>
      <c r="G121" s="79">
        <f t="shared" si="1"/>
        <v>3.3223198936857634</v>
      </c>
      <c r="H121" s="64">
        <v>39.090000000000003</v>
      </c>
      <c r="Q121" t="s">
        <v>85</v>
      </c>
    </row>
    <row r="122" spans="1:17" x14ac:dyDescent="0.35">
      <c r="A122" s="68" t="s">
        <v>25</v>
      </c>
      <c r="B122" t="s">
        <v>60</v>
      </c>
      <c r="C122" s="72">
        <v>84</v>
      </c>
      <c r="D122" s="73" t="s">
        <v>42</v>
      </c>
      <c r="F122" s="78">
        <v>12</v>
      </c>
      <c r="G122" s="79">
        <f t="shared" si="1"/>
        <v>3.6575998829568039</v>
      </c>
      <c r="H122" s="64">
        <v>43.26</v>
      </c>
      <c r="I122" s="72">
        <v>1</v>
      </c>
      <c r="L122" s="72" t="s">
        <v>20</v>
      </c>
      <c r="M122" t="s">
        <v>22</v>
      </c>
      <c r="N122" t="s">
        <v>19</v>
      </c>
      <c r="O122" s="64">
        <v>0.85</v>
      </c>
      <c r="P122" s="73">
        <v>0</v>
      </c>
      <c r="Q122" t="s">
        <v>86</v>
      </c>
    </row>
    <row r="123" spans="1:17" x14ac:dyDescent="0.35">
      <c r="A123" s="68" t="s">
        <v>25</v>
      </c>
      <c r="B123" t="s">
        <v>60</v>
      </c>
      <c r="C123" s="72">
        <v>85</v>
      </c>
      <c r="D123" s="73" t="s">
        <v>40</v>
      </c>
      <c r="E123" t="s">
        <v>70</v>
      </c>
      <c r="F123" s="78">
        <v>11.5</v>
      </c>
      <c r="G123" s="79">
        <f t="shared" si="1"/>
        <v>3.5051998878336037</v>
      </c>
      <c r="H123" s="64">
        <v>39.93</v>
      </c>
      <c r="Q123" t="s">
        <v>87</v>
      </c>
    </row>
    <row r="124" spans="1:17" x14ac:dyDescent="0.35">
      <c r="A124" s="68" t="s">
        <v>25</v>
      </c>
      <c r="B124" t="s">
        <v>60</v>
      </c>
      <c r="C124" s="72">
        <v>86</v>
      </c>
      <c r="D124" s="73" t="s">
        <v>42</v>
      </c>
      <c r="F124" s="78">
        <v>11.9</v>
      </c>
      <c r="G124" s="79">
        <f t="shared" si="1"/>
        <v>3.6271198839321639</v>
      </c>
      <c r="H124" s="64">
        <v>38.85</v>
      </c>
      <c r="I124" s="72">
        <v>1</v>
      </c>
      <c r="K124">
        <v>57</v>
      </c>
      <c r="L124" s="72" t="s">
        <v>20</v>
      </c>
      <c r="M124" t="s">
        <v>22</v>
      </c>
      <c r="N124" t="s">
        <v>19</v>
      </c>
      <c r="O124" s="64">
        <v>1.19</v>
      </c>
      <c r="P124" s="73">
        <v>0</v>
      </c>
      <c r="Q124" t="s">
        <v>88</v>
      </c>
    </row>
    <row r="125" spans="1:17" x14ac:dyDescent="0.35">
      <c r="A125" s="68" t="s">
        <v>25</v>
      </c>
      <c r="B125" t="s">
        <v>60</v>
      </c>
      <c r="C125" s="72">
        <v>87</v>
      </c>
      <c r="D125" s="73" t="s">
        <v>40</v>
      </c>
      <c r="E125" t="s">
        <v>19</v>
      </c>
      <c r="F125" s="78">
        <v>15.4</v>
      </c>
      <c r="G125" s="79">
        <f>IF(F125 = 0, " ", IF(F125&lt;2, F125/1, F125/3.28084))</f>
        <v>4.6939198497945647</v>
      </c>
      <c r="H125" s="64">
        <v>58.23</v>
      </c>
      <c r="Q125" t="s">
        <v>89</v>
      </c>
    </row>
    <row r="126" spans="1:17" x14ac:dyDescent="0.35">
      <c r="A126" s="68" t="s">
        <v>25</v>
      </c>
      <c r="B126" t="s">
        <v>60</v>
      </c>
      <c r="C126" s="72">
        <v>88</v>
      </c>
      <c r="D126" s="73" t="s">
        <v>42</v>
      </c>
      <c r="F126" s="78">
        <v>4.2</v>
      </c>
      <c r="G126" s="79">
        <f t="shared" si="1"/>
        <v>1.2801599590348813</v>
      </c>
      <c r="H126" s="64">
        <v>4.1399999999999997</v>
      </c>
      <c r="I126" s="72">
        <v>1</v>
      </c>
      <c r="L126" s="72" t="s">
        <v>19</v>
      </c>
      <c r="N126" t="s">
        <v>19</v>
      </c>
      <c r="Q126" t="s">
        <v>90</v>
      </c>
    </row>
    <row r="127" spans="1:17" x14ac:dyDescent="0.35">
      <c r="A127" s="68" t="s">
        <v>25</v>
      </c>
      <c r="B127" t="s">
        <v>60</v>
      </c>
      <c r="C127" s="72">
        <v>89</v>
      </c>
      <c r="D127" s="73" t="s">
        <v>40</v>
      </c>
      <c r="E127" t="s">
        <v>68</v>
      </c>
      <c r="F127" s="78">
        <v>18.5</v>
      </c>
      <c r="G127" s="79">
        <f t="shared" si="1"/>
        <v>5.6387998195584057</v>
      </c>
      <c r="H127" s="64">
        <v>59.12</v>
      </c>
      <c r="Q127" t="s">
        <v>91</v>
      </c>
    </row>
    <row r="128" spans="1:17" x14ac:dyDescent="0.35">
      <c r="A128" s="68" t="s">
        <v>25</v>
      </c>
      <c r="B128" t="s">
        <v>60</v>
      </c>
      <c r="C128" s="72">
        <v>90</v>
      </c>
      <c r="D128" s="73" t="s">
        <v>42</v>
      </c>
      <c r="F128" s="78">
        <v>7.6</v>
      </c>
      <c r="G128" s="79">
        <f t="shared" si="1"/>
        <v>2.3164799258726423</v>
      </c>
      <c r="H128" s="64">
        <v>17.8</v>
      </c>
      <c r="I128" s="72">
        <v>1</v>
      </c>
      <c r="L128" s="72" t="s">
        <v>20</v>
      </c>
      <c r="M128" t="s">
        <v>21</v>
      </c>
      <c r="N128" t="s">
        <v>19</v>
      </c>
      <c r="O128" s="64">
        <v>0.53</v>
      </c>
      <c r="P128" s="73">
        <v>26</v>
      </c>
      <c r="Q128" t="s">
        <v>92</v>
      </c>
    </row>
    <row r="129" spans="1:17" x14ac:dyDescent="0.35">
      <c r="A129" s="68" t="s">
        <v>25</v>
      </c>
      <c r="B129" t="s">
        <v>60</v>
      </c>
      <c r="C129" s="72">
        <v>91</v>
      </c>
      <c r="D129" s="73" t="s">
        <v>40</v>
      </c>
      <c r="E129" t="s">
        <v>36</v>
      </c>
      <c r="F129" s="78">
        <v>17.899999999999999</v>
      </c>
      <c r="G129" s="79">
        <f t="shared" si="1"/>
        <v>5.4559198254105654</v>
      </c>
      <c r="H129" s="64">
        <v>68.150000000000006</v>
      </c>
      <c r="Q129" t="s">
        <v>93</v>
      </c>
    </row>
    <row r="130" spans="1:17" x14ac:dyDescent="0.35">
      <c r="A130" s="68" t="s">
        <v>25</v>
      </c>
      <c r="B130" t="s">
        <v>60</v>
      </c>
      <c r="C130" s="72">
        <v>92</v>
      </c>
      <c r="D130" s="73" t="s">
        <v>42</v>
      </c>
      <c r="F130" s="78">
        <v>0.96</v>
      </c>
      <c r="G130" s="79">
        <v>0.96</v>
      </c>
      <c r="H130" s="64">
        <v>5.72</v>
      </c>
      <c r="I130" s="72">
        <v>2</v>
      </c>
      <c r="J130" s="79">
        <v>0.68</v>
      </c>
      <c r="L130" s="72" t="s">
        <v>19</v>
      </c>
      <c r="N130" t="s">
        <v>19</v>
      </c>
      <c r="Q130" t="s">
        <v>94</v>
      </c>
    </row>
    <row r="131" spans="1:17" x14ac:dyDescent="0.35">
      <c r="A131" s="68" t="s">
        <v>25</v>
      </c>
      <c r="B131" t="s">
        <v>60</v>
      </c>
      <c r="C131" s="72">
        <v>93</v>
      </c>
      <c r="D131" s="73" t="s">
        <v>42</v>
      </c>
      <c r="F131" s="78">
        <v>7.3</v>
      </c>
      <c r="G131" s="79">
        <f t="shared" si="1"/>
        <v>2.2250399287987221</v>
      </c>
      <c r="H131" s="64">
        <v>24.4</v>
      </c>
      <c r="I131" s="72">
        <v>1</v>
      </c>
      <c r="L131" s="72" t="s">
        <v>20</v>
      </c>
      <c r="M131" t="s">
        <v>22</v>
      </c>
      <c r="N131" t="s">
        <v>19</v>
      </c>
      <c r="O131" s="64">
        <v>1.28</v>
      </c>
      <c r="P131" s="73">
        <v>0</v>
      </c>
      <c r="Q131" t="s">
        <v>95</v>
      </c>
    </row>
    <row r="132" spans="1:17" x14ac:dyDescent="0.35">
      <c r="A132" s="68" t="s">
        <v>25</v>
      </c>
      <c r="B132" t="s">
        <v>60</v>
      </c>
      <c r="C132" s="72">
        <v>94</v>
      </c>
      <c r="D132" s="73" t="s">
        <v>40</v>
      </c>
      <c r="E132" t="s">
        <v>36</v>
      </c>
      <c r="F132" s="78">
        <v>14.6</v>
      </c>
      <c r="G132" s="79">
        <v>1.96</v>
      </c>
      <c r="H132" s="64">
        <v>67.45</v>
      </c>
      <c r="Q132" t="s">
        <v>96</v>
      </c>
    </row>
    <row r="133" spans="1:17" x14ac:dyDescent="0.35">
      <c r="A133" s="68" t="s">
        <v>25</v>
      </c>
      <c r="B133" t="s">
        <v>60</v>
      </c>
      <c r="C133" s="72">
        <v>95</v>
      </c>
      <c r="D133" s="73" t="s">
        <v>40</v>
      </c>
      <c r="E133" t="s">
        <v>68</v>
      </c>
      <c r="F133" s="78">
        <v>9.6</v>
      </c>
      <c r="G133" s="79">
        <f t="shared" si="1"/>
        <v>2.9260799063654428</v>
      </c>
      <c r="H133" s="64">
        <v>23.29</v>
      </c>
      <c r="Q133" t="s">
        <v>97</v>
      </c>
    </row>
    <row r="134" spans="1:17" x14ac:dyDescent="0.35">
      <c r="A134" s="68" t="s">
        <v>25</v>
      </c>
      <c r="B134" t="s">
        <v>60</v>
      </c>
      <c r="C134" s="72">
        <v>96</v>
      </c>
      <c r="D134" s="73" t="s">
        <v>42</v>
      </c>
      <c r="F134" s="78">
        <v>7</v>
      </c>
      <c r="G134" s="79">
        <f t="shared" si="1"/>
        <v>2.133599931724802</v>
      </c>
      <c r="H134" s="64">
        <v>14.17</v>
      </c>
      <c r="I134" s="72">
        <v>1</v>
      </c>
      <c r="K134">
        <v>98</v>
      </c>
      <c r="L134" s="72" t="s">
        <v>20</v>
      </c>
      <c r="M134" t="s">
        <v>22</v>
      </c>
      <c r="N134" t="s">
        <v>19</v>
      </c>
      <c r="O134" s="64">
        <v>0.17</v>
      </c>
      <c r="P134" s="73">
        <v>0</v>
      </c>
      <c r="Q134" t="s">
        <v>98</v>
      </c>
    </row>
    <row r="135" spans="1:17" x14ac:dyDescent="0.35">
      <c r="A135" s="68" t="s">
        <v>25</v>
      </c>
      <c r="B135" t="s">
        <v>60</v>
      </c>
      <c r="C135" s="72">
        <v>97</v>
      </c>
      <c r="D135" s="73" t="s">
        <v>40</v>
      </c>
      <c r="E135" t="s">
        <v>36</v>
      </c>
      <c r="F135" s="78">
        <v>15.6</v>
      </c>
      <c r="G135" s="79">
        <f t="shared" ref="G135:G137" si="2">IF(F135 = 0, " ", IF(F135&lt;2, F135/1, F135/3.28084))</f>
        <v>4.7548798478438448</v>
      </c>
      <c r="H135" s="64">
        <v>59.16</v>
      </c>
      <c r="Q135" t="s">
        <v>99</v>
      </c>
    </row>
    <row r="136" spans="1:17" x14ac:dyDescent="0.35">
      <c r="A136" s="68" t="s">
        <v>25</v>
      </c>
      <c r="B136" t="s">
        <v>60</v>
      </c>
      <c r="C136" s="72">
        <v>98</v>
      </c>
      <c r="D136" s="73" t="s">
        <v>42</v>
      </c>
      <c r="F136" s="78">
        <v>7</v>
      </c>
      <c r="G136" s="79">
        <f t="shared" si="2"/>
        <v>2.133599931724802</v>
      </c>
      <c r="H136" s="64">
        <v>20.62</v>
      </c>
      <c r="I136" s="72">
        <v>1</v>
      </c>
      <c r="L136" s="72" t="s">
        <v>20</v>
      </c>
      <c r="M136" t="s">
        <v>21</v>
      </c>
      <c r="N136" t="s">
        <v>19</v>
      </c>
      <c r="O136" s="64">
        <v>0.6</v>
      </c>
      <c r="P136" s="73">
        <v>72</v>
      </c>
      <c r="Q136" t="s">
        <v>100</v>
      </c>
    </row>
    <row r="137" spans="1:17" x14ac:dyDescent="0.35">
      <c r="A137" s="68" t="s">
        <v>25</v>
      </c>
      <c r="B137" t="s">
        <v>60</v>
      </c>
      <c r="C137" s="72">
        <v>99</v>
      </c>
      <c r="D137" s="73" t="s">
        <v>40</v>
      </c>
      <c r="E137" t="s">
        <v>71</v>
      </c>
      <c r="F137" s="78">
        <v>14.8</v>
      </c>
      <c r="G137" s="79">
        <f t="shared" si="2"/>
        <v>4.5110398556467253</v>
      </c>
      <c r="Q137" t="s">
        <v>101</v>
      </c>
    </row>
    <row r="138" spans="1:17" x14ac:dyDescent="0.35">
      <c r="A138" s="68" t="s">
        <v>25</v>
      </c>
      <c r="B138" t="s">
        <v>60</v>
      </c>
      <c r="C138" s="72">
        <v>100</v>
      </c>
      <c r="D138" s="73" t="s">
        <v>42</v>
      </c>
      <c r="F138" s="78">
        <v>1.2</v>
      </c>
      <c r="G138" s="79">
        <v>1.2</v>
      </c>
      <c r="H138" s="64">
        <v>10.26</v>
      </c>
      <c r="I138" s="72">
        <v>1</v>
      </c>
      <c r="L138" s="72" t="s">
        <v>19</v>
      </c>
      <c r="N138" t="s">
        <v>19</v>
      </c>
      <c r="Q138" t="s">
        <v>151</v>
      </c>
    </row>
    <row r="139" spans="1:17" x14ac:dyDescent="0.35">
      <c r="A139" s="68" t="s">
        <v>25</v>
      </c>
      <c r="B139" t="s">
        <v>60</v>
      </c>
      <c r="C139" s="72">
        <v>101</v>
      </c>
      <c r="D139" s="73" t="s">
        <v>40</v>
      </c>
      <c r="E139" t="s">
        <v>36</v>
      </c>
      <c r="F139" s="78">
        <v>16.600000000000001</v>
      </c>
      <c r="G139" s="79">
        <f t="shared" ref="G139:G168" si="3">IF(F139 = 0, " ", IF(F139&lt;2, F139/1, F139/3.28084))</f>
        <v>5.0596798380902452</v>
      </c>
      <c r="H139" s="64">
        <v>52.57</v>
      </c>
      <c r="Q139" t="s">
        <v>102</v>
      </c>
    </row>
    <row r="140" spans="1:17" x14ac:dyDescent="0.35">
      <c r="A140" s="68" t="s">
        <v>25</v>
      </c>
      <c r="B140" t="s">
        <v>60</v>
      </c>
      <c r="C140" s="72">
        <v>102</v>
      </c>
      <c r="D140" s="73" t="s">
        <v>42</v>
      </c>
      <c r="F140" s="78">
        <v>5.4</v>
      </c>
      <c r="G140" s="79">
        <f t="shared" si="3"/>
        <v>1.6459199473305619</v>
      </c>
      <c r="H140" s="64">
        <v>17.059999999999999</v>
      </c>
      <c r="I140" s="72">
        <v>1</v>
      </c>
      <c r="L140" s="72" t="s">
        <v>19</v>
      </c>
      <c r="N140" t="s">
        <v>19</v>
      </c>
      <c r="Q140" t="s">
        <v>103</v>
      </c>
    </row>
    <row r="141" spans="1:17" x14ac:dyDescent="0.35">
      <c r="A141" s="68" t="s">
        <v>25</v>
      </c>
      <c r="B141" t="s">
        <v>60</v>
      </c>
      <c r="C141" s="72">
        <v>103</v>
      </c>
      <c r="D141" s="73" t="s">
        <v>40</v>
      </c>
      <c r="E141" t="s">
        <v>29</v>
      </c>
      <c r="F141" s="78">
        <v>15.3</v>
      </c>
      <c r="G141" s="79">
        <f t="shared" si="3"/>
        <v>4.6634398507699251</v>
      </c>
      <c r="H141" s="64">
        <v>47.56</v>
      </c>
      <c r="Q141" t="s">
        <v>104</v>
      </c>
    </row>
    <row r="142" spans="1:17" x14ac:dyDescent="0.35">
      <c r="A142" s="68" t="s">
        <v>25</v>
      </c>
      <c r="B142" t="s">
        <v>60</v>
      </c>
      <c r="C142" s="72">
        <v>104</v>
      </c>
      <c r="D142" s="73" t="s">
        <v>42</v>
      </c>
      <c r="F142" s="78">
        <v>6.5</v>
      </c>
      <c r="G142" s="79">
        <f t="shared" si="3"/>
        <v>1.981199936601602</v>
      </c>
      <c r="H142" s="64">
        <v>16.850000000000001</v>
      </c>
      <c r="I142" s="72">
        <v>1</v>
      </c>
      <c r="L142" s="72" t="s">
        <v>20</v>
      </c>
      <c r="M142" t="s">
        <v>21</v>
      </c>
      <c r="N142" t="s">
        <v>19</v>
      </c>
      <c r="O142" s="64">
        <v>0.3</v>
      </c>
      <c r="P142" s="73">
        <v>120</v>
      </c>
      <c r="Q142" t="s">
        <v>105</v>
      </c>
    </row>
    <row r="143" spans="1:17" x14ac:dyDescent="0.35">
      <c r="A143" s="68" t="s">
        <v>25</v>
      </c>
      <c r="B143" t="s">
        <v>60</v>
      </c>
      <c r="C143" s="72">
        <v>104</v>
      </c>
      <c r="G143" s="79" t="str">
        <f t="shared" si="3"/>
        <v xml:space="preserve"> </v>
      </c>
      <c r="L143" s="72" t="s">
        <v>20</v>
      </c>
      <c r="M143" t="s">
        <v>22</v>
      </c>
      <c r="N143" t="s">
        <v>19</v>
      </c>
      <c r="O143" s="64">
        <v>0.85</v>
      </c>
      <c r="P143" s="73">
        <v>0</v>
      </c>
    </row>
    <row r="144" spans="1:17" x14ac:dyDescent="0.35">
      <c r="A144" s="68" t="s">
        <v>25</v>
      </c>
      <c r="B144" t="s">
        <v>60</v>
      </c>
      <c r="C144" s="72">
        <v>105</v>
      </c>
      <c r="D144" s="73" t="s">
        <v>40</v>
      </c>
      <c r="E144" t="s">
        <v>23</v>
      </c>
      <c r="F144" s="78">
        <v>16.3</v>
      </c>
      <c r="G144" s="79">
        <f t="shared" si="3"/>
        <v>4.9682398410163255</v>
      </c>
      <c r="H144" s="64">
        <v>70.56</v>
      </c>
      <c r="Q144" t="s">
        <v>107</v>
      </c>
    </row>
    <row r="145" spans="1:17" x14ac:dyDescent="0.35">
      <c r="A145" s="68" t="s">
        <v>25</v>
      </c>
      <c r="B145" t="s">
        <v>60</v>
      </c>
      <c r="C145" s="72">
        <v>106</v>
      </c>
      <c r="D145" s="73" t="s">
        <v>42</v>
      </c>
      <c r="F145" s="78">
        <v>7</v>
      </c>
      <c r="G145" s="79">
        <f t="shared" si="3"/>
        <v>2.133599931724802</v>
      </c>
      <c r="H145" s="64">
        <v>26.96</v>
      </c>
      <c r="I145" s="72">
        <v>1</v>
      </c>
      <c r="L145" s="72" t="s">
        <v>20</v>
      </c>
      <c r="M145" t="s">
        <v>22</v>
      </c>
      <c r="N145" t="s">
        <v>19</v>
      </c>
      <c r="O145" s="64">
        <v>0.2</v>
      </c>
      <c r="P145" s="73">
        <v>0</v>
      </c>
      <c r="Q145" t="s">
        <v>106</v>
      </c>
    </row>
    <row r="146" spans="1:17" x14ac:dyDescent="0.35">
      <c r="A146" s="68" t="s">
        <v>25</v>
      </c>
      <c r="B146" t="s">
        <v>61</v>
      </c>
      <c r="C146" s="72">
        <v>107</v>
      </c>
      <c r="D146" s="73" t="s">
        <v>42</v>
      </c>
      <c r="F146" s="78">
        <v>10.9</v>
      </c>
      <c r="G146" s="79">
        <f t="shared" si="3"/>
        <v>3.3223198936857634</v>
      </c>
      <c r="H146" s="64">
        <v>38.36</v>
      </c>
      <c r="I146" s="72">
        <v>1</v>
      </c>
      <c r="L146" s="72" t="s">
        <v>20</v>
      </c>
      <c r="M146" t="s">
        <v>22</v>
      </c>
      <c r="N146" t="s">
        <v>19</v>
      </c>
      <c r="O146" s="64">
        <v>1.1599999999999999</v>
      </c>
      <c r="P146" s="73">
        <v>0</v>
      </c>
    </row>
    <row r="147" spans="1:17" x14ac:dyDescent="0.35">
      <c r="A147" s="68" t="s">
        <v>25</v>
      </c>
      <c r="B147" t="s">
        <v>61</v>
      </c>
      <c r="C147" s="72">
        <v>108</v>
      </c>
      <c r="D147" s="73" t="s">
        <v>42</v>
      </c>
      <c r="F147" s="78">
        <v>10</v>
      </c>
      <c r="G147" s="79">
        <f t="shared" si="3"/>
        <v>3.047999902464003</v>
      </c>
      <c r="H147" s="64">
        <v>27.33</v>
      </c>
      <c r="I147" s="72">
        <v>1</v>
      </c>
      <c r="K147">
        <v>35</v>
      </c>
      <c r="L147" s="72" t="s">
        <v>20</v>
      </c>
      <c r="M147" t="s">
        <v>22</v>
      </c>
      <c r="N147" t="s">
        <v>19</v>
      </c>
      <c r="O147" s="64">
        <v>0.73</v>
      </c>
      <c r="P147" s="73">
        <v>0</v>
      </c>
    </row>
    <row r="148" spans="1:17" x14ac:dyDescent="0.35">
      <c r="A148" s="68" t="s">
        <v>25</v>
      </c>
      <c r="B148" t="s">
        <v>61</v>
      </c>
      <c r="C148" s="72">
        <v>109</v>
      </c>
      <c r="D148" s="73" t="s">
        <v>42</v>
      </c>
      <c r="F148" s="78">
        <v>8.6999999999999993</v>
      </c>
      <c r="G148" s="79">
        <f t="shared" si="3"/>
        <v>2.6517599151436824</v>
      </c>
      <c r="H148" s="64">
        <v>25.97</v>
      </c>
      <c r="I148" s="72">
        <v>1</v>
      </c>
      <c r="L148" s="72" t="s">
        <v>19</v>
      </c>
      <c r="N148" t="s">
        <v>19</v>
      </c>
      <c r="Q148" t="s">
        <v>62</v>
      </c>
    </row>
    <row r="149" spans="1:17" x14ac:dyDescent="0.35">
      <c r="A149" s="68" t="s">
        <v>25</v>
      </c>
      <c r="B149" t="s">
        <v>61</v>
      </c>
      <c r="C149" s="72">
        <v>110</v>
      </c>
      <c r="D149" s="73" t="s">
        <v>42</v>
      </c>
      <c r="F149" s="78">
        <v>13.9</v>
      </c>
      <c r="G149" s="79">
        <f t="shared" si="3"/>
        <v>4.2367198644249644</v>
      </c>
      <c r="H149" s="64">
        <v>67.599999999999994</v>
      </c>
      <c r="I149" s="72">
        <v>1</v>
      </c>
      <c r="L149" s="72" t="s">
        <v>20</v>
      </c>
      <c r="M149" t="s">
        <v>22</v>
      </c>
      <c r="N149" t="s">
        <v>19</v>
      </c>
      <c r="O149" s="64">
        <v>1.74</v>
      </c>
      <c r="P149" s="73">
        <v>0</v>
      </c>
    </row>
    <row r="150" spans="1:17" x14ac:dyDescent="0.35">
      <c r="A150" s="68" t="s">
        <v>25</v>
      </c>
      <c r="B150" t="s">
        <v>61</v>
      </c>
      <c r="C150" s="72">
        <v>111</v>
      </c>
      <c r="D150" s="73" t="s">
        <v>42</v>
      </c>
      <c r="F150" s="78">
        <v>7.4</v>
      </c>
      <c r="G150" s="79">
        <f t="shared" si="3"/>
        <v>2.2555199278233626</v>
      </c>
      <c r="H150" s="64">
        <v>25.44</v>
      </c>
      <c r="I150" s="72">
        <v>1</v>
      </c>
      <c r="K150">
        <v>90</v>
      </c>
      <c r="L150" s="72" t="s">
        <v>20</v>
      </c>
      <c r="M150" t="s">
        <v>22</v>
      </c>
      <c r="N150" t="s">
        <v>19</v>
      </c>
      <c r="O150" s="64">
        <v>0.78</v>
      </c>
      <c r="P150" s="73">
        <v>0</v>
      </c>
    </row>
    <row r="151" spans="1:17" x14ac:dyDescent="0.35">
      <c r="A151" s="68" t="s">
        <v>25</v>
      </c>
      <c r="B151" t="s">
        <v>61</v>
      </c>
      <c r="C151" s="72">
        <v>112</v>
      </c>
      <c r="D151" s="73" t="s">
        <v>42</v>
      </c>
      <c r="F151" s="78">
        <v>10.199999999999999</v>
      </c>
      <c r="G151" s="79">
        <f t="shared" si="3"/>
        <v>3.1089599005132831</v>
      </c>
      <c r="H151" s="64">
        <v>28.98</v>
      </c>
      <c r="I151" s="72">
        <v>1</v>
      </c>
      <c r="L151" s="72" t="s">
        <v>19</v>
      </c>
      <c r="N151" t="s">
        <v>19</v>
      </c>
      <c r="Q151" t="s">
        <v>62</v>
      </c>
    </row>
    <row r="152" spans="1:17" x14ac:dyDescent="0.35">
      <c r="A152" s="68" t="s">
        <v>25</v>
      </c>
      <c r="B152" t="s">
        <v>61</v>
      </c>
      <c r="C152" s="72">
        <v>113</v>
      </c>
      <c r="D152" s="73" t="s">
        <v>42</v>
      </c>
      <c r="F152" s="78">
        <v>13.6</v>
      </c>
      <c r="G152" s="79">
        <f t="shared" si="3"/>
        <v>4.1452798673510438</v>
      </c>
      <c r="H152" s="64">
        <v>53.26</v>
      </c>
      <c r="I152" s="72">
        <v>1</v>
      </c>
      <c r="L152" s="72" t="s">
        <v>19</v>
      </c>
      <c r="N152" t="s">
        <v>19</v>
      </c>
    </row>
    <row r="153" spans="1:17" x14ac:dyDescent="0.35">
      <c r="A153" s="68" t="s">
        <v>25</v>
      </c>
      <c r="B153" t="s">
        <v>61</v>
      </c>
      <c r="C153" s="72">
        <v>114</v>
      </c>
      <c r="D153" s="73" t="s">
        <v>42</v>
      </c>
      <c r="F153" s="78">
        <v>12.6</v>
      </c>
      <c r="G153" s="79">
        <f t="shared" si="3"/>
        <v>3.8404798771046438</v>
      </c>
      <c r="H153" s="64">
        <v>59.12</v>
      </c>
      <c r="I153" s="72">
        <v>1</v>
      </c>
      <c r="L153" s="72" t="s">
        <v>19</v>
      </c>
      <c r="N153" t="s">
        <v>19</v>
      </c>
      <c r="Q153" t="s">
        <v>63</v>
      </c>
    </row>
    <row r="154" spans="1:17" x14ac:dyDescent="0.35">
      <c r="A154" s="68" t="s">
        <v>25</v>
      </c>
      <c r="B154" t="s">
        <v>61</v>
      </c>
      <c r="C154" s="72">
        <v>115</v>
      </c>
      <c r="D154" s="73" t="s">
        <v>42</v>
      </c>
      <c r="F154" s="78">
        <v>9.9</v>
      </c>
      <c r="G154" s="79">
        <f t="shared" si="3"/>
        <v>3.0175199034393634</v>
      </c>
      <c r="H154" s="64">
        <v>31.82</v>
      </c>
      <c r="I154" s="72">
        <v>1</v>
      </c>
      <c r="L154" s="72" t="s">
        <v>19</v>
      </c>
      <c r="N154" t="s">
        <v>19</v>
      </c>
    </row>
    <row r="155" spans="1:17" x14ac:dyDescent="0.35">
      <c r="A155" s="68" t="s">
        <v>25</v>
      </c>
      <c r="B155" t="s">
        <v>61</v>
      </c>
      <c r="C155" s="72">
        <v>116</v>
      </c>
      <c r="D155" s="73" t="s">
        <v>42</v>
      </c>
      <c r="F155" s="78">
        <v>10.1</v>
      </c>
      <c r="G155" s="79">
        <f t="shared" si="3"/>
        <v>3.078479901488643</v>
      </c>
      <c r="H155" s="64">
        <v>31.44</v>
      </c>
      <c r="I155" s="72">
        <v>1</v>
      </c>
      <c r="L155" s="72" t="s">
        <v>19</v>
      </c>
      <c r="N155" t="s">
        <v>19</v>
      </c>
    </row>
    <row r="156" spans="1:17" x14ac:dyDescent="0.35">
      <c r="A156" s="68" t="s">
        <v>25</v>
      </c>
      <c r="B156" t="s">
        <v>61</v>
      </c>
      <c r="C156" s="72">
        <v>117</v>
      </c>
      <c r="D156" s="73" t="s">
        <v>42</v>
      </c>
      <c r="F156" s="78">
        <v>13.8</v>
      </c>
      <c r="G156" s="79">
        <f t="shared" si="3"/>
        <v>4.2062398654003248</v>
      </c>
      <c r="H156" s="64">
        <v>49.13</v>
      </c>
      <c r="I156" s="72">
        <v>1</v>
      </c>
      <c r="L156" s="72" t="s">
        <v>20</v>
      </c>
      <c r="M156" t="s">
        <v>22</v>
      </c>
      <c r="N156" t="s">
        <v>19</v>
      </c>
      <c r="O156" s="64">
        <v>1.4</v>
      </c>
      <c r="P156" s="73">
        <v>0</v>
      </c>
    </row>
    <row r="157" spans="1:17" x14ac:dyDescent="0.35">
      <c r="A157" s="68" t="s">
        <v>25</v>
      </c>
      <c r="B157" t="s">
        <v>61</v>
      </c>
      <c r="C157" s="72">
        <v>118</v>
      </c>
      <c r="D157" s="73" t="s">
        <v>42</v>
      </c>
      <c r="F157" s="78">
        <v>9.9</v>
      </c>
      <c r="G157" s="79">
        <f t="shared" si="3"/>
        <v>3.0175199034393634</v>
      </c>
      <c r="H157" s="64">
        <v>31.95</v>
      </c>
      <c r="I157" s="72">
        <v>1</v>
      </c>
      <c r="L157" s="72" t="s">
        <v>19</v>
      </c>
      <c r="N157" t="s">
        <v>19</v>
      </c>
    </row>
    <row r="158" spans="1:17" x14ac:dyDescent="0.35">
      <c r="A158" s="68" t="s">
        <v>25</v>
      </c>
      <c r="B158" t="s">
        <v>61</v>
      </c>
      <c r="C158" s="72">
        <v>119</v>
      </c>
      <c r="D158" s="73" t="s">
        <v>42</v>
      </c>
      <c r="F158" s="78">
        <v>13.2</v>
      </c>
      <c r="G158" s="79">
        <f t="shared" si="3"/>
        <v>4.0233598712524836</v>
      </c>
      <c r="H158" s="64">
        <v>49.82</v>
      </c>
      <c r="I158" s="72">
        <v>1</v>
      </c>
      <c r="L158" s="72" t="s">
        <v>19</v>
      </c>
      <c r="N158" t="s">
        <v>19</v>
      </c>
    </row>
    <row r="159" spans="1:17" x14ac:dyDescent="0.35">
      <c r="A159" s="68" t="s">
        <v>25</v>
      </c>
      <c r="B159" t="s">
        <v>61</v>
      </c>
      <c r="C159" s="72">
        <v>120</v>
      </c>
      <c r="D159" s="73" t="s">
        <v>42</v>
      </c>
      <c r="F159" s="78">
        <v>14.9</v>
      </c>
      <c r="G159" s="79">
        <f t="shared" si="3"/>
        <v>4.5415198546713649</v>
      </c>
      <c r="H159" s="64">
        <v>56.59</v>
      </c>
      <c r="I159" s="72">
        <v>1</v>
      </c>
      <c r="L159" s="72" t="s">
        <v>19</v>
      </c>
      <c r="N159" t="s">
        <v>19</v>
      </c>
    </row>
    <row r="160" spans="1:17" x14ac:dyDescent="0.35">
      <c r="A160" s="68" t="s">
        <v>25</v>
      </c>
      <c r="B160" t="s">
        <v>61</v>
      </c>
      <c r="C160" s="72">
        <v>121</v>
      </c>
      <c r="D160" s="73" t="s">
        <v>42</v>
      </c>
      <c r="F160" s="78">
        <v>15.6</v>
      </c>
      <c r="G160" s="79">
        <f t="shared" si="3"/>
        <v>4.7548798478438448</v>
      </c>
      <c r="H160" s="64">
        <v>85.03</v>
      </c>
      <c r="I160" s="72">
        <v>1</v>
      </c>
      <c r="L160" s="72" t="s">
        <v>20</v>
      </c>
      <c r="M160" t="s">
        <v>22</v>
      </c>
      <c r="N160" t="s">
        <v>19</v>
      </c>
      <c r="O160" s="64">
        <v>0.2</v>
      </c>
      <c r="P160" s="73">
        <v>0</v>
      </c>
    </row>
    <row r="161" spans="1:17" x14ac:dyDescent="0.35">
      <c r="A161" s="68" t="s">
        <v>25</v>
      </c>
      <c r="B161" t="s">
        <v>61</v>
      </c>
      <c r="C161" s="72">
        <v>121</v>
      </c>
      <c r="G161" s="79" t="str">
        <f t="shared" si="3"/>
        <v xml:space="preserve"> </v>
      </c>
      <c r="L161" s="72" t="s">
        <v>20</v>
      </c>
      <c r="M161" t="s">
        <v>22</v>
      </c>
      <c r="N161" t="s">
        <v>19</v>
      </c>
      <c r="O161" s="64">
        <v>0.73</v>
      </c>
      <c r="P161" s="73">
        <v>0</v>
      </c>
    </row>
    <row r="162" spans="1:17" x14ac:dyDescent="0.35">
      <c r="A162" s="68" t="s">
        <v>25</v>
      </c>
      <c r="B162" t="s">
        <v>61</v>
      </c>
      <c r="C162" s="72">
        <v>122</v>
      </c>
      <c r="D162" s="73" t="s">
        <v>42</v>
      </c>
      <c r="F162" s="78">
        <v>10.1</v>
      </c>
      <c r="G162" s="79">
        <f t="shared" si="3"/>
        <v>3.078479901488643</v>
      </c>
      <c r="H162" s="64">
        <v>38.85</v>
      </c>
      <c r="I162" s="72">
        <v>1</v>
      </c>
      <c r="L162" s="72" t="s">
        <v>19</v>
      </c>
      <c r="N162" t="s">
        <v>19</v>
      </c>
    </row>
    <row r="163" spans="1:17" x14ac:dyDescent="0.35">
      <c r="A163" s="68" t="s">
        <v>25</v>
      </c>
      <c r="B163" t="s">
        <v>61</v>
      </c>
      <c r="C163" s="72">
        <v>123</v>
      </c>
      <c r="D163" s="73" t="s">
        <v>42</v>
      </c>
      <c r="F163" s="78">
        <v>6.8</v>
      </c>
      <c r="G163" s="79">
        <f t="shared" si="3"/>
        <v>2.0726399336755219</v>
      </c>
      <c r="H163" s="64">
        <v>23.79</v>
      </c>
      <c r="I163" s="72">
        <v>1</v>
      </c>
      <c r="L163" s="72" t="s">
        <v>20</v>
      </c>
      <c r="M163" t="s">
        <v>22</v>
      </c>
      <c r="N163" t="s">
        <v>19</v>
      </c>
      <c r="O163" s="64">
        <v>1.26</v>
      </c>
      <c r="P163" s="73">
        <v>0</v>
      </c>
    </row>
    <row r="164" spans="1:17" x14ac:dyDescent="0.35">
      <c r="A164" s="68" t="s">
        <v>25</v>
      </c>
      <c r="B164" t="s">
        <v>61</v>
      </c>
      <c r="C164" s="72">
        <v>124</v>
      </c>
      <c r="D164" s="73" t="s">
        <v>42</v>
      </c>
      <c r="F164" s="78">
        <v>0.6</v>
      </c>
      <c r="G164" s="79">
        <f t="shared" si="3"/>
        <v>0.6</v>
      </c>
      <c r="H164" s="64">
        <v>16.05</v>
      </c>
      <c r="I164" s="72">
        <v>2</v>
      </c>
      <c r="J164" s="79">
        <v>0.31</v>
      </c>
      <c r="K164">
        <v>420</v>
      </c>
      <c r="L164" s="72" t="s">
        <v>20</v>
      </c>
      <c r="M164" t="s">
        <v>29</v>
      </c>
      <c r="N164" t="s">
        <v>20</v>
      </c>
      <c r="O164" s="64">
        <v>0</v>
      </c>
      <c r="P164" s="73">
        <v>420</v>
      </c>
      <c r="Q164" t="s">
        <v>64</v>
      </c>
    </row>
    <row r="165" spans="1:17" x14ac:dyDescent="0.35">
      <c r="A165" s="68" t="s">
        <v>25</v>
      </c>
      <c r="B165" t="s">
        <v>61</v>
      </c>
      <c r="C165" s="72">
        <v>125</v>
      </c>
      <c r="D165" s="73" t="s">
        <v>42</v>
      </c>
      <c r="F165" s="78">
        <v>7.1</v>
      </c>
      <c r="G165" s="79">
        <f t="shared" si="3"/>
        <v>2.164079930749442</v>
      </c>
      <c r="H165" s="64">
        <v>19.55</v>
      </c>
      <c r="I165" s="72">
        <v>1</v>
      </c>
      <c r="L165" s="72" t="s">
        <v>20</v>
      </c>
      <c r="M165" t="s">
        <v>21</v>
      </c>
      <c r="N165" t="s">
        <v>19</v>
      </c>
      <c r="O165" s="64">
        <v>0.25</v>
      </c>
      <c r="P165" s="73">
        <v>10</v>
      </c>
    </row>
    <row r="166" spans="1:17" x14ac:dyDescent="0.35">
      <c r="A166" s="68" t="s">
        <v>25</v>
      </c>
      <c r="B166" t="s">
        <v>61</v>
      </c>
      <c r="C166" s="72">
        <v>126</v>
      </c>
      <c r="D166" s="73" t="s">
        <v>42</v>
      </c>
      <c r="F166" s="78">
        <v>9.9</v>
      </c>
      <c r="G166" s="79">
        <f t="shared" si="3"/>
        <v>3.0175199034393634</v>
      </c>
      <c r="H166" s="64">
        <v>33.450000000000003</v>
      </c>
      <c r="I166" s="72">
        <v>1</v>
      </c>
      <c r="L166" s="72" t="s">
        <v>20</v>
      </c>
      <c r="M166" t="s">
        <v>22</v>
      </c>
      <c r="N166" t="s">
        <v>19</v>
      </c>
      <c r="O166" s="64">
        <v>0.5</v>
      </c>
      <c r="P166" s="73">
        <v>0</v>
      </c>
    </row>
    <row r="167" spans="1:17" x14ac:dyDescent="0.35">
      <c r="A167" s="68" t="s">
        <v>25</v>
      </c>
      <c r="B167" t="s">
        <v>61</v>
      </c>
      <c r="C167" s="72">
        <v>126</v>
      </c>
      <c r="G167" s="79" t="str">
        <f t="shared" si="3"/>
        <v xml:space="preserve"> </v>
      </c>
      <c r="L167" s="72" t="s">
        <v>20</v>
      </c>
      <c r="M167" t="s">
        <v>22</v>
      </c>
      <c r="N167" t="s">
        <v>19</v>
      </c>
      <c r="O167" s="64">
        <v>1.1200000000000001</v>
      </c>
      <c r="P167" s="73">
        <v>0</v>
      </c>
    </row>
    <row r="168" spans="1:17" x14ac:dyDescent="0.35">
      <c r="A168" s="69" t="s">
        <v>25</v>
      </c>
      <c r="B168" s="1" t="s">
        <v>61</v>
      </c>
      <c r="C168" s="74">
        <v>126</v>
      </c>
      <c r="D168" s="75"/>
      <c r="E168" s="1"/>
      <c r="F168" s="80"/>
      <c r="G168" s="81" t="str">
        <f t="shared" si="3"/>
        <v xml:space="preserve"> </v>
      </c>
      <c r="H168" s="66"/>
      <c r="I168" s="74"/>
      <c r="J168" s="81"/>
      <c r="K168" s="1"/>
      <c r="L168" s="74" t="s">
        <v>20</v>
      </c>
      <c r="M168" s="1" t="s">
        <v>22</v>
      </c>
      <c r="N168" s="1" t="s">
        <v>19</v>
      </c>
      <c r="O168" s="66">
        <v>1.44</v>
      </c>
      <c r="P168" s="75">
        <v>0</v>
      </c>
      <c r="Q168"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D94FD-C751-4B09-B580-14A524743855}">
  <dimension ref="A1:Q138"/>
  <sheetViews>
    <sheetView workbookViewId="0">
      <selection activeCell="I48" sqref="I48"/>
    </sheetView>
  </sheetViews>
  <sheetFormatPr defaultRowHeight="14.5" x14ac:dyDescent="0.35"/>
  <cols>
    <col min="1" max="1" width="10.08984375" bestFit="1" customWidth="1"/>
    <col min="2" max="2" width="9.36328125" bestFit="1" customWidth="1"/>
    <col min="3" max="3" width="5.7265625" bestFit="1" customWidth="1"/>
    <col min="4" max="4" width="7.453125" bestFit="1" customWidth="1"/>
    <col min="6" max="6" width="6.26953125" bestFit="1" customWidth="1"/>
    <col min="9" max="9" width="7" bestFit="1" customWidth="1"/>
    <col min="12" max="12" width="9.453125" customWidth="1"/>
    <col min="13" max="13" width="9.26953125" customWidth="1"/>
    <col min="17" max="17" width="28.81640625" customWidth="1"/>
  </cols>
  <sheetData>
    <row r="1" spans="1:17" s="6" customFormat="1" ht="44" thickBot="1" x14ac:dyDescent="0.4">
      <c r="A1" s="67" t="s">
        <v>24</v>
      </c>
      <c r="B1" s="67" t="s">
        <v>2</v>
      </c>
      <c r="C1" s="70" t="s">
        <v>7</v>
      </c>
      <c r="D1" s="71" t="s">
        <v>41</v>
      </c>
      <c r="E1" s="58" t="s">
        <v>67</v>
      </c>
      <c r="F1" s="76" t="s">
        <v>8</v>
      </c>
      <c r="G1" s="77" t="s">
        <v>9</v>
      </c>
      <c r="H1" s="82" t="s">
        <v>12</v>
      </c>
      <c r="I1" s="58" t="s">
        <v>10</v>
      </c>
      <c r="J1" s="65" t="s">
        <v>11</v>
      </c>
      <c r="K1" s="85" t="s">
        <v>13</v>
      </c>
      <c r="L1" s="70" t="s">
        <v>14</v>
      </c>
      <c r="M1" s="58" t="s">
        <v>15</v>
      </c>
      <c r="N1" s="58" t="s">
        <v>16</v>
      </c>
      <c r="O1" s="65" t="s">
        <v>17</v>
      </c>
      <c r="P1" s="71" t="s">
        <v>18</v>
      </c>
      <c r="Q1" s="58" t="s">
        <v>5</v>
      </c>
    </row>
    <row r="2" spans="1:17" x14ac:dyDescent="0.35">
      <c r="A2" s="68" t="s">
        <v>110</v>
      </c>
      <c r="B2" s="68" t="s">
        <v>26</v>
      </c>
      <c r="C2" s="72">
        <v>1</v>
      </c>
      <c r="D2" s="73" t="s">
        <v>42</v>
      </c>
      <c r="F2" s="78">
        <v>12</v>
      </c>
      <c r="G2" s="79">
        <f t="shared" ref="G2:G65" si="0">IF(F2 = 0, " ", IF(F2&lt;2, F2/1, F2/3.28084))</f>
        <v>3.6575998829568039</v>
      </c>
      <c r="H2" s="83">
        <v>73.42</v>
      </c>
      <c r="I2">
        <v>1</v>
      </c>
      <c r="J2" s="64"/>
      <c r="K2" s="68"/>
      <c r="L2" s="72" t="s">
        <v>20</v>
      </c>
      <c r="M2" t="s">
        <v>22</v>
      </c>
      <c r="N2" t="s">
        <v>19</v>
      </c>
      <c r="O2" s="64">
        <v>1.25</v>
      </c>
      <c r="P2" s="73">
        <v>0</v>
      </c>
    </row>
    <row r="3" spans="1:17" x14ac:dyDescent="0.35">
      <c r="A3" s="68" t="s">
        <v>110</v>
      </c>
      <c r="B3" s="68" t="s">
        <v>26</v>
      </c>
      <c r="C3" s="72">
        <v>1</v>
      </c>
      <c r="D3" s="73"/>
      <c r="F3" s="78"/>
      <c r="G3" s="79" t="str">
        <f t="shared" si="0"/>
        <v xml:space="preserve"> </v>
      </c>
      <c r="H3" s="83"/>
      <c r="J3" s="64"/>
      <c r="K3" s="68"/>
      <c r="L3" s="72" t="s">
        <v>20</v>
      </c>
      <c r="M3" t="s">
        <v>30</v>
      </c>
      <c r="N3" t="s">
        <v>19</v>
      </c>
      <c r="O3" s="64">
        <v>1.25</v>
      </c>
      <c r="P3" s="73">
        <v>0</v>
      </c>
    </row>
    <row r="4" spans="1:17" x14ac:dyDescent="0.35">
      <c r="A4" s="68" t="s">
        <v>110</v>
      </c>
      <c r="B4" s="68" t="s">
        <v>26</v>
      </c>
      <c r="C4" s="72">
        <v>1</v>
      </c>
      <c r="D4" s="73"/>
      <c r="F4" s="78"/>
      <c r="G4" s="79" t="str">
        <f t="shared" si="0"/>
        <v xml:space="preserve"> </v>
      </c>
      <c r="H4" s="83"/>
      <c r="J4" s="64"/>
      <c r="K4" s="68"/>
      <c r="L4" s="72" t="s">
        <v>20</v>
      </c>
      <c r="M4" t="s">
        <v>21</v>
      </c>
      <c r="N4" t="s">
        <v>19</v>
      </c>
      <c r="O4" s="64">
        <v>1.18</v>
      </c>
      <c r="P4" s="73">
        <v>60</v>
      </c>
    </row>
    <row r="5" spans="1:17" x14ac:dyDescent="0.35">
      <c r="A5" s="68" t="s">
        <v>110</v>
      </c>
      <c r="B5" s="68" t="s">
        <v>26</v>
      </c>
      <c r="C5" s="72">
        <v>2</v>
      </c>
      <c r="D5" s="73" t="s">
        <v>42</v>
      </c>
      <c r="F5" s="78">
        <v>11.9</v>
      </c>
      <c r="G5" s="79">
        <f t="shared" si="0"/>
        <v>3.6271198839321639</v>
      </c>
      <c r="H5" s="83">
        <v>56.93</v>
      </c>
      <c r="I5">
        <v>1</v>
      </c>
      <c r="J5" s="64"/>
      <c r="K5" s="68"/>
      <c r="L5" s="72" t="s">
        <v>20</v>
      </c>
      <c r="M5" t="s">
        <v>30</v>
      </c>
      <c r="N5" t="s">
        <v>19</v>
      </c>
      <c r="O5" s="64">
        <v>1.19</v>
      </c>
      <c r="P5" s="73">
        <v>0</v>
      </c>
    </row>
    <row r="6" spans="1:17" x14ac:dyDescent="0.35">
      <c r="A6" s="68" t="s">
        <v>110</v>
      </c>
      <c r="B6" s="68" t="s">
        <v>26</v>
      </c>
      <c r="C6" s="72">
        <v>3</v>
      </c>
      <c r="D6" s="73" t="s">
        <v>42</v>
      </c>
      <c r="F6" s="78">
        <v>10</v>
      </c>
      <c r="G6" s="79">
        <f t="shared" si="0"/>
        <v>3.047999902464003</v>
      </c>
      <c r="H6" s="83">
        <v>36.61</v>
      </c>
      <c r="I6">
        <v>1</v>
      </c>
      <c r="J6" s="64"/>
      <c r="K6" s="68"/>
      <c r="L6" s="72" t="s">
        <v>20</v>
      </c>
      <c r="M6" t="s">
        <v>30</v>
      </c>
      <c r="N6" t="s">
        <v>19</v>
      </c>
      <c r="O6" s="64">
        <v>0.77</v>
      </c>
      <c r="P6" s="73">
        <v>0</v>
      </c>
    </row>
    <row r="7" spans="1:17" x14ac:dyDescent="0.35">
      <c r="A7" s="68" t="s">
        <v>110</v>
      </c>
      <c r="B7" s="68" t="s">
        <v>26</v>
      </c>
      <c r="C7" s="72">
        <v>3</v>
      </c>
      <c r="D7" s="73"/>
      <c r="F7" s="78"/>
      <c r="G7" s="79" t="str">
        <f t="shared" si="0"/>
        <v xml:space="preserve"> </v>
      </c>
      <c r="H7" s="83"/>
      <c r="J7" s="64"/>
      <c r="K7" s="68"/>
      <c r="L7" s="72" t="s">
        <v>20</v>
      </c>
      <c r="M7" t="s">
        <v>22</v>
      </c>
      <c r="N7" t="s">
        <v>19</v>
      </c>
      <c r="O7" s="64">
        <v>1.48</v>
      </c>
      <c r="P7" s="73">
        <v>0</v>
      </c>
    </row>
    <row r="8" spans="1:17" x14ac:dyDescent="0.35">
      <c r="A8" s="68" t="s">
        <v>110</v>
      </c>
      <c r="B8" s="68" t="s">
        <v>26</v>
      </c>
      <c r="C8" s="72">
        <v>4</v>
      </c>
      <c r="D8" s="73" t="s">
        <v>42</v>
      </c>
      <c r="F8" s="78">
        <v>9</v>
      </c>
      <c r="G8" s="79">
        <f t="shared" si="0"/>
        <v>2.743199912217603</v>
      </c>
      <c r="H8" s="83">
        <v>30.09</v>
      </c>
      <c r="I8">
        <v>1</v>
      </c>
      <c r="J8" s="64"/>
      <c r="K8" s="68"/>
      <c r="L8" s="72" t="s">
        <v>20</v>
      </c>
      <c r="M8" t="s">
        <v>22</v>
      </c>
      <c r="N8" t="s">
        <v>19</v>
      </c>
      <c r="O8" s="64">
        <v>0.51</v>
      </c>
      <c r="P8" s="73">
        <v>0</v>
      </c>
    </row>
    <row r="9" spans="1:17" x14ac:dyDescent="0.35">
      <c r="A9" s="68" t="s">
        <v>110</v>
      </c>
      <c r="B9" s="68" t="s">
        <v>26</v>
      </c>
      <c r="C9" s="72">
        <v>4</v>
      </c>
      <c r="D9" s="73"/>
      <c r="F9" s="78"/>
      <c r="G9" s="79" t="str">
        <f t="shared" si="0"/>
        <v xml:space="preserve"> </v>
      </c>
      <c r="H9" s="83"/>
      <c r="J9" s="64"/>
      <c r="K9" s="68"/>
      <c r="L9" s="72" t="s">
        <v>20</v>
      </c>
      <c r="M9" t="s">
        <v>30</v>
      </c>
      <c r="N9" t="s">
        <v>19</v>
      </c>
      <c r="O9" s="64">
        <v>0.51</v>
      </c>
      <c r="P9" s="73">
        <v>0</v>
      </c>
    </row>
    <row r="10" spans="1:17" x14ac:dyDescent="0.35">
      <c r="A10" s="68" t="s">
        <v>110</v>
      </c>
      <c r="B10" s="68" t="s">
        <v>26</v>
      </c>
      <c r="C10" s="72">
        <v>5</v>
      </c>
      <c r="D10" s="73" t="s">
        <v>42</v>
      </c>
      <c r="F10" s="78">
        <v>10.9</v>
      </c>
      <c r="G10" s="79">
        <f t="shared" si="0"/>
        <v>3.3223198936857634</v>
      </c>
      <c r="H10" s="83">
        <v>49.81</v>
      </c>
      <c r="I10">
        <v>1</v>
      </c>
      <c r="J10" s="64"/>
      <c r="K10" s="68"/>
      <c r="L10" s="72" t="s">
        <v>19</v>
      </c>
      <c r="N10" t="s">
        <v>19</v>
      </c>
      <c r="O10" s="64"/>
      <c r="P10" s="73"/>
    </row>
    <row r="11" spans="1:17" x14ac:dyDescent="0.35">
      <c r="A11" s="68" t="s">
        <v>110</v>
      </c>
      <c r="B11" s="68" t="s">
        <v>26</v>
      </c>
      <c r="C11" s="72">
        <v>6</v>
      </c>
      <c r="D11" s="73" t="s">
        <v>42</v>
      </c>
      <c r="F11" s="78">
        <v>12</v>
      </c>
      <c r="G11" s="79">
        <f t="shared" si="0"/>
        <v>3.6575998829568039</v>
      </c>
      <c r="H11" s="83">
        <v>53.4</v>
      </c>
      <c r="I11">
        <v>1</v>
      </c>
      <c r="J11" s="64"/>
      <c r="K11" s="68">
        <v>30</v>
      </c>
      <c r="L11" s="72" t="s">
        <v>20</v>
      </c>
      <c r="M11" t="s">
        <v>30</v>
      </c>
      <c r="N11" t="s">
        <v>19</v>
      </c>
      <c r="O11" s="64">
        <v>0.6</v>
      </c>
      <c r="P11" s="73">
        <v>0</v>
      </c>
    </row>
    <row r="12" spans="1:17" x14ac:dyDescent="0.35">
      <c r="A12" s="68" t="s">
        <v>110</v>
      </c>
      <c r="B12" s="68" t="s">
        <v>26</v>
      </c>
      <c r="C12" s="72">
        <v>7</v>
      </c>
      <c r="D12" s="73" t="s">
        <v>42</v>
      </c>
      <c r="F12" s="78">
        <v>13.5</v>
      </c>
      <c r="G12" s="79">
        <f t="shared" si="0"/>
        <v>4.1147998683264042</v>
      </c>
      <c r="H12" s="83">
        <v>67.81</v>
      </c>
      <c r="I12">
        <v>1</v>
      </c>
      <c r="J12" s="64"/>
      <c r="K12" s="68"/>
      <c r="L12" s="72" t="s">
        <v>20</v>
      </c>
      <c r="M12" t="s">
        <v>22</v>
      </c>
      <c r="N12" t="s">
        <v>19</v>
      </c>
      <c r="O12" s="64">
        <v>0.68</v>
      </c>
      <c r="P12" s="73">
        <v>0</v>
      </c>
    </row>
    <row r="13" spans="1:17" x14ac:dyDescent="0.35">
      <c r="A13" s="68" t="s">
        <v>110</v>
      </c>
      <c r="B13" s="68" t="s">
        <v>26</v>
      </c>
      <c r="C13" s="72">
        <v>7</v>
      </c>
      <c r="D13" s="73"/>
      <c r="F13" s="78"/>
      <c r="G13" s="79" t="str">
        <f t="shared" si="0"/>
        <v xml:space="preserve"> </v>
      </c>
      <c r="H13" s="83"/>
      <c r="J13" s="64"/>
      <c r="K13" s="68"/>
      <c r="L13" s="72" t="s">
        <v>20</v>
      </c>
      <c r="M13" t="s">
        <v>30</v>
      </c>
      <c r="N13" t="s">
        <v>19</v>
      </c>
      <c r="O13" s="64">
        <v>0.72</v>
      </c>
      <c r="P13" s="73">
        <v>0</v>
      </c>
    </row>
    <row r="14" spans="1:17" x14ac:dyDescent="0.35">
      <c r="A14" s="68" t="s">
        <v>110</v>
      </c>
      <c r="B14" s="68" t="s">
        <v>26</v>
      </c>
      <c r="C14" s="72">
        <v>8</v>
      </c>
      <c r="D14" s="73" t="s">
        <v>42</v>
      </c>
      <c r="F14" s="78">
        <v>13.9</v>
      </c>
      <c r="G14" s="79">
        <f t="shared" si="0"/>
        <v>4.2367198644249644</v>
      </c>
      <c r="H14" s="83">
        <v>56.12</v>
      </c>
      <c r="I14">
        <v>1</v>
      </c>
      <c r="J14" s="64"/>
      <c r="K14" s="68"/>
      <c r="L14" s="72" t="s">
        <v>20</v>
      </c>
      <c r="M14" t="s">
        <v>21</v>
      </c>
      <c r="N14" t="s">
        <v>19</v>
      </c>
      <c r="O14" s="64">
        <v>0.5</v>
      </c>
      <c r="P14" s="73">
        <v>30</v>
      </c>
    </row>
    <row r="15" spans="1:17" x14ac:dyDescent="0.35">
      <c r="A15" s="68" t="s">
        <v>110</v>
      </c>
      <c r="B15" s="68" t="s">
        <v>26</v>
      </c>
      <c r="C15" s="72">
        <v>9</v>
      </c>
      <c r="D15" s="73" t="s">
        <v>42</v>
      </c>
      <c r="F15" s="78">
        <v>11.7</v>
      </c>
      <c r="G15" s="79">
        <f t="shared" si="0"/>
        <v>3.5661598858828834</v>
      </c>
      <c r="H15" s="83">
        <v>43.53</v>
      </c>
      <c r="I15">
        <v>1</v>
      </c>
      <c r="J15" s="64"/>
      <c r="K15" s="68"/>
      <c r="L15" s="72" t="s">
        <v>20</v>
      </c>
      <c r="M15" t="s">
        <v>21</v>
      </c>
      <c r="N15" t="s">
        <v>19</v>
      </c>
      <c r="O15" s="64">
        <v>0.91</v>
      </c>
      <c r="P15" s="73">
        <v>26</v>
      </c>
      <c r="Q15" t="s">
        <v>112</v>
      </c>
    </row>
    <row r="16" spans="1:17" x14ac:dyDescent="0.35">
      <c r="A16" s="68" t="s">
        <v>110</v>
      </c>
      <c r="B16" s="68" t="s">
        <v>26</v>
      </c>
      <c r="C16" s="72">
        <v>9</v>
      </c>
      <c r="D16" s="73"/>
      <c r="F16" s="78"/>
      <c r="G16" s="79" t="str">
        <f t="shared" si="0"/>
        <v xml:space="preserve"> </v>
      </c>
      <c r="H16" s="83"/>
      <c r="J16" s="64"/>
      <c r="K16" s="68"/>
      <c r="L16" s="72" t="s">
        <v>20</v>
      </c>
      <c r="M16" t="s">
        <v>21</v>
      </c>
      <c r="N16" t="s">
        <v>19</v>
      </c>
      <c r="O16" s="64">
        <v>1.1299999999999999</v>
      </c>
      <c r="P16" s="73">
        <v>92</v>
      </c>
    </row>
    <row r="17" spans="1:17" x14ac:dyDescent="0.35">
      <c r="A17" s="68" t="s">
        <v>110</v>
      </c>
      <c r="B17" s="68" t="s">
        <v>26</v>
      </c>
      <c r="C17" s="72">
        <v>10</v>
      </c>
      <c r="D17" s="73" t="s">
        <v>42</v>
      </c>
      <c r="F17" s="78">
        <v>12</v>
      </c>
      <c r="G17" s="79">
        <f t="shared" si="0"/>
        <v>3.6575998829568039</v>
      </c>
      <c r="H17" s="83">
        <v>44.45</v>
      </c>
      <c r="I17">
        <v>1</v>
      </c>
      <c r="J17" s="64"/>
      <c r="K17" s="68"/>
      <c r="L17" s="72" t="s">
        <v>20</v>
      </c>
      <c r="M17" t="s">
        <v>21</v>
      </c>
      <c r="N17" t="s">
        <v>19</v>
      </c>
      <c r="O17" s="64">
        <v>1.1299999999999999</v>
      </c>
      <c r="P17" s="73">
        <v>80</v>
      </c>
    </row>
    <row r="18" spans="1:17" x14ac:dyDescent="0.35">
      <c r="A18" s="68" t="s">
        <v>110</v>
      </c>
      <c r="B18" s="68" t="s">
        <v>26</v>
      </c>
      <c r="C18" s="72">
        <v>10</v>
      </c>
      <c r="D18" s="73"/>
      <c r="F18" s="78"/>
      <c r="G18" s="79" t="str">
        <f t="shared" si="0"/>
        <v xml:space="preserve"> </v>
      </c>
      <c r="H18" s="83"/>
      <c r="J18" s="64"/>
      <c r="K18" s="68"/>
      <c r="L18" s="72" t="s">
        <v>20</v>
      </c>
      <c r="M18" t="s">
        <v>30</v>
      </c>
      <c r="N18" t="s">
        <v>19</v>
      </c>
      <c r="O18" s="64">
        <v>1.1299999999999999</v>
      </c>
      <c r="P18" s="73">
        <v>0</v>
      </c>
    </row>
    <row r="19" spans="1:17" x14ac:dyDescent="0.35">
      <c r="A19" s="68" t="s">
        <v>110</v>
      </c>
      <c r="B19" s="68" t="s">
        <v>26</v>
      </c>
      <c r="C19" s="72">
        <v>11</v>
      </c>
      <c r="D19" s="73" t="s">
        <v>42</v>
      </c>
      <c r="F19" s="78">
        <v>12.1</v>
      </c>
      <c r="G19" s="79">
        <f t="shared" si="0"/>
        <v>3.6880798819814435</v>
      </c>
      <c r="H19" s="83">
        <v>37.4</v>
      </c>
      <c r="I19">
        <v>1</v>
      </c>
      <c r="J19" s="64"/>
      <c r="K19" s="68">
        <v>10</v>
      </c>
      <c r="L19" s="72" t="s">
        <v>19</v>
      </c>
      <c r="N19" t="s">
        <v>19</v>
      </c>
      <c r="O19" s="64"/>
      <c r="P19" s="73"/>
    </row>
    <row r="20" spans="1:17" x14ac:dyDescent="0.35">
      <c r="A20" s="68" t="s">
        <v>110</v>
      </c>
      <c r="B20" s="68" t="s">
        <v>26</v>
      </c>
      <c r="C20" s="72">
        <v>12</v>
      </c>
      <c r="D20" s="73" t="s">
        <v>42</v>
      </c>
      <c r="F20" s="78">
        <v>14.1</v>
      </c>
      <c r="G20" s="79">
        <f t="shared" si="0"/>
        <v>4.2976798624742445</v>
      </c>
      <c r="H20" s="83">
        <v>50.52</v>
      </c>
      <c r="I20">
        <v>1</v>
      </c>
      <c r="J20" s="64"/>
      <c r="K20" s="68"/>
      <c r="L20" s="72" t="s">
        <v>20</v>
      </c>
      <c r="M20" t="s">
        <v>22</v>
      </c>
      <c r="N20" t="s">
        <v>19</v>
      </c>
      <c r="O20" s="64">
        <v>0.92</v>
      </c>
      <c r="P20" s="73">
        <v>0</v>
      </c>
    </row>
    <row r="21" spans="1:17" x14ac:dyDescent="0.35">
      <c r="A21" s="68" t="s">
        <v>110</v>
      </c>
      <c r="B21" s="68" t="s">
        <v>26</v>
      </c>
      <c r="C21" s="72">
        <v>12</v>
      </c>
      <c r="D21" s="73"/>
      <c r="F21" s="78"/>
      <c r="G21" s="79" t="str">
        <f t="shared" si="0"/>
        <v xml:space="preserve"> </v>
      </c>
      <c r="H21" s="83"/>
      <c r="J21" s="64"/>
      <c r="K21" s="68"/>
      <c r="L21" s="72" t="s">
        <v>20</v>
      </c>
      <c r="M21" t="s">
        <v>30</v>
      </c>
      <c r="N21" t="s">
        <v>19</v>
      </c>
      <c r="O21" s="64">
        <v>0.92</v>
      </c>
      <c r="P21" s="73">
        <v>0</v>
      </c>
    </row>
    <row r="22" spans="1:17" x14ac:dyDescent="0.35">
      <c r="A22" s="68" t="s">
        <v>110</v>
      </c>
      <c r="B22" s="68" t="s">
        <v>26</v>
      </c>
      <c r="C22" s="72">
        <v>13</v>
      </c>
      <c r="D22" s="73" t="s">
        <v>42</v>
      </c>
      <c r="F22" s="78">
        <v>10.8</v>
      </c>
      <c r="G22" s="79">
        <f t="shared" si="0"/>
        <v>3.2918398946611238</v>
      </c>
      <c r="H22" s="83">
        <v>37.520000000000003</v>
      </c>
      <c r="I22">
        <v>2</v>
      </c>
      <c r="J22" s="64">
        <v>0.35</v>
      </c>
      <c r="K22" s="68">
        <v>40</v>
      </c>
      <c r="L22" s="72" t="s">
        <v>19</v>
      </c>
      <c r="N22" t="s">
        <v>19</v>
      </c>
      <c r="O22" s="64"/>
      <c r="P22" s="73"/>
    </row>
    <row r="23" spans="1:17" x14ac:dyDescent="0.35">
      <c r="A23" s="68" t="s">
        <v>110</v>
      </c>
      <c r="B23" s="68" t="s">
        <v>26</v>
      </c>
      <c r="C23" s="72">
        <v>14</v>
      </c>
      <c r="D23" s="73" t="s">
        <v>42</v>
      </c>
      <c r="F23" s="78">
        <v>10.5</v>
      </c>
      <c r="G23" s="79">
        <f t="shared" si="0"/>
        <v>3.2003998975872032</v>
      </c>
      <c r="H23" s="83">
        <v>42.33</v>
      </c>
      <c r="I23">
        <v>1</v>
      </c>
      <c r="J23" s="64"/>
      <c r="K23" s="68"/>
      <c r="L23" s="72" t="s">
        <v>20</v>
      </c>
      <c r="M23" t="s">
        <v>22</v>
      </c>
      <c r="N23" t="s">
        <v>19</v>
      </c>
      <c r="O23" s="64">
        <v>0.52</v>
      </c>
      <c r="P23" s="73">
        <v>0</v>
      </c>
    </row>
    <row r="24" spans="1:17" x14ac:dyDescent="0.35">
      <c r="A24" s="68" t="s">
        <v>110</v>
      </c>
      <c r="B24" s="68" t="s">
        <v>26</v>
      </c>
      <c r="C24" s="72">
        <v>15</v>
      </c>
      <c r="D24" s="73" t="s">
        <v>42</v>
      </c>
      <c r="F24" s="78">
        <v>9.6999999999999993</v>
      </c>
      <c r="G24" s="79">
        <f t="shared" si="0"/>
        <v>2.9565599053900828</v>
      </c>
      <c r="H24" s="83">
        <v>27.86</v>
      </c>
      <c r="I24">
        <v>1</v>
      </c>
      <c r="J24" s="64"/>
      <c r="K24" s="68"/>
      <c r="L24" s="72" t="s">
        <v>19</v>
      </c>
      <c r="N24" t="s">
        <v>19</v>
      </c>
      <c r="O24" s="64"/>
      <c r="P24" s="73"/>
    </row>
    <row r="25" spans="1:17" x14ac:dyDescent="0.35">
      <c r="A25" s="68" t="s">
        <v>110</v>
      </c>
      <c r="B25" s="68" t="s">
        <v>26</v>
      </c>
      <c r="C25" s="72">
        <v>16</v>
      </c>
      <c r="D25" s="73" t="s">
        <v>42</v>
      </c>
      <c r="F25" s="78">
        <v>1.48</v>
      </c>
      <c r="G25" s="79">
        <f t="shared" si="0"/>
        <v>1.48</v>
      </c>
      <c r="H25" s="83">
        <v>18.98</v>
      </c>
      <c r="I25">
        <v>2</v>
      </c>
      <c r="J25" s="64">
        <v>0.74</v>
      </c>
      <c r="K25" s="68"/>
      <c r="L25" s="72" t="s">
        <v>20</v>
      </c>
      <c r="M25" t="s">
        <v>21</v>
      </c>
      <c r="N25" t="s">
        <v>20</v>
      </c>
      <c r="O25" s="64">
        <v>0.27</v>
      </c>
      <c r="P25" s="73">
        <v>50</v>
      </c>
      <c r="Q25" t="s">
        <v>113</v>
      </c>
    </row>
    <row r="26" spans="1:17" x14ac:dyDescent="0.35">
      <c r="A26" s="68" t="s">
        <v>110</v>
      </c>
      <c r="B26" s="68" t="s">
        <v>26</v>
      </c>
      <c r="C26" s="72">
        <v>16</v>
      </c>
      <c r="D26" s="73"/>
      <c r="F26" s="78"/>
      <c r="G26" s="79" t="str">
        <f t="shared" si="0"/>
        <v xml:space="preserve"> </v>
      </c>
      <c r="H26" s="83"/>
      <c r="J26" s="64"/>
      <c r="K26" s="68"/>
      <c r="L26" s="72" t="s">
        <v>20</v>
      </c>
      <c r="M26" t="s">
        <v>21</v>
      </c>
      <c r="N26" t="s">
        <v>20</v>
      </c>
      <c r="O26" s="64">
        <v>0.5</v>
      </c>
      <c r="P26" s="73">
        <v>45</v>
      </c>
    </row>
    <row r="27" spans="1:17" x14ac:dyDescent="0.35">
      <c r="A27" s="68" t="s">
        <v>110</v>
      </c>
      <c r="B27" s="68" t="s">
        <v>26</v>
      </c>
      <c r="C27" s="72">
        <v>17</v>
      </c>
      <c r="D27" s="73" t="s">
        <v>42</v>
      </c>
      <c r="F27" s="78">
        <v>9.1999999999999993</v>
      </c>
      <c r="G27" s="79">
        <f t="shared" si="0"/>
        <v>2.8041599102668826</v>
      </c>
      <c r="H27" s="83">
        <v>40.03</v>
      </c>
      <c r="I27">
        <v>1</v>
      </c>
      <c r="J27" s="64"/>
      <c r="K27" s="68"/>
      <c r="L27" s="72" t="s">
        <v>20</v>
      </c>
      <c r="M27" t="s">
        <v>30</v>
      </c>
      <c r="N27" t="s">
        <v>19</v>
      </c>
      <c r="O27" s="64">
        <v>1</v>
      </c>
      <c r="P27" s="73">
        <v>0</v>
      </c>
      <c r="Q27" t="s">
        <v>114</v>
      </c>
    </row>
    <row r="28" spans="1:17" x14ac:dyDescent="0.35">
      <c r="A28" s="68" t="s">
        <v>110</v>
      </c>
      <c r="B28" s="68" t="s">
        <v>26</v>
      </c>
      <c r="C28" s="72">
        <v>18</v>
      </c>
      <c r="D28" s="73" t="s">
        <v>42</v>
      </c>
      <c r="F28" s="78">
        <v>10.4</v>
      </c>
      <c r="G28" s="79">
        <f t="shared" si="0"/>
        <v>3.1699198985625632</v>
      </c>
      <c r="H28" s="83">
        <v>54.2</v>
      </c>
      <c r="I28">
        <v>1</v>
      </c>
      <c r="J28" s="64"/>
      <c r="K28" s="68"/>
      <c r="L28" s="72" t="s">
        <v>20</v>
      </c>
      <c r="M28" t="s">
        <v>22</v>
      </c>
      <c r="N28" t="s">
        <v>19</v>
      </c>
      <c r="O28" s="64">
        <v>0.52</v>
      </c>
      <c r="P28" s="73">
        <v>0</v>
      </c>
    </row>
    <row r="29" spans="1:17" x14ac:dyDescent="0.35">
      <c r="A29" s="68" t="s">
        <v>110</v>
      </c>
      <c r="B29" s="68" t="s">
        <v>61</v>
      </c>
      <c r="C29" s="72">
        <v>19</v>
      </c>
      <c r="D29" s="73" t="s">
        <v>42</v>
      </c>
      <c r="F29" s="78">
        <v>12.3</v>
      </c>
      <c r="G29" s="79">
        <f t="shared" si="0"/>
        <v>3.7490398800307241</v>
      </c>
      <c r="H29" s="83">
        <v>52.19</v>
      </c>
      <c r="I29">
        <v>1</v>
      </c>
      <c r="J29" s="64"/>
      <c r="K29" s="68"/>
      <c r="L29" s="72" t="s">
        <v>20</v>
      </c>
      <c r="M29" t="s">
        <v>22</v>
      </c>
      <c r="N29" t="s">
        <v>19</v>
      </c>
      <c r="O29" s="64">
        <v>2.23</v>
      </c>
      <c r="P29" s="73">
        <v>0</v>
      </c>
      <c r="Q29" t="s">
        <v>62</v>
      </c>
    </row>
    <row r="30" spans="1:17" x14ac:dyDescent="0.35">
      <c r="A30" s="68" t="s">
        <v>110</v>
      </c>
      <c r="B30" s="68" t="s">
        <v>61</v>
      </c>
      <c r="C30" s="72">
        <v>20</v>
      </c>
      <c r="D30" s="73" t="s">
        <v>42</v>
      </c>
      <c r="F30" s="78">
        <v>12.1</v>
      </c>
      <c r="G30" s="79">
        <f t="shared" si="0"/>
        <v>3.6880798819814435</v>
      </c>
      <c r="H30" s="83">
        <v>48.95</v>
      </c>
      <c r="I30">
        <v>1</v>
      </c>
      <c r="J30" s="64"/>
      <c r="K30" s="68"/>
      <c r="L30" s="72" t="s">
        <v>19</v>
      </c>
      <c r="N30" t="s">
        <v>19</v>
      </c>
      <c r="O30" s="64"/>
      <c r="P30" s="73"/>
      <c r="Q30" t="s">
        <v>62</v>
      </c>
    </row>
    <row r="31" spans="1:17" x14ac:dyDescent="0.35">
      <c r="A31" s="68" t="s">
        <v>110</v>
      </c>
      <c r="B31" s="68" t="s">
        <v>61</v>
      </c>
      <c r="C31" s="72">
        <v>21</v>
      </c>
      <c r="D31" s="73" t="s">
        <v>42</v>
      </c>
      <c r="F31" s="78">
        <v>11</v>
      </c>
      <c r="G31" s="79">
        <f t="shared" si="0"/>
        <v>3.3527998927104035</v>
      </c>
      <c r="H31" s="83">
        <v>43.47</v>
      </c>
      <c r="I31">
        <v>1</v>
      </c>
      <c r="J31" s="64"/>
      <c r="K31" s="68"/>
      <c r="L31" s="72" t="s">
        <v>19</v>
      </c>
      <c r="N31" t="s">
        <v>19</v>
      </c>
      <c r="O31" s="64"/>
      <c r="P31" s="73"/>
    </row>
    <row r="32" spans="1:17" x14ac:dyDescent="0.35">
      <c r="A32" s="68" t="s">
        <v>110</v>
      </c>
      <c r="B32" s="68" t="s">
        <v>61</v>
      </c>
      <c r="C32" s="72">
        <v>22</v>
      </c>
      <c r="D32" s="73" t="s">
        <v>42</v>
      </c>
      <c r="F32" s="78">
        <v>13.1</v>
      </c>
      <c r="G32" s="79">
        <f t="shared" si="0"/>
        <v>3.992879872227844</v>
      </c>
      <c r="H32" s="83">
        <v>57.88</v>
      </c>
      <c r="I32">
        <v>1</v>
      </c>
      <c r="J32" s="64"/>
      <c r="K32" s="68">
        <v>407</v>
      </c>
      <c r="L32" s="72" t="s">
        <v>20</v>
      </c>
      <c r="M32" t="s">
        <v>66</v>
      </c>
      <c r="N32" t="s">
        <v>19</v>
      </c>
      <c r="O32" s="64">
        <v>0</v>
      </c>
      <c r="P32" s="73">
        <v>407</v>
      </c>
    </row>
    <row r="33" spans="1:16" x14ac:dyDescent="0.35">
      <c r="A33" s="68" t="s">
        <v>110</v>
      </c>
      <c r="B33" s="68" t="s">
        <v>61</v>
      </c>
      <c r="C33" s="72">
        <v>23</v>
      </c>
      <c r="D33" s="73" t="s">
        <v>42</v>
      </c>
      <c r="F33" s="78">
        <v>10.7</v>
      </c>
      <c r="G33" s="79">
        <f t="shared" si="0"/>
        <v>3.2613598956364833</v>
      </c>
      <c r="H33" s="83">
        <v>41.98</v>
      </c>
      <c r="I33">
        <v>1</v>
      </c>
      <c r="J33" s="64"/>
      <c r="K33" s="68"/>
      <c r="L33" s="72" t="s">
        <v>19</v>
      </c>
      <c r="N33" t="s">
        <v>19</v>
      </c>
      <c r="O33" s="64"/>
      <c r="P33" s="73"/>
    </row>
    <row r="34" spans="1:16" x14ac:dyDescent="0.35">
      <c r="A34" s="68" t="s">
        <v>110</v>
      </c>
      <c r="B34" s="68" t="s">
        <v>61</v>
      </c>
      <c r="C34" s="72">
        <v>24</v>
      </c>
      <c r="D34" s="73" t="s">
        <v>42</v>
      </c>
      <c r="F34" s="78">
        <v>12.5</v>
      </c>
      <c r="G34" s="79">
        <f t="shared" si="0"/>
        <v>3.8099998780800037</v>
      </c>
      <c r="H34" s="83">
        <v>52.37</v>
      </c>
      <c r="I34">
        <v>1</v>
      </c>
      <c r="J34" s="64"/>
      <c r="K34" s="68"/>
      <c r="L34" s="72" t="s">
        <v>19</v>
      </c>
      <c r="N34" t="s">
        <v>19</v>
      </c>
      <c r="O34" s="64"/>
      <c r="P34" s="73"/>
    </row>
    <row r="35" spans="1:16" x14ac:dyDescent="0.35">
      <c r="A35" s="68" t="s">
        <v>110</v>
      </c>
      <c r="B35" s="68" t="s">
        <v>61</v>
      </c>
      <c r="C35" s="72">
        <v>25</v>
      </c>
      <c r="D35" s="73" t="s">
        <v>42</v>
      </c>
      <c r="F35" s="78">
        <v>13.7</v>
      </c>
      <c r="G35" s="79">
        <f t="shared" si="0"/>
        <v>4.1757598663756843</v>
      </c>
      <c r="H35" s="83">
        <v>57.51</v>
      </c>
      <c r="I35">
        <v>1</v>
      </c>
      <c r="J35" s="64"/>
      <c r="K35" s="68"/>
      <c r="L35" s="72" t="s">
        <v>20</v>
      </c>
      <c r="M35" t="s">
        <v>22</v>
      </c>
      <c r="N35" t="s">
        <v>19</v>
      </c>
      <c r="O35" s="64">
        <v>2.4700000000000002</v>
      </c>
      <c r="P35" s="73">
        <v>0</v>
      </c>
    </row>
    <row r="36" spans="1:16" x14ac:dyDescent="0.35">
      <c r="A36" s="68" t="s">
        <v>110</v>
      </c>
      <c r="B36" s="68" t="s">
        <v>61</v>
      </c>
      <c r="C36" s="72">
        <v>26</v>
      </c>
      <c r="D36" s="73" t="s">
        <v>42</v>
      </c>
      <c r="F36" s="78">
        <v>7.7</v>
      </c>
      <c r="G36" s="79">
        <f t="shared" si="0"/>
        <v>2.3469599248972823</v>
      </c>
      <c r="H36" s="83">
        <v>23.74</v>
      </c>
      <c r="I36">
        <v>1</v>
      </c>
      <c r="J36" s="64"/>
      <c r="K36" s="68"/>
      <c r="L36" s="72" t="s">
        <v>19</v>
      </c>
      <c r="N36" t="s">
        <v>19</v>
      </c>
      <c r="O36" s="64"/>
      <c r="P36" s="73"/>
    </row>
    <row r="37" spans="1:16" x14ac:dyDescent="0.35">
      <c r="A37" s="68" t="s">
        <v>110</v>
      </c>
      <c r="B37" s="68" t="s">
        <v>61</v>
      </c>
      <c r="C37" s="72">
        <v>27</v>
      </c>
      <c r="D37" s="73" t="s">
        <v>42</v>
      </c>
      <c r="F37" s="78">
        <v>12.4</v>
      </c>
      <c r="G37" s="79">
        <f t="shared" si="0"/>
        <v>3.7795198790553641</v>
      </c>
      <c r="H37" s="83">
        <v>50.45</v>
      </c>
      <c r="I37">
        <v>1</v>
      </c>
      <c r="J37" s="64"/>
      <c r="K37" s="68"/>
      <c r="L37" s="72" t="s">
        <v>20</v>
      </c>
      <c r="M37" t="s">
        <v>22</v>
      </c>
      <c r="N37" t="s">
        <v>19</v>
      </c>
      <c r="O37" s="64">
        <v>0.48</v>
      </c>
      <c r="P37" s="73">
        <v>0</v>
      </c>
    </row>
    <row r="38" spans="1:16" x14ac:dyDescent="0.35">
      <c r="A38" s="68" t="s">
        <v>110</v>
      </c>
      <c r="B38" s="68" t="s">
        <v>61</v>
      </c>
      <c r="C38" s="72">
        <v>27</v>
      </c>
      <c r="D38" s="73"/>
      <c r="F38" s="78"/>
      <c r="G38" s="79" t="str">
        <f t="shared" si="0"/>
        <v xml:space="preserve"> </v>
      </c>
      <c r="H38" s="83"/>
      <c r="J38" s="64"/>
      <c r="K38" s="68"/>
      <c r="L38" s="72" t="s">
        <v>20</v>
      </c>
      <c r="M38" t="s">
        <v>22</v>
      </c>
      <c r="N38" t="s">
        <v>19</v>
      </c>
      <c r="O38" s="64">
        <v>1.25</v>
      </c>
      <c r="P38" s="73">
        <v>0</v>
      </c>
    </row>
    <row r="39" spans="1:16" x14ac:dyDescent="0.35">
      <c r="A39" s="68" t="s">
        <v>110</v>
      </c>
      <c r="B39" s="68" t="s">
        <v>61</v>
      </c>
      <c r="C39" s="72">
        <v>28</v>
      </c>
      <c r="D39" s="73" t="s">
        <v>42</v>
      </c>
      <c r="F39" s="78">
        <v>11.8</v>
      </c>
      <c r="G39" s="79">
        <f t="shared" si="0"/>
        <v>3.5966398849075238</v>
      </c>
      <c r="H39" s="83">
        <v>39.619999999999997</v>
      </c>
      <c r="I39">
        <v>1</v>
      </c>
      <c r="J39" s="64"/>
      <c r="K39" s="68"/>
      <c r="L39" s="72" t="s">
        <v>20</v>
      </c>
      <c r="M39" t="s">
        <v>22</v>
      </c>
      <c r="N39" t="s">
        <v>19</v>
      </c>
      <c r="O39" s="64">
        <v>1.05</v>
      </c>
      <c r="P39" s="73">
        <v>0</v>
      </c>
    </row>
    <row r="40" spans="1:16" x14ac:dyDescent="0.35">
      <c r="A40" s="68" t="s">
        <v>110</v>
      </c>
      <c r="B40" s="68" t="s">
        <v>61</v>
      </c>
      <c r="C40" s="72">
        <v>29</v>
      </c>
      <c r="D40" s="73" t="s">
        <v>42</v>
      </c>
      <c r="F40" s="78">
        <v>11</v>
      </c>
      <c r="G40" s="79">
        <f t="shared" si="0"/>
        <v>3.3527998927104035</v>
      </c>
      <c r="H40" s="83">
        <v>33.25</v>
      </c>
      <c r="I40">
        <v>1</v>
      </c>
      <c r="J40" s="64"/>
      <c r="K40" s="68"/>
      <c r="L40" s="72" t="s">
        <v>19</v>
      </c>
      <c r="N40" t="s">
        <v>19</v>
      </c>
      <c r="O40" s="64"/>
      <c r="P40" s="73"/>
    </row>
    <row r="41" spans="1:16" x14ac:dyDescent="0.35">
      <c r="A41" s="68" t="s">
        <v>110</v>
      </c>
      <c r="B41" s="68" t="s">
        <v>61</v>
      </c>
      <c r="C41" s="72">
        <v>30</v>
      </c>
      <c r="D41" s="73" t="s">
        <v>42</v>
      </c>
      <c r="F41" s="78">
        <v>10.7</v>
      </c>
      <c r="G41" s="79">
        <f t="shared" si="0"/>
        <v>3.2613598956364833</v>
      </c>
      <c r="H41" s="83">
        <v>36.15</v>
      </c>
      <c r="I41">
        <v>1</v>
      </c>
      <c r="J41" s="64"/>
      <c r="K41" s="68">
        <v>78</v>
      </c>
      <c r="L41" s="72" t="s">
        <v>19</v>
      </c>
      <c r="N41" t="s">
        <v>19</v>
      </c>
      <c r="O41" s="64"/>
      <c r="P41" s="73"/>
    </row>
    <row r="42" spans="1:16" x14ac:dyDescent="0.35">
      <c r="A42" s="68" t="s">
        <v>110</v>
      </c>
      <c r="B42" s="68" t="s">
        <v>61</v>
      </c>
      <c r="C42" s="72">
        <v>31</v>
      </c>
      <c r="D42" s="73" t="s">
        <v>42</v>
      </c>
      <c r="F42" s="78">
        <v>8.4</v>
      </c>
      <c r="G42" s="79">
        <f t="shared" si="0"/>
        <v>2.5603199180697627</v>
      </c>
      <c r="H42" s="83">
        <v>23.48</v>
      </c>
      <c r="I42">
        <v>1</v>
      </c>
      <c r="J42" s="64"/>
      <c r="K42" s="68"/>
      <c r="L42" s="72" t="s">
        <v>19</v>
      </c>
      <c r="N42" t="s">
        <v>19</v>
      </c>
      <c r="O42" s="64"/>
      <c r="P42" s="73"/>
    </row>
    <row r="43" spans="1:16" x14ac:dyDescent="0.35">
      <c r="A43" s="68" t="s">
        <v>110</v>
      </c>
      <c r="B43" s="68" t="s">
        <v>61</v>
      </c>
      <c r="C43" s="72">
        <v>32</v>
      </c>
      <c r="D43" s="73" t="s">
        <v>42</v>
      </c>
      <c r="F43" s="78">
        <v>12.3</v>
      </c>
      <c r="G43" s="79">
        <f t="shared" si="0"/>
        <v>3.7490398800307241</v>
      </c>
      <c r="H43" s="83">
        <v>52.73</v>
      </c>
      <c r="I43">
        <v>1</v>
      </c>
      <c r="J43" s="64"/>
      <c r="K43" s="68"/>
      <c r="L43" s="72" t="s">
        <v>20</v>
      </c>
      <c r="M43" t="s">
        <v>22</v>
      </c>
      <c r="N43" t="s">
        <v>19</v>
      </c>
      <c r="O43" s="64">
        <v>0.37</v>
      </c>
      <c r="P43" s="73">
        <v>0</v>
      </c>
    </row>
    <row r="44" spans="1:16" x14ac:dyDescent="0.35">
      <c r="A44" s="68" t="s">
        <v>110</v>
      </c>
      <c r="B44" s="68" t="s">
        <v>61</v>
      </c>
      <c r="C44" s="72">
        <v>33</v>
      </c>
      <c r="D44" s="73" t="s">
        <v>42</v>
      </c>
      <c r="F44" s="78">
        <v>11.4</v>
      </c>
      <c r="G44" s="79">
        <f t="shared" si="0"/>
        <v>3.4747198888089637</v>
      </c>
      <c r="H44" s="83">
        <v>49.25</v>
      </c>
      <c r="I44">
        <v>1</v>
      </c>
      <c r="J44" s="64"/>
      <c r="K44" s="68">
        <v>155</v>
      </c>
      <c r="L44" s="72" t="s">
        <v>19</v>
      </c>
      <c r="N44" t="s">
        <v>19</v>
      </c>
      <c r="O44" s="64"/>
      <c r="P44" s="73"/>
    </row>
    <row r="45" spans="1:16" x14ac:dyDescent="0.35">
      <c r="A45" s="68" t="s">
        <v>110</v>
      </c>
      <c r="B45" s="68" t="s">
        <v>44</v>
      </c>
      <c r="C45" s="72">
        <v>34</v>
      </c>
      <c r="D45" s="73" t="s">
        <v>42</v>
      </c>
      <c r="F45" s="78">
        <v>5.8</v>
      </c>
      <c r="G45" s="79">
        <f t="shared" si="0"/>
        <v>1.7678399434291219</v>
      </c>
      <c r="H45" s="83">
        <v>12.51</v>
      </c>
      <c r="I45">
        <v>2</v>
      </c>
      <c r="J45" s="64">
        <v>0.23</v>
      </c>
      <c r="K45" s="68"/>
      <c r="L45" s="72" t="s">
        <v>19</v>
      </c>
      <c r="N45" t="s">
        <v>19</v>
      </c>
      <c r="O45" s="64"/>
      <c r="P45" s="73"/>
    </row>
    <row r="46" spans="1:16" x14ac:dyDescent="0.35">
      <c r="A46" s="68" t="s">
        <v>110</v>
      </c>
      <c r="B46" s="68" t="s">
        <v>44</v>
      </c>
      <c r="C46" s="72">
        <v>35</v>
      </c>
      <c r="D46" s="73" t="s">
        <v>42</v>
      </c>
      <c r="F46" s="78">
        <v>11.2</v>
      </c>
      <c r="G46" s="79">
        <f t="shared" si="0"/>
        <v>3.4137598907596831</v>
      </c>
      <c r="H46" s="83">
        <v>4.5</v>
      </c>
      <c r="I46">
        <v>1</v>
      </c>
      <c r="J46" s="64"/>
      <c r="K46" s="68"/>
      <c r="L46" s="72" t="s">
        <v>19</v>
      </c>
      <c r="N46" t="s">
        <v>19</v>
      </c>
      <c r="O46" s="64"/>
      <c r="P46" s="73"/>
    </row>
    <row r="47" spans="1:16" x14ac:dyDescent="0.35">
      <c r="A47" s="68" t="s">
        <v>110</v>
      </c>
      <c r="B47" s="68" t="s">
        <v>44</v>
      </c>
      <c r="C47" s="72">
        <v>36</v>
      </c>
      <c r="D47" s="73" t="s">
        <v>42</v>
      </c>
      <c r="F47" s="78">
        <v>9.1999999999999993</v>
      </c>
      <c r="G47" s="79">
        <f t="shared" si="0"/>
        <v>2.8041599102668826</v>
      </c>
      <c r="H47" s="83">
        <v>31.77</v>
      </c>
      <c r="I47">
        <v>1</v>
      </c>
      <c r="J47" s="64"/>
      <c r="K47" s="68"/>
      <c r="L47" s="72" t="s">
        <v>20</v>
      </c>
      <c r="M47" t="s">
        <v>22</v>
      </c>
      <c r="N47" t="s">
        <v>19</v>
      </c>
      <c r="O47" s="64">
        <v>0.35</v>
      </c>
      <c r="P47" s="73">
        <v>30</v>
      </c>
    </row>
    <row r="48" spans="1:16" x14ac:dyDescent="0.35">
      <c r="A48" s="68" t="s">
        <v>110</v>
      </c>
      <c r="B48" s="68" t="s">
        <v>44</v>
      </c>
      <c r="C48" s="72">
        <v>36</v>
      </c>
      <c r="D48" s="73"/>
      <c r="F48" s="78"/>
      <c r="G48" s="79" t="str">
        <f t="shared" si="0"/>
        <v xml:space="preserve"> </v>
      </c>
      <c r="H48" s="83"/>
      <c r="J48" s="64"/>
      <c r="K48" s="68"/>
      <c r="L48" s="72" t="s">
        <v>20</v>
      </c>
      <c r="M48" t="s">
        <v>22</v>
      </c>
      <c r="N48" t="s">
        <v>19</v>
      </c>
      <c r="O48" s="64">
        <v>0.33</v>
      </c>
      <c r="P48" s="73">
        <v>0</v>
      </c>
    </row>
    <row r="49" spans="1:16" x14ac:dyDescent="0.35">
      <c r="A49" s="68" t="s">
        <v>110</v>
      </c>
      <c r="B49" s="68" t="s">
        <v>44</v>
      </c>
      <c r="C49" s="72">
        <v>37</v>
      </c>
      <c r="D49" s="73" t="s">
        <v>42</v>
      </c>
      <c r="F49" s="78">
        <v>11.9</v>
      </c>
      <c r="G49" s="79">
        <f t="shared" si="0"/>
        <v>3.6271198839321639</v>
      </c>
      <c r="H49" s="83">
        <v>74.180000000000007</v>
      </c>
      <c r="I49">
        <v>1</v>
      </c>
      <c r="J49" s="64"/>
      <c r="K49" s="68">
        <v>19</v>
      </c>
      <c r="L49" s="72" t="s">
        <v>19</v>
      </c>
      <c r="N49" t="s">
        <v>19</v>
      </c>
      <c r="O49" s="64"/>
      <c r="P49" s="73"/>
    </row>
    <row r="50" spans="1:16" x14ac:dyDescent="0.35">
      <c r="A50" s="68" t="s">
        <v>110</v>
      </c>
      <c r="B50" s="68" t="s">
        <v>44</v>
      </c>
      <c r="C50" s="72">
        <v>38</v>
      </c>
      <c r="D50" s="73" t="s">
        <v>42</v>
      </c>
      <c r="F50" s="78">
        <v>7.9</v>
      </c>
      <c r="G50" s="79">
        <f t="shared" si="0"/>
        <v>2.4079199229465624</v>
      </c>
      <c r="H50" s="83">
        <v>11.14</v>
      </c>
      <c r="I50">
        <v>1</v>
      </c>
      <c r="J50" s="64"/>
      <c r="K50" s="68"/>
      <c r="L50" s="72" t="s">
        <v>19</v>
      </c>
      <c r="N50" t="s">
        <v>19</v>
      </c>
      <c r="O50" s="64"/>
      <c r="P50" s="73"/>
    </row>
    <row r="51" spans="1:16" x14ac:dyDescent="0.35">
      <c r="A51" s="68" t="s">
        <v>110</v>
      </c>
      <c r="B51" s="68" t="s">
        <v>44</v>
      </c>
      <c r="C51" s="72">
        <v>39</v>
      </c>
      <c r="D51" s="73" t="s">
        <v>42</v>
      </c>
      <c r="F51" s="78">
        <v>9.6999999999999993</v>
      </c>
      <c r="G51" s="79">
        <f t="shared" si="0"/>
        <v>2.9565599053900828</v>
      </c>
      <c r="H51" s="83">
        <v>46.75</v>
      </c>
      <c r="I51">
        <v>1</v>
      </c>
      <c r="J51" s="64"/>
      <c r="K51" s="68"/>
      <c r="L51" s="72" t="s">
        <v>19</v>
      </c>
      <c r="N51" t="s">
        <v>19</v>
      </c>
      <c r="O51" s="64"/>
      <c r="P51" s="73"/>
    </row>
    <row r="52" spans="1:16" x14ac:dyDescent="0.35">
      <c r="A52" s="68" t="s">
        <v>110</v>
      </c>
      <c r="B52" s="68" t="s">
        <v>44</v>
      </c>
      <c r="C52" s="72">
        <v>40</v>
      </c>
      <c r="D52" s="73" t="s">
        <v>42</v>
      </c>
      <c r="F52" s="78">
        <v>11.6</v>
      </c>
      <c r="G52" s="79">
        <f t="shared" si="0"/>
        <v>3.5356798868582437</v>
      </c>
      <c r="H52" s="83">
        <v>47.13</v>
      </c>
      <c r="I52">
        <v>1</v>
      </c>
      <c r="J52" s="64"/>
      <c r="K52" s="68">
        <v>97</v>
      </c>
      <c r="L52" s="72" t="s">
        <v>19</v>
      </c>
      <c r="N52" t="s">
        <v>19</v>
      </c>
      <c r="O52" s="64"/>
      <c r="P52" s="73"/>
    </row>
    <row r="53" spans="1:16" x14ac:dyDescent="0.35">
      <c r="A53" s="68" t="s">
        <v>110</v>
      </c>
      <c r="B53" s="68" t="s">
        <v>44</v>
      </c>
      <c r="C53" s="72">
        <v>41</v>
      </c>
      <c r="D53" s="73" t="s">
        <v>42</v>
      </c>
      <c r="F53" s="78">
        <v>10.7</v>
      </c>
      <c r="G53" s="79">
        <f t="shared" si="0"/>
        <v>3.2613598956364833</v>
      </c>
      <c r="H53" s="83">
        <v>39.86</v>
      </c>
      <c r="I53">
        <v>1</v>
      </c>
      <c r="J53" s="64"/>
      <c r="K53" s="68"/>
      <c r="L53" s="72" t="s">
        <v>20</v>
      </c>
      <c r="M53" t="s">
        <v>22</v>
      </c>
      <c r="N53" t="s">
        <v>19</v>
      </c>
      <c r="O53" s="64">
        <v>0.4</v>
      </c>
      <c r="P53" s="73">
        <v>0</v>
      </c>
    </row>
    <row r="54" spans="1:16" x14ac:dyDescent="0.35">
      <c r="A54" s="68" t="s">
        <v>110</v>
      </c>
      <c r="B54" s="68" t="s">
        <v>44</v>
      </c>
      <c r="C54" s="72">
        <v>42</v>
      </c>
      <c r="D54" s="73" t="s">
        <v>42</v>
      </c>
      <c r="F54" s="78">
        <v>11.1</v>
      </c>
      <c r="G54" s="79">
        <f t="shared" si="0"/>
        <v>3.3832798917350435</v>
      </c>
      <c r="H54" s="83">
        <v>43.18</v>
      </c>
      <c r="I54">
        <v>1</v>
      </c>
      <c r="J54" s="64"/>
      <c r="K54" s="68"/>
      <c r="L54" s="72" t="s">
        <v>19</v>
      </c>
      <c r="N54" t="s">
        <v>19</v>
      </c>
      <c r="O54" s="64"/>
      <c r="P54" s="73"/>
    </row>
    <row r="55" spans="1:16" x14ac:dyDescent="0.35">
      <c r="A55" s="68" t="s">
        <v>110</v>
      </c>
      <c r="B55" s="68" t="s">
        <v>44</v>
      </c>
      <c r="C55" s="72">
        <v>43</v>
      </c>
      <c r="D55" s="73" t="s">
        <v>42</v>
      </c>
      <c r="F55" s="78">
        <v>12.1</v>
      </c>
      <c r="G55" s="79">
        <f t="shared" si="0"/>
        <v>3.6880798819814435</v>
      </c>
      <c r="H55" s="83">
        <v>42.96</v>
      </c>
      <c r="I55">
        <v>1</v>
      </c>
      <c r="J55" s="64"/>
      <c r="K55" s="68"/>
      <c r="L55" s="72" t="s">
        <v>19</v>
      </c>
      <c r="N55" t="s">
        <v>19</v>
      </c>
      <c r="O55" s="64"/>
      <c r="P55" s="73"/>
    </row>
    <row r="56" spans="1:16" x14ac:dyDescent="0.35">
      <c r="A56" s="68" t="s">
        <v>110</v>
      </c>
      <c r="B56" s="68" t="s">
        <v>44</v>
      </c>
      <c r="C56" s="72">
        <v>44</v>
      </c>
      <c r="D56" s="73" t="s">
        <v>42</v>
      </c>
      <c r="F56" s="78">
        <v>12</v>
      </c>
      <c r="G56" s="79">
        <f t="shared" si="0"/>
        <v>3.6575998829568039</v>
      </c>
      <c r="H56" s="83">
        <v>33.28</v>
      </c>
      <c r="I56">
        <v>1</v>
      </c>
      <c r="J56" s="64"/>
      <c r="K56" s="68"/>
      <c r="L56" s="72" t="s">
        <v>20</v>
      </c>
      <c r="M56" t="s">
        <v>66</v>
      </c>
      <c r="N56" t="s">
        <v>19</v>
      </c>
      <c r="O56" s="64">
        <v>0</v>
      </c>
      <c r="P56" s="73">
        <v>30</v>
      </c>
    </row>
    <row r="57" spans="1:16" x14ac:dyDescent="0.35">
      <c r="A57" s="68" t="s">
        <v>110</v>
      </c>
      <c r="B57" s="68" t="s">
        <v>44</v>
      </c>
      <c r="C57" s="72">
        <v>45</v>
      </c>
      <c r="D57" s="73" t="s">
        <v>42</v>
      </c>
      <c r="F57" s="78">
        <v>9.6</v>
      </c>
      <c r="G57" s="79">
        <f t="shared" si="0"/>
        <v>2.9260799063654428</v>
      </c>
      <c r="H57" s="83">
        <v>32.78</v>
      </c>
      <c r="I57">
        <v>1</v>
      </c>
      <c r="J57" s="64"/>
      <c r="K57" s="68"/>
      <c r="L57" s="72" t="s">
        <v>20</v>
      </c>
      <c r="M57" t="s">
        <v>21</v>
      </c>
      <c r="N57" t="s">
        <v>19</v>
      </c>
      <c r="O57" s="64">
        <v>0.28999999999999998</v>
      </c>
      <c r="P57" s="73">
        <v>15</v>
      </c>
    </row>
    <row r="58" spans="1:16" x14ac:dyDescent="0.35">
      <c r="A58" s="68" t="s">
        <v>110</v>
      </c>
      <c r="B58" s="68" t="s">
        <v>44</v>
      </c>
      <c r="C58" s="72">
        <v>46</v>
      </c>
      <c r="D58" s="73" t="s">
        <v>42</v>
      </c>
      <c r="F58" s="78">
        <v>11.3</v>
      </c>
      <c r="G58" s="79">
        <f t="shared" si="0"/>
        <v>3.4442398897843236</v>
      </c>
      <c r="H58" s="83">
        <v>41.5</v>
      </c>
      <c r="I58">
        <v>1</v>
      </c>
      <c r="J58" s="64"/>
      <c r="K58" s="68"/>
      <c r="L58" s="72" t="s">
        <v>19</v>
      </c>
      <c r="N58" t="s">
        <v>19</v>
      </c>
      <c r="O58" s="64"/>
      <c r="P58" s="73"/>
    </row>
    <row r="59" spans="1:16" x14ac:dyDescent="0.35">
      <c r="A59" s="68" t="s">
        <v>110</v>
      </c>
      <c r="B59" s="68" t="s">
        <v>44</v>
      </c>
      <c r="C59" s="72">
        <v>47</v>
      </c>
      <c r="D59" s="73" t="s">
        <v>42</v>
      </c>
      <c r="F59" s="78">
        <v>9.1999999999999993</v>
      </c>
      <c r="G59" s="79">
        <f t="shared" si="0"/>
        <v>2.8041599102668826</v>
      </c>
      <c r="H59" s="83">
        <v>26.62</v>
      </c>
      <c r="I59">
        <v>1</v>
      </c>
      <c r="J59" s="64"/>
      <c r="K59" s="68"/>
      <c r="L59" s="72" t="s">
        <v>20</v>
      </c>
      <c r="M59" t="s">
        <v>22</v>
      </c>
      <c r="N59" t="s">
        <v>19</v>
      </c>
      <c r="O59" s="64">
        <v>0.7</v>
      </c>
      <c r="P59" s="73">
        <v>0</v>
      </c>
    </row>
    <row r="60" spans="1:16" x14ac:dyDescent="0.35">
      <c r="A60" s="68" t="s">
        <v>110</v>
      </c>
      <c r="B60" s="68" t="s">
        <v>44</v>
      </c>
      <c r="C60" s="72">
        <v>48</v>
      </c>
      <c r="D60" s="73" t="s">
        <v>42</v>
      </c>
      <c r="F60" s="78">
        <v>9.4</v>
      </c>
      <c r="G60" s="79">
        <f t="shared" si="0"/>
        <v>2.8651199083161631</v>
      </c>
      <c r="H60" s="83">
        <v>36.82</v>
      </c>
      <c r="I60">
        <v>1</v>
      </c>
      <c r="J60" s="64"/>
      <c r="K60" s="68">
        <v>20</v>
      </c>
      <c r="L60" s="72" t="s">
        <v>19</v>
      </c>
      <c r="N60" t="s">
        <v>19</v>
      </c>
      <c r="O60" s="64"/>
      <c r="P60" s="73"/>
    </row>
    <row r="61" spans="1:16" x14ac:dyDescent="0.35">
      <c r="A61" s="68" t="s">
        <v>110</v>
      </c>
      <c r="B61" s="68" t="s">
        <v>44</v>
      </c>
      <c r="C61" s="72">
        <v>49</v>
      </c>
      <c r="D61" s="73" t="s">
        <v>42</v>
      </c>
      <c r="F61" s="78">
        <v>13</v>
      </c>
      <c r="G61" s="79">
        <f t="shared" si="0"/>
        <v>3.962399873203204</v>
      </c>
      <c r="H61" s="83">
        <v>54.99</v>
      </c>
      <c r="I61">
        <v>1</v>
      </c>
      <c r="J61" s="64"/>
      <c r="K61" s="68"/>
      <c r="L61" s="72" t="s">
        <v>19</v>
      </c>
      <c r="N61" t="s">
        <v>19</v>
      </c>
      <c r="O61" s="64"/>
      <c r="P61" s="73"/>
    </row>
    <row r="62" spans="1:16" x14ac:dyDescent="0.35">
      <c r="A62" s="68" t="s">
        <v>110</v>
      </c>
      <c r="B62" s="68" t="s">
        <v>45</v>
      </c>
      <c r="C62" s="72">
        <v>50</v>
      </c>
      <c r="D62" s="73" t="s">
        <v>42</v>
      </c>
      <c r="F62" s="78">
        <v>11.9</v>
      </c>
      <c r="G62" s="79">
        <f t="shared" si="0"/>
        <v>3.6271198839321639</v>
      </c>
      <c r="H62" s="83">
        <v>50.83</v>
      </c>
      <c r="I62">
        <v>1</v>
      </c>
      <c r="J62" s="64"/>
      <c r="K62" s="68"/>
      <c r="L62" s="72" t="s">
        <v>20</v>
      </c>
      <c r="M62" t="s">
        <v>22</v>
      </c>
      <c r="N62" t="s">
        <v>19</v>
      </c>
      <c r="O62" s="64">
        <v>1.46</v>
      </c>
      <c r="P62" s="73">
        <v>0</v>
      </c>
    </row>
    <row r="63" spans="1:16" x14ac:dyDescent="0.35">
      <c r="A63" s="68" t="s">
        <v>110</v>
      </c>
      <c r="B63" s="68" t="s">
        <v>45</v>
      </c>
      <c r="C63" s="72">
        <v>51</v>
      </c>
      <c r="D63" s="73" t="s">
        <v>42</v>
      </c>
      <c r="F63" s="78">
        <v>10</v>
      </c>
      <c r="G63" s="79">
        <f t="shared" si="0"/>
        <v>3.047999902464003</v>
      </c>
      <c r="H63" s="83">
        <v>31.47</v>
      </c>
      <c r="I63">
        <v>1</v>
      </c>
      <c r="J63" s="64"/>
      <c r="K63" s="68"/>
      <c r="L63" s="72" t="s">
        <v>19</v>
      </c>
      <c r="N63" t="s">
        <v>19</v>
      </c>
      <c r="O63" s="64"/>
      <c r="P63" s="73"/>
    </row>
    <row r="64" spans="1:16" x14ac:dyDescent="0.35">
      <c r="A64" s="68" t="s">
        <v>110</v>
      </c>
      <c r="B64" s="68" t="s">
        <v>45</v>
      </c>
      <c r="C64" s="72">
        <v>52</v>
      </c>
      <c r="D64" s="73" t="s">
        <v>42</v>
      </c>
      <c r="F64" s="78">
        <v>6.9</v>
      </c>
      <c r="G64" s="79">
        <f t="shared" si="0"/>
        <v>2.1031199327001624</v>
      </c>
      <c r="H64" s="83">
        <v>13.44</v>
      </c>
      <c r="I64">
        <v>1</v>
      </c>
      <c r="J64" s="64"/>
      <c r="K64" s="68"/>
      <c r="L64" s="72" t="s">
        <v>19</v>
      </c>
      <c r="N64" t="s">
        <v>19</v>
      </c>
      <c r="O64" s="64"/>
      <c r="P64" s="73"/>
    </row>
    <row r="65" spans="1:16" x14ac:dyDescent="0.35">
      <c r="A65" s="68" t="s">
        <v>110</v>
      </c>
      <c r="B65" s="68" t="s">
        <v>45</v>
      </c>
      <c r="C65" s="72">
        <v>53</v>
      </c>
      <c r="D65" s="73" t="s">
        <v>42</v>
      </c>
      <c r="F65" s="78">
        <v>14</v>
      </c>
      <c r="G65" s="79">
        <f t="shared" si="0"/>
        <v>4.267199863449604</v>
      </c>
      <c r="H65" s="83">
        <v>61.44</v>
      </c>
      <c r="I65">
        <v>1</v>
      </c>
      <c r="J65" s="64"/>
      <c r="K65" s="68"/>
      <c r="L65" s="72" t="s">
        <v>19</v>
      </c>
      <c r="N65" t="s">
        <v>19</v>
      </c>
      <c r="O65" s="64"/>
      <c r="P65" s="73"/>
    </row>
    <row r="66" spans="1:16" x14ac:dyDescent="0.35">
      <c r="A66" s="68" t="s">
        <v>110</v>
      </c>
      <c r="B66" s="68" t="s">
        <v>45</v>
      </c>
      <c r="C66" s="72">
        <v>54</v>
      </c>
      <c r="D66" s="73" t="s">
        <v>42</v>
      </c>
      <c r="F66" s="78">
        <v>9.9</v>
      </c>
      <c r="G66" s="79">
        <f t="shared" ref="G66:G129" si="1">IF(F66 = 0, " ", IF(F66&lt;2, F66/1, F66/3.28084))</f>
        <v>3.0175199034393634</v>
      </c>
      <c r="H66" s="83">
        <v>37.44</v>
      </c>
      <c r="I66">
        <v>1</v>
      </c>
      <c r="J66" s="64"/>
      <c r="K66" s="68"/>
      <c r="L66" s="72" t="s">
        <v>20</v>
      </c>
      <c r="M66" t="s">
        <v>21</v>
      </c>
      <c r="N66" t="s">
        <v>19</v>
      </c>
      <c r="O66" s="64">
        <v>0.2</v>
      </c>
      <c r="P66" s="73">
        <v>14</v>
      </c>
    </row>
    <row r="67" spans="1:16" x14ac:dyDescent="0.35">
      <c r="A67" s="68" t="s">
        <v>110</v>
      </c>
      <c r="B67" s="68" t="s">
        <v>45</v>
      </c>
      <c r="C67" s="72">
        <v>55</v>
      </c>
      <c r="D67" s="73" t="s">
        <v>42</v>
      </c>
      <c r="F67" s="78">
        <v>4.3</v>
      </c>
      <c r="G67" s="79">
        <f t="shared" si="1"/>
        <v>1.3106399580595214</v>
      </c>
      <c r="H67" s="83">
        <v>5.54</v>
      </c>
      <c r="I67">
        <v>1</v>
      </c>
      <c r="J67" s="64"/>
      <c r="K67" s="68"/>
      <c r="L67" s="72" t="s">
        <v>19</v>
      </c>
      <c r="N67" t="s">
        <v>19</v>
      </c>
      <c r="O67" s="64"/>
      <c r="P67" s="73"/>
    </row>
    <row r="68" spans="1:16" x14ac:dyDescent="0.35">
      <c r="A68" s="68" t="s">
        <v>110</v>
      </c>
      <c r="B68" s="68" t="s">
        <v>45</v>
      </c>
      <c r="C68" s="72">
        <v>56</v>
      </c>
      <c r="D68" s="73" t="s">
        <v>42</v>
      </c>
      <c r="F68" s="78">
        <v>8.3000000000000007</v>
      </c>
      <c r="G68" s="79">
        <f t="shared" si="1"/>
        <v>2.5298399190451226</v>
      </c>
      <c r="H68" s="83">
        <v>26.52</v>
      </c>
      <c r="I68">
        <v>1</v>
      </c>
      <c r="J68" s="64"/>
      <c r="K68" s="68"/>
      <c r="L68" s="72" t="s">
        <v>19</v>
      </c>
      <c r="N68" t="s">
        <v>19</v>
      </c>
      <c r="O68" s="64"/>
      <c r="P68" s="73"/>
    </row>
    <row r="69" spans="1:16" x14ac:dyDescent="0.35">
      <c r="A69" s="68" t="s">
        <v>110</v>
      </c>
      <c r="B69" s="68" t="s">
        <v>45</v>
      </c>
      <c r="C69" s="72">
        <v>57</v>
      </c>
      <c r="D69" s="73" t="s">
        <v>42</v>
      </c>
      <c r="F69" s="78">
        <v>7.7</v>
      </c>
      <c r="G69" s="79">
        <f t="shared" si="1"/>
        <v>2.3469599248972823</v>
      </c>
      <c r="H69" s="83">
        <v>18.68</v>
      </c>
      <c r="I69">
        <v>1</v>
      </c>
      <c r="J69" s="64"/>
      <c r="K69" s="68">
        <v>97</v>
      </c>
      <c r="L69" s="72" t="s">
        <v>19</v>
      </c>
      <c r="N69" t="s">
        <v>19</v>
      </c>
      <c r="O69" s="64"/>
      <c r="P69" s="73"/>
    </row>
    <row r="70" spans="1:16" x14ac:dyDescent="0.35">
      <c r="A70" s="68" t="s">
        <v>110</v>
      </c>
      <c r="B70" s="68" t="s">
        <v>45</v>
      </c>
      <c r="C70" s="72">
        <v>58</v>
      </c>
      <c r="D70" s="73" t="s">
        <v>42</v>
      </c>
      <c r="F70" s="78">
        <v>10.6</v>
      </c>
      <c r="G70" s="79">
        <f t="shared" si="1"/>
        <v>3.2308798966118433</v>
      </c>
      <c r="H70" s="83">
        <v>39.47</v>
      </c>
      <c r="I70">
        <v>1</v>
      </c>
      <c r="J70" s="64"/>
      <c r="K70" s="68"/>
      <c r="L70" s="72" t="s">
        <v>19</v>
      </c>
      <c r="N70" t="s">
        <v>19</v>
      </c>
      <c r="O70" s="64"/>
      <c r="P70" s="73"/>
    </row>
    <row r="71" spans="1:16" x14ac:dyDescent="0.35">
      <c r="A71" s="68" t="s">
        <v>110</v>
      </c>
      <c r="B71" s="68" t="s">
        <v>45</v>
      </c>
      <c r="C71" s="72">
        <v>59</v>
      </c>
      <c r="D71" s="73" t="s">
        <v>42</v>
      </c>
      <c r="F71" s="78">
        <v>9.8000000000000007</v>
      </c>
      <c r="G71" s="79">
        <f t="shared" si="1"/>
        <v>2.9870399044147233</v>
      </c>
      <c r="H71" s="83">
        <v>35.64</v>
      </c>
      <c r="I71">
        <v>1</v>
      </c>
      <c r="J71" s="64"/>
      <c r="K71" s="68"/>
      <c r="L71" s="72" t="s">
        <v>19</v>
      </c>
      <c r="N71" t="s">
        <v>19</v>
      </c>
      <c r="O71" s="64"/>
      <c r="P71" s="73"/>
    </row>
    <row r="72" spans="1:16" x14ac:dyDescent="0.35">
      <c r="A72" s="68" t="s">
        <v>110</v>
      </c>
      <c r="B72" s="68" t="s">
        <v>45</v>
      </c>
      <c r="C72" s="72">
        <v>60</v>
      </c>
      <c r="D72" s="73" t="s">
        <v>42</v>
      </c>
      <c r="F72" s="78">
        <v>11.9</v>
      </c>
      <c r="G72" s="79">
        <f t="shared" si="1"/>
        <v>3.6271198839321639</v>
      </c>
      <c r="H72" s="83">
        <v>58.19</v>
      </c>
      <c r="I72">
        <v>2</v>
      </c>
      <c r="J72" s="64">
        <v>3.23</v>
      </c>
      <c r="K72" s="68"/>
      <c r="L72" s="72" t="s">
        <v>19</v>
      </c>
      <c r="N72" t="s">
        <v>19</v>
      </c>
      <c r="O72" s="64"/>
      <c r="P72" s="73"/>
    </row>
    <row r="73" spans="1:16" x14ac:dyDescent="0.35">
      <c r="A73" s="68" t="s">
        <v>110</v>
      </c>
      <c r="B73" s="68" t="s">
        <v>45</v>
      </c>
      <c r="C73" s="72">
        <v>61</v>
      </c>
      <c r="D73" s="73" t="s">
        <v>42</v>
      </c>
      <c r="F73" s="78">
        <v>6.6</v>
      </c>
      <c r="G73" s="79">
        <f t="shared" si="1"/>
        <v>2.0116799356262418</v>
      </c>
      <c r="H73" s="83">
        <v>14.17</v>
      </c>
      <c r="I73">
        <v>2</v>
      </c>
      <c r="J73" s="64">
        <v>0.44</v>
      </c>
      <c r="K73" s="68"/>
      <c r="L73" s="72" t="s">
        <v>19</v>
      </c>
      <c r="N73" t="s">
        <v>19</v>
      </c>
      <c r="O73" s="64"/>
      <c r="P73" s="73"/>
    </row>
    <row r="74" spans="1:16" x14ac:dyDescent="0.35">
      <c r="A74" s="68" t="s">
        <v>110</v>
      </c>
      <c r="B74" s="68" t="s">
        <v>45</v>
      </c>
      <c r="C74" s="72">
        <v>62</v>
      </c>
      <c r="D74" s="73" t="s">
        <v>42</v>
      </c>
      <c r="F74" s="78">
        <v>10.1</v>
      </c>
      <c r="G74" s="79">
        <f t="shared" si="1"/>
        <v>3.078479901488643</v>
      </c>
      <c r="H74" s="83">
        <v>36.909999999999997</v>
      </c>
      <c r="I74">
        <v>1</v>
      </c>
      <c r="J74" s="64"/>
      <c r="K74" s="68"/>
      <c r="L74" s="72" t="s">
        <v>19</v>
      </c>
      <c r="N74" t="s">
        <v>19</v>
      </c>
      <c r="O74" s="64"/>
      <c r="P74" s="73"/>
    </row>
    <row r="75" spans="1:16" x14ac:dyDescent="0.35">
      <c r="A75" s="68" t="s">
        <v>110</v>
      </c>
      <c r="B75" s="68" t="s">
        <v>45</v>
      </c>
      <c r="C75" s="72">
        <v>63</v>
      </c>
      <c r="D75" s="73" t="s">
        <v>42</v>
      </c>
      <c r="F75" s="78">
        <v>11.1</v>
      </c>
      <c r="G75" s="79">
        <f t="shared" si="1"/>
        <v>3.3832798917350435</v>
      </c>
      <c r="H75" s="83">
        <v>44.86</v>
      </c>
      <c r="I75">
        <v>1</v>
      </c>
      <c r="J75" s="64"/>
      <c r="K75" s="68">
        <v>92</v>
      </c>
      <c r="L75" s="72" t="s">
        <v>19</v>
      </c>
      <c r="N75" t="s">
        <v>19</v>
      </c>
      <c r="O75" s="64"/>
      <c r="P75" s="73"/>
    </row>
    <row r="76" spans="1:16" x14ac:dyDescent="0.35">
      <c r="A76" s="68" t="s">
        <v>110</v>
      </c>
      <c r="B76" s="68" t="s">
        <v>45</v>
      </c>
      <c r="C76" s="72">
        <v>64</v>
      </c>
      <c r="D76" s="73" t="s">
        <v>42</v>
      </c>
      <c r="F76" s="78">
        <v>11.4</v>
      </c>
      <c r="G76" s="79">
        <f t="shared" si="1"/>
        <v>3.4747198888089637</v>
      </c>
      <c r="H76" s="83">
        <v>47.95</v>
      </c>
      <c r="I76">
        <v>1</v>
      </c>
      <c r="J76" s="64"/>
      <c r="K76" s="68"/>
      <c r="L76" s="72" t="s">
        <v>20</v>
      </c>
      <c r="M76" t="s">
        <v>22</v>
      </c>
      <c r="N76" t="s">
        <v>19</v>
      </c>
      <c r="O76" s="64">
        <v>0.78</v>
      </c>
      <c r="P76" s="73">
        <v>0</v>
      </c>
    </row>
    <row r="77" spans="1:16" x14ac:dyDescent="0.35">
      <c r="A77" s="68" t="s">
        <v>110</v>
      </c>
      <c r="B77" s="68" t="s">
        <v>45</v>
      </c>
      <c r="C77" s="72">
        <v>64</v>
      </c>
      <c r="D77" s="73"/>
      <c r="F77" s="78"/>
      <c r="G77" s="79" t="str">
        <f t="shared" si="1"/>
        <v xml:space="preserve"> </v>
      </c>
      <c r="H77" s="83"/>
      <c r="J77" s="64"/>
      <c r="K77" s="68"/>
      <c r="L77" s="72" t="s">
        <v>20</v>
      </c>
      <c r="M77" t="s">
        <v>22</v>
      </c>
      <c r="N77" t="s">
        <v>19</v>
      </c>
      <c r="O77" s="64">
        <v>2.13</v>
      </c>
      <c r="P77" s="73">
        <v>0</v>
      </c>
    </row>
    <row r="78" spans="1:16" x14ac:dyDescent="0.35">
      <c r="A78" s="68" t="s">
        <v>110</v>
      </c>
      <c r="B78" s="68" t="s">
        <v>45</v>
      </c>
      <c r="C78" s="72">
        <v>65</v>
      </c>
      <c r="D78" s="73" t="s">
        <v>42</v>
      </c>
      <c r="F78" s="78">
        <v>9.3000000000000007</v>
      </c>
      <c r="G78" s="79">
        <f t="shared" si="1"/>
        <v>2.8346399092915231</v>
      </c>
      <c r="H78" s="83">
        <v>28.16</v>
      </c>
      <c r="I78">
        <v>1</v>
      </c>
      <c r="J78" s="64"/>
      <c r="K78" s="68"/>
      <c r="L78" s="72" t="s">
        <v>19</v>
      </c>
      <c r="N78" t="s">
        <v>19</v>
      </c>
      <c r="O78" s="64"/>
      <c r="P78" s="73"/>
    </row>
    <row r="79" spans="1:16" x14ac:dyDescent="0.35">
      <c r="A79" s="68" t="s">
        <v>110</v>
      </c>
      <c r="B79" s="68" t="s">
        <v>45</v>
      </c>
      <c r="C79" s="72">
        <v>66</v>
      </c>
      <c r="D79" s="73" t="s">
        <v>42</v>
      </c>
      <c r="F79" s="78">
        <v>10.199999999999999</v>
      </c>
      <c r="G79" s="79">
        <f t="shared" si="1"/>
        <v>3.1089599005132831</v>
      </c>
      <c r="H79" s="83">
        <v>27.85</v>
      </c>
      <c r="I79">
        <v>1</v>
      </c>
      <c r="J79" s="64"/>
      <c r="K79" s="68"/>
      <c r="L79" s="72" t="s">
        <v>19</v>
      </c>
      <c r="N79" t="s">
        <v>19</v>
      </c>
      <c r="O79" s="64"/>
      <c r="P79" s="73"/>
    </row>
    <row r="80" spans="1:16" x14ac:dyDescent="0.35">
      <c r="A80" s="68" t="s">
        <v>110</v>
      </c>
      <c r="B80" s="68" t="s">
        <v>45</v>
      </c>
      <c r="C80" s="72">
        <v>67</v>
      </c>
      <c r="D80" s="73" t="s">
        <v>42</v>
      </c>
      <c r="F80" s="78">
        <v>9.4</v>
      </c>
      <c r="G80" s="79">
        <f t="shared" si="1"/>
        <v>2.8651199083161631</v>
      </c>
      <c r="H80" s="83">
        <v>32.130000000000003</v>
      </c>
      <c r="I80">
        <v>1</v>
      </c>
      <c r="J80" s="64"/>
      <c r="K80" s="68"/>
      <c r="L80" s="72" t="s">
        <v>20</v>
      </c>
      <c r="M80" t="s">
        <v>22</v>
      </c>
      <c r="N80" t="s">
        <v>19</v>
      </c>
      <c r="O80" s="64">
        <v>0.4</v>
      </c>
      <c r="P80" s="73">
        <v>0</v>
      </c>
    </row>
    <row r="81" spans="1:17" x14ac:dyDescent="0.35">
      <c r="A81" s="68" t="s">
        <v>110</v>
      </c>
      <c r="B81" s="68" t="s">
        <v>60</v>
      </c>
      <c r="C81" s="72">
        <v>68</v>
      </c>
      <c r="D81" s="73" t="s">
        <v>40</v>
      </c>
      <c r="E81" t="s">
        <v>36</v>
      </c>
      <c r="F81" s="78">
        <v>10.9</v>
      </c>
      <c r="G81" s="79">
        <f t="shared" si="1"/>
        <v>3.3223198936857634</v>
      </c>
      <c r="H81" s="83">
        <v>53.79</v>
      </c>
      <c r="J81" s="64"/>
      <c r="K81" s="68"/>
      <c r="L81" s="72"/>
      <c r="O81" s="64"/>
      <c r="P81" s="73"/>
      <c r="Q81" t="s">
        <v>115</v>
      </c>
    </row>
    <row r="82" spans="1:17" x14ac:dyDescent="0.35">
      <c r="A82" s="68" t="s">
        <v>110</v>
      </c>
      <c r="B82" s="68" t="s">
        <v>60</v>
      </c>
      <c r="C82" s="72">
        <v>69</v>
      </c>
      <c r="D82" s="73" t="s">
        <v>42</v>
      </c>
      <c r="F82" s="78">
        <v>12.5</v>
      </c>
      <c r="G82" s="79">
        <f t="shared" si="1"/>
        <v>3.8099998780800037</v>
      </c>
      <c r="H82" s="83">
        <v>45.65</v>
      </c>
      <c r="I82">
        <v>1</v>
      </c>
      <c r="J82" s="64"/>
      <c r="K82" s="68"/>
      <c r="L82" s="72" t="s">
        <v>19</v>
      </c>
      <c r="N82" t="s">
        <v>19</v>
      </c>
      <c r="O82" s="64"/>
      <c r="P82" s="73"/>
      <c r="Q82" t="s">
        <v>117</v>
      </c>
    </row>
    <row r="83" spans="1:17" x14ac:dyDescent="0.35">
      <c r="A83" s="68" t="s">
        <v>110</v>
      </c>
      <c r="B83" s="68" t="s">
        <v>60</v>
      </c>
      <c r="C83" s="72">
        <v>70</v>
      </c>
      <c r="D83" s="73" t="s">
        <v>40</v>
      </c>
      <c r="E83" t="s">
        <v>19</v>
      </c>
      <c r="F83" s="78">
        <v>13</v>
      </c>
      <c r="G83" s="79">
        <f t="shared" si="1"/>
        <v>3.962399873203204</v>
      </c>
      <c r="H83" s="83">
        <v>43.33</v>
      </c>
      <c r="J83" s="64"/>
      <c r="K83" s="68"/>
      <c r="L83" s="72"/>
      <c r="O83" s="64"/>
      <c r="P83" s="73"/>
      <c r="Q83" t="s">
        <v>72</v>
      </c>
    </row>
    <row r="84" spans="1:17" x14ac:dyDescent="0.35">
      <c r="A84" s="68" t="s">
        <v>110</v>
      </c>
      <c r="B84" s="68" t="s">
        <v>60</v>
      </c>
      <c r="C84" s="72">
        <v>71</v>
      </c>
      <c r="D84" s="73" t="s">
        <v>42</v>
      </c>
      <c r="F84" s="78">
        <v>10.199999999999999</v>
      </c>
      <c r="G84" s="79">
        <f t="shared" si="1"/>
        <v>3.1089599005132831</v>
      </c>
      <c r="H84" s="83">
        <v>22.27</v>
      </c>
      <c r="I84">
        <v>1</v>
      </c>
      <c r="J84" s="64"/>
      <c r="K84" s="68"/>
      <c r="L84" s="72" t="s">
        <v>19</v>
      </c>
      <c r="N84" t="s">
        <v>19</v>
      </c>
      <c r="O84" s="64"/>
      <c r="P84" s="73"/>
      <c r="Q84" t="s">
        <v>73</v>
      </c>
    </row>
    <row r="85" spans="1:17" x14ac:dyDescent="0.35">
      <c r="A85" s="68" t="s">
        <v>110</v>
      </c>
      <c r="B85" s="68" t="s">
        <v>60</v>
      </c>
      <c r="C85" s="72">
        <v>72</v>
      </c>
      <c r="D85" s="73" t="s">
        <v>40</v>
      </c>
      <c r="E85" t="s">
        <v>68</v>
      </c>
      <c r="F85" s="78">
        <v>12.2</v>
      </c>
      <c r="G85" s="79">
        <f t="shared" si="1"/>
        <v>3.7185598810060836</v>
      </c>
      <c r="H85" s="83">
        <v>49.87</v>
      </c>
      <c r="J85" s="64"/>
      <c r="K85" s="68"/>
      <c r="L85" s="72"/>
      <c r="O85" s="64"/>
      <c r="P85" s="73"/>
      <c r="Q85" t="s">
        <v>74</v>
      </c>
    </row>
    <row r="86" spans="1:17" x14ac:dyDescent="0.35">
      <c r="A86" s="68" t="s">
        <v>110</v>
      </c>
      <c r="B86" s="68" t="s">
        <v>60</v>
      </c>
      <c r="C86" s="72">
        <v>73</v>
      </c>
      <c r="D86" s="73" t="s">
        <v>42</v>
      </c>
      <c r="F86" s="78">
        <v>7.2</v>
      </c>
      <c r="G86" s="79">
        <f t="shared" si="1"/>
        <v>2.1945599297740821</v>
      </c>
      <c r="H86" s="83">
        <v>25.21</v>
      </c>
      <c r="I86">
        <v>2</v>
      </c>
      <c r="J86" s="64">
        <v>0.05</v>
      </c>
      <c r="K86" s="68"/>
      <c r="L86" s="72" t="s">
        <v>19</v>
      </c>
      <c r="N86" t="s">
        <v>19</v>
      </c>
      <c r="O86" s="64"/>
      <c r="P86" s="73"/>
      <c r="Q86" t="s">
        <v>75</v>
      </c>
    </row>
    <row r="87" spans="1:17" x14ac:dyDescent="0.35">
      <c r="A87" s="68" t="s">
        <v>110</v>
      </c>
      <c r="B87" s="68" t="s">
        <v>60</v>
      </c>
      <c r="C87" s="72">
        <v>74</v>
      </c>
      <c r="D87" s="73" t="s">
        <v>40</v>
      </c>
      <c r="E87" t="s">
        <v>19</v>
      </c>
      <c r="F87" s="78">
        <v>12.5</v>
      </c>
      <c r="G87" s="79">
        <f t="shared" si="1"/>
        <v>3.8099998780800037</v>
      </c>
      <c r="H87" s="83">
        <v>39.28</v>
      </c>
      <c r="J87" s="64"/>
      <c r="K87" s="68"/>
      <c r="L87" s="72"/>
      <c r="O87" s="64"/>
      <c r="P87" s="73"/>
      <c r="Q87" t="s">
        <v>76</v>
      </c>
    </row>
    <row r="88" spans="1:17" x14ac:dyDescent="0.35">
      <c r="A88" s="68" t="s">
        <v>110</v>
      </c>
      <c r="B88" s="68" t="s">
        <v>60</v>
      </c>
      <c r="C88" s="72">
        <v>75</v>
      </c>
      <c r="D88" s="73" t="s">
        <v>42</v>
      </c>
      <c r="F88" s="78">
        <v>8.8000000000000007</v>
      </c>
      <c r="G88" s="79">
        <f t="shared" si="1"/>
        <v>2.6822399141683229</v>
      </c>
      <c r="H88" s="83">
        <v>17.43</v>
      </c>
      <c r="I88">
        <v>1</v>
      </c>
      <c r="J88" s="64"/>
      <c r="K88" s="68"/>
      <c r="L88" s="72" t="s">
        <v>19</v>
      </c>
      <c r="N88" t="s">
        <v>19</v>
      </c>
      <c r="O88" s="64"/>
      <c r="P88" s="73"/>
      <c r="Q88" t="s">
        <v>77</v>
      </c>
    </row>
    <row r="89" spans="1:17" x14ac:dyDescent="0.35">
      <c r="A89" s="68" t="s">
        <v>110</v>
      </c>
      <c r="B89" s="68" t="s">
        <v>60</v>
      </c>
      <c r="C89" s="72">
        <v>76</v>
      </c>
      <c r="D89" s="73" t="s">
        <v>40</v>
      </c>
      <c r="E89" t="s">
        <v>36</v>
      </c>
      <c r="F89" s="78">
        <v>11.8</v>
      </c>
      <c r="G89" s="79">
        <f t="shared" si="1"/>
        <v>3.5966398849075238</v>
      </c>
      <c r="H89" s="83">
        <v>37.700000000000003</v>
      </c>
      <c r="J89" s="64"/>
      <c r="K89" s="68"/>
      <c r="L89" s="72"/>
      <c r="O89" s="64"/>
      <c r="P89" s="73"/>
      <c r="Q89" t="s">
        <v>80</v>
      </c>
    </row>
    <row r="90" spans="1:17" x14ac:dyDescent="0.35">
      <c r="A90" s="68" t="s">
        <v>110</v>
      </c>
      <c r="B90" s="68" t="s">
        <v>60</v>
      </c>
      <c r="C90" s="72">
        <v>77</v>
      </c>
      <c r="D90" s="73" t="s">
        <v>42</v>
      </c>
      <c r="F90" s="78">
        <v>11.7</v>
      </c>
      <c r="G90" s="79">
        <f t="shared" si="1"/>
        <v>3.5661598858828834</v>
      </c>
      <c r="H90" s="83">
        <v>41.64</v>
      </c>
      <c r="I90">
        <v>1</v>
      </c>
      <c r="J90" s="64"/>
      <c r="K90" s="68"/>
      <c r="L90" s="72" t="s">
        <v>19</v>
      </c>
      <c r="N90" t="s">
        <v>19</v>
      </c>
      <c r="O90" s="64"/>
      <c r="P90" s="73"/>
      <c r="Q90" t="s">
        <v>118</v>
      </c>
    </row>
    <row r="91" spans="1:17" x14ac:dyDescent="0.35">
      <c r="A91" s="68" t="s">
        <v>110</v>
      </c>
      <c r="B91" s="68" t="s">
        <v>60</v>
      </c>
      <c r="C91" s="72">
        <v>78</v>
      </c>
      <c r="D91" s="73" t="s">
        <v>40</v>
      </c>
      <c r="E91" t="s">
        <v>69</v>
      </c>
      <c r="F91" s="78">
        <v>10.9</v>
      </c>
      <c r="G91" s="79">
        <f t="shared" si="1"/>
        <v>3.3223198936857634</v>
      </c>
      <c r="H91" s="83">
        <v>36.31</v>
      </c>
      <c r="J91" s="64"/>
      <c r="K91" s="68"/>
      <c r="L91" s="72"/>
      <c r="O91" s="64"/>
      <c r="P91" s="73"/>
      <c r="Q91" t="s">
        <v>82</v>
      </c>
    </row>
    <row r="92" spans="1:17" x14ac:dyDescent="0.35">
      <c r="A92" s="68" t="s">
        <v>110</v>
      </c>
      <c r="B92" s="68" t="s">
        <v>60</v>
      </c>
      <c r="C92" s="72">
        <v>79</v>
      </c>
      <c r="D92" s="73" t="s">
        <v>42</v>
      </c>
      <c r="F92" s="78">
        <v>8.1999999999999993</v>
      </c>
      <c r="G92" s="79">
        <f t="shared" si="1"/>
        <v>2.4993599200204826</v>
      </c>
      <c r="H92" s="83">
        <v>18.940000000000001</v>
      </c>
      <c r="I92">
        <v>1</v>
      </c>
      <c r="J92" s="64"/>
      <c r="K92" s="68"/>
      <c r="L92" s="72" t="s">
        <v>19</v>
      </c>
      <c r="N92" t="s">
        <v>19</v>
      </c>
      <c r="O92" s="64"/>
      <c r="P92" s="73"/>
      <c r="Q92" t="s">
        <v>116</v>
      </c>
    </row>
    <row r="93" spans="1:17" x14ac:dyDescent="0.35">
      <c r="A93" s="68" t="s">
        <v>110</v>
      </c>
      <c r="B93" s="68" t="s">
        <v>60</v>
      </c>
      <c r="C93" s="72">
        <v>80</v>
      </c>
      <c r="D93" s="73" t="s">
        <v>40</v>
      </c>
      <c r="E93" t="s">
        <v>69</v>
      </c>
      <c r="F93" s="78">
        <v>12</v>
      </c>
      <c r="G93" s="79">
        <f t="shared" si="1"/>
        <v>3.6575998829568039</v>
      </c>
      <c r="H93" s="83">
        <v>46.8</v>
      </c>
      <c r="J93" s="64"/>
      <c r="K93" s="68"/>
      <c r="L93" s="72"/>
      <c r="O93" s="64"/>
      <c r="P93" s="73"/>
      <c r="Q93" t="s">
        <v>84</v>
      </c>
    </row>
    <row r="94" spans="1:17" x14ac:dyDescent="0.35">
      <c r="A94" s="68" t="s">
        <v>110</v>
      </c>
      <c r="B94" s="68" t="s">
        <v>60</v>
      </c>
      <c r="C94" s="72">
        <v>81</v>
      </c>
      <c r="D94" s="73" t="s">
        <v>42</v>
      </c>
      <c r="F94" s="78">
        <v>9.8000000000000007</v>
      </c>
      <c r="G94" s="79">
        <f t="shared" si="1"/>
        <v>2.9870399044147233</v>
      </c>
      <c r="H94" s="83">
        <v>29.26</v>
      </c>
      <c r="I94">
        <v>1</v>
      </c>
      <c r="J94" s="64"/>
      <c r="K94" s="68"/>
      <c r="L94" s="72" t="s">
        <v>19</v>
      </c>
      <c r="N94" t="s">
        <v>19</v>
      </c>
      <c r="O94" s="64"/>
      <c r="P94" s="73"/>
      <c r="Q94" t="s">
        <v>81</v>
      </c>
    </row>
    <row r="95" spans="1:17" x14ac:dyDescent="0.35">
      <c r="A95" s="68" t="s">
        <v>110</v>
      </c>
      <c r="B95" s="68" t="s">
        <v>60</v>
      </c>
      <c r="C95" s="72">
        <v>82</v>
      </c>
      <c r="D95" s="73" t="s">
        <v>40</v>
      </c>
      <c r="E95" t="s">
        <v>69</v>
      </c>
      <c r="F95" s="78">
        <v>11.9</v>
      </c>
      <c r="G95" s="79">
        <f t="shared" si="1"/>
        <v>3.6271198839321639</v>
      </c>
      <c r="H95" s="83">
        <v>48.9</v>
      </c>
      <c r="J95" s="64"/>
      <c r="K95" s="68"/>
      <c r="L95" s="72"/>
      <c r="O95" s="64"/>
      <c r="P95" s="73"/>
      <c r="Q95" t="s">
        <v>86</v>
      </c>
    </row>
    <row r="96" spans="1:17" x14ac:dyDescent="0.35">
      <c r="A96" s="68" t="s">
        <v>110</v>
      </c>
      <c r="B96" s="68" t="s">
        <v>60</v>
      </c>
      <c r="C96" s="72">
        <v>83</v>
      </c>
      <c r="D96" s="73" t="s">
        <v>42</v>
      </c>
      <c r="F96" s="78">
        <v>10.5</v>
      </c>
      <c r="G96" s="79">
        <f t="shared" si="1"/>
        <v>3.2003998975872032</v>
      </c>
      <c r="H96" s="83">
        <v>27.93</v>
      </c>
      <c r="I96">
        <v>1</v>
      </c>
      <c r="J96" s="64"/>
      <c r="K96" s="68"/>
      <c r="L96" s="72" t="s">
        <v>20</v>
      </c>
      <c r="M96" t="s">
        <v>29</v>
      </c>
      <c r="N96" t="s">
        <v>19</v>
      </c>
      <c r="O96" s="64">
        <v>0</v>
      </c>
      <c r="P96" s="73">
        <v>132</v>
      </c>
      <c r="Q96" t="s">
        <v>119</v>
      </c>
    </row>
    <row r="97" spans="1:17" x14ac:dyDescent="0.35">
      <c r="A97" s="68" t="s">
        <v>110</v>
      </c>
      <c r="B97" s="68" t="s">
        <v>60</v>
      </c>
      <c r="C97" s="72">
        <v>84</v>
      </c>
      <c r="D97" s="73" t="s">
        <v>40</v>
      </c>
      <c r="E97" t="s">
        <v>23</v>
      </c>
      <c r="F97" s="78">
        <v>9.1</v>
      </c>
      <c r="G97" s="79">
        <f t="shared" si="1"/>
        <v>2.7736799112422426</v>
      </c>
      <c r="H97" s="83">
        <v>30.27</v>
      </c>
      <c r="J97" s="64"/>
      <c r="K97" s="68"/>
      <c r="L97" s="72"/>
      <c r="O97" s="64"/>
      <c r="P97" s="73"/>
      <c r="Q97" t="s">
        <v>88</v>
      </c>
    </row>
    <row r="98" spans="1:17" x14ac:dyDescent="0.35">
      <c r="A98" s="68" t="s">
        <v>110</v>
      </c>
      <c r="B98" s="68" t="s">
        <v>60</v>
      </c>
      <c r="C98" s="72">
        <v>85</v>
      </c>
      <c r="D98" s="73" t="s">
        <v>42</v>
      </c>
      <c r="F98" s="78">
        <v>8.8000000000000007</v>
      </c>
      <c r="G98" s="79">
        <f t="shared" si="1"/>
        <v>2.6822399141683229</v>
      </c>
      <c r="H98" s="83">
        <v>24.68</v>
      </c>
      <c r="I98">
        <v>1</v>
      </c>
      <c r="J98" s="64"/>
      <c r="K98" s="68"/>
      <c r="L98" s="72" t="s">
        <v>19</v>
      </c>
      <c r="N98" t="s">
        <v>19</v>
      </c>
      <c r="O98" s="64"/>
      <c r="P98" s="73"/>
      <c r="Q98" t="s">
        <v>85</v>
      </c>
    </row>
    <row r="99" spans="1:17" x14ac:dyDescent="0.35">
      <c r="A99" s="68" t="s">
        <v>110</v>
      </c>
      <c r="B99" s="68" t="s">
        <v>60</v>
      </c>
      <c r="C99" s="72">
        <v>86</v>
      </c>
      <c r="D99" s="73" t="s">
        <v>40</v>
      </c>
      <c r="E99" t="s">
        <v>71</v>
      </c>
      <c r="F99" s="78">
        <v>10.3</v>
      </c>
      <c r="G99" s="79">
        <f t="shared" si="1"/>
        <v>3.1394398995379236</v>
      </c>
      <c r="H99" s="83">
        <v>39.799999999999997</v>
      </c>
      <c r="J99" s="64"/>
      <c r="K99" s="68"/>
      <c r="L99" s="72"/>
      <c r="O99" s="64"/>
      <c r="P99" s="73"/>
      <c r="Q99" t="s">
        <v>90</v>
      </c>
    </row>
    <row r="100" spans="1:17" x14ac:dyDescent="0.35">
      <c r="A100" s="68" t="s">
        <v>110</v>
      </c>
      <c r="B100" s="68" t="s">
        <v>60</v>
      </c>
      <c r="C100" s="72">
        <v>87</v>
      </c>
      <c r="D100" s="73" t="s">
        <v>42</v>
      </c>
      <c r="F100" s="78">
        <v>8.3000000000000007</v>
      </c>
      <c r="G100" s="79">
        <f t="shared" si="1"/>
        <v>2.5298399190451226</v>
      </c>
      <c r="H100" s="83">
        <v>24.73</v>
      </c>
      <c r="I100">
        <v>1</v>
      </c>
      <c r="J100" s="64"/>
      <c r="K100" s="68"/>
      <c r="L100" s="72" t="s">
        <v>20</v>
      </c>
      <c r="M100" t="s">
        <v>66</v>
      </c>
      <c r="N100" t="s">
        <v>19</v>
      </c>
      <c r="O100" s="64">
        <v>0</v>
      </c>
      <c r="P100" s="73">
        <v>125</v>
      </c>
      <c r="Q100" t="s">
        <v>87</v>
      </c>
    </row>
    <row r="101" spans="1:17" x14ac:dyDescent="0.35">
      <c r="A101" s="68" t="s">
        <v>110</v>
      </c>
      <c r="B101" s="68" t="s">
        <v>60</v>
      </c>
      <c r="C101" s="72">
        <v>88</v>
      </c>
      <c r="D101" s="73" t="s">
        <v>40</v>
      </c>
      <c r="E101" t="s">
        <v>69</v>
      </c>
      <c r="F101" s="78">
        <v>9</v>
      </c>
      <c r="G101" s="79">
        <f t="shared" si="1"/>
        <v>2.743199912217603</v>
      </c>
      <c r="H101" s="83">
        <v>40.869999999999997</v>
      </c>
      <c r="J101" s="64"/>
      <c r="K101" s="68"/>
      <c r="L101" s="72"/>
      <c r="O101" s="64"/>
      <c r="P101" s="73"/>
      <c r="Q101" t="s">
        <v>92</v>
      </c>
    </row>
    <row r="102" spans="1:17" x14ac:dyDescent="0.35">
      <c r="A102" s="68" t="s">
        <v>110</v>
      </c>
      <c r="B102" s="68" t="s">
        <v>60</v>
      </c>
      <c r="C102" s="72">
        <v>89</v>
      </c>
      <c r="D102" s="73" t="s">
        <v>42</v>
      </c>
      <c r="F102" s="78">
        <v>8.6999999999999993</v>
      </c>
      <c r="G102" s="79">
        <f t="shared" si="1"/>
        <v>2.6517599151436824</v>
      </c>
      <c r="H102" s="83">
        <v>24.89</v>
      </c>
      <c r="I102">
        <v>1</v>
      </c>
      <c r="J102" s="64"/>
      <c r="K102" s="68"/>
      <c r="L102" s="72" t="s">
        <v>20</v>
      </c>
      <c r="M102" t="s">
        <v>66</v>
      </c>
      <c r="N102" t="s">
        <v>19</v>
      </c>
      <c r="O102" s="64">
        <v>0</v>
      </c>
      <c r="P102" s="73">
        <v>160</v>
      </c>
      <c r="Q102" t="s">
        <v>89</v>
      </c>
    </row>
    <row r="103" spans="1:17" x14ac:dyDescent="0.35">
      <c r="A103" s="68" t="s">
        <v>110</v>
      </c>
      <c r="B103" s="68" t="s">
        <v>60</v>
      </c>
      <c r="C103" s="72">
        <v>90</v>
      </c>
      <c r="D103" s="73" t="s">
        <v>42</v>
      </c>
      <c r="F103" s="78">
        <v>8.1999999999999993</v>
      </c>
      <c r="G103" s="79">
        <f t="shared" si="1"/>
        <v>2.4993599200204826</v>
      </c>
      <c r="H103" s="83">
        <v>25.69</v>
      </c>
      <c r="I103">
        <v>1</v>
      </c>
      <c r="J103" s="64"/>
      <c r="K103" s="68"/>
      <c r="L103" s="72" t="s">
        <v>19</v>
      </c>
      <c r="N103" t="s">
        <v>19</v>
      </c>
      <c r="O103" s="64"/>
      <c r="P103" s="73"/>
      <c r="Q103" t="s">
        <v>120</v>
      </c>
    </row>
    <row r="104" spans="1:17" x14ac:dyDescent="0.35">
      <c r="A104" s="68" t="s">
        <v>110</v>
      </c>
      <c r="B104" s="68" t="s">
        <v>60</v>
      </c>
      <c r="C104" s="72">
        <v>91</v>
      </c>
      <c r="D104" s="73" t="s">
        <v>40</v>
      </c>
      <c r="E104" t="s">
        <v>29</v>
      </c>
      <c r="F104" s="78">
        <v>11.2</v>
      </c>
      <c r="G104" s="79">
        <f t="shared" si="1"/>
        <v>3.4137598907596831</v>
      </c>
      <c r="H104" s="83">
        <v>45.59</v>
      </c>
      <c r="J104" s="64"/>
      <c r="K104" s="68"/>
      <c r="L104" s="72"/>
      <c r="O104" s="64"/>
      <c r="P104" s="73"/>
      <c r="Q104" t="s">
        <v>91</v>
      </c>
    </row>
    <row r="105" spans="1:17" x14ac:dyDescent="0.35">
      <c r="A105" s="68" t="s">
        <v>110</v>
      </c>
      <c r="B105" s="68" t="s">
        <v>60</v>
      </c>
      <c r="C105" s="72">
        <v>92</v>
      </c>
      <c r="D105" s="73" t="s">
        <v>40</v>
      </c>
      <c r="E105" t="s">
        <v>70</v>
      </c>
      <c r="F105" s="78">
        <v>9.6999999999999993</v>
      </c>
      <c r="G105" s="79">
        <f t="shared" si="1"/>
        <v>2.9565599053900828</v>
      </c>
      <c r="H105" s="83">
        <v>31.6</v>
      </c>
      <c r="J105" s="64"/>
      <c r="K105" s="68"/>
      <c r="L105" s="72"/>
      <c r="O105" s="64"/>
      <c r="P105" s="73"/>
      <c r="Q105" t="s">
        <v>120</v>
      </c>
    </row>
    <row r="106" spans="1:17" x14ac:dyDescent="0.35">
      <c r="A106" s="68" t="s">
        <v>110</v>
      </c>
      <c r="B106" s="68" t="s">
        <v>60</v>
      </c>
      <c r="C106" s="72">
        <v>93</v>
      </c>
      <c r="D106" s="73" t="s">
        <v>42</v>
      </c>
      <c r="F106" s="78">
        <v>10.4</v>
      </c>
      <c r="G106" s="79">
        <f t="shared" si="1"/>
        <v>3.1699198985625632</v>
      </c>
      <c r="H106" s="83">
        <v>30.57</v>
      </c>
      <c r="I106">
        <v>1</v>
      </c>
      <c r="J106" s="64"/>
      <c r="K106" s="68"/>
      <c r="L106" s="72" t="s">
        <v>19</v>
      </c>
      <c r="N106" t="s">
        <v>19</v>
      </c>
      <c r="O106" s="64"/>
      <c r="P106" s="73"/>
      <c r="Q106" t="s">
        <v>96</v>
      </c>
    </row>
    <row r="107" spans="1:17" x14ac:dyDescent="0.35">
      <c r="A107" s="68" t="s">
        <v>110</v>
      </c>
      <c r="B107" s="68" t="s">
        <v>60</v>
      </c>
      <c r="C107" s="72">
        <v>94</v>
      </c>
      <c r="D107" s="73" t="s">
        <v>40</v>
      </c>
      <c r="E107" t="s">
        <v>23</v>
      </c>
      <c r="F107" s="78">
        <v>9.6</v>
      </c>
      <c r="G107" s="79">
        <f t="shared" si="1"/>
        <v>2.9260799063654428</v>
      </c>
      <c r="H107" s="83">
        <v>33</v>
      </c>
      <c r="J107" s="64"/>
      <c r="K107" s="68"/>
      <c r="L107" s="72"/>
      <c r="O107" s="64"/>
      <c r="P107" s="73"/>
      <c r="Q107" t="s">
        <v>98</v>
      </c>
    </row>
    <row r="108" spans="1:17" x14ac:dyDescent="0.35">
      <c r="A108" s="68" t="s">
        <v>110</v>
      </c>
      <c r="B108" s="68" t="s">
        <v>60</v>
      </c>
      <c r="C108" s="72">
        <v>95</v>
      </c>
      <c r="D108" s="73" t="s">
        <v>42</v>
      </c>
      <c r="F108" s="78">
        <v>6.6</v>
      </c>
      <c r="G108" s="79">
        <f t="shared" si="1"/>
        <v>2.0116799356262418</v>
      </c>
      <c r="H108" s="83">
        <v>11.07</v>
      </c>
      <c r="I108">
        <v>2</v>
      </c>
      <c r="J108" s="64">
        <v>0.41</v>
      </c>
      <c r="K108" s="68">
        <v>158</v>
      </c>
      <c r="L108" s="72" t="s">
        <v>20</v>
      </c>
      <c r="M108" t="s">
        <v>21</v>
      </c>
      <c r="N108" t="s">
        <v>20</v>
      </c>
      <c r="O108" s="64">
        <v>0.49</v>
      </c>
      <c r="P108" s="73">
        <v>178</v>
      </c>
      <c r="Q108" t="s">
        <v>95</v>
      </c>
    </row>
    <row r="109" spans="1:17" x14ac:dyDescent="0.35">
      <c r="A109" s="68" t="s">
        <v>110</v>
      </c>
      <c r="B109" s="68" t="s">
        <v>60</v>
      </c>
      <c r="C109" s="72">
        <v>96</v>
      </c>
      <c r="D109" s="73" t="s">
        <v>42</v>
      </c>
      <c r="F109" s="78">
        <v>11.7</v>
      </c>
      <c r="G109" s="79">
        <f t="shared" si="1"/>
        <v>3.5661598858828834</v>
      </c>
      <c r="H109" s="83">
        <v>44.03</v>
      </c>
      <c r="I109">
        <v>1</v>
      </c>
      <c r="J109" s="64"/>
      <c r="K109" s="68"/>
      <c r="L109" s="72" t="s">
        <v>19</v>
      </c>
      <c r="N109" t="s">
        <v>19</v>
      </c>
      <c r="O109" s="64"/>
      <c r="P109" s="73"/>
      <c r="Q109" t="s">
        <v>100</v>
      </c>
    </row>
    <row r="110" spans="1:17" x14ac:dyDescent="0.35">
      <c r="A110" s="68" t="s">
        <v>110</v>
      </c>
      <c r="B110" s="68" t="s">
        <v>60</v>
      </c>
      <c r="C110" s="72">
        <v>97</v>
      </c>
      <c r="D110" s="73" t="s">
        <v>40</v>
      </c>
      <c r="E110" t="s">
        <v>29</v>
      </c>
      <c r="F110" s="78">
        <v>11</v>
      </c>
      <c r="G110" s="79">
        <f t="shared" si="1"/>
        <v>3.3527998927104035</v>
      </c>
      <c r="H110" s="83">
        <v>30.21</v>
      </c>
      <c r="J110" s="64"/>
      <c r="K110" s="68"/>
      <c r="L110" s="72"/>
      <c r="O110" s="64"/>
      <c r="P110" s="73"/>
      <c r="Q110" t="s">
        <v>97</v>
      </c>
    </row>
    <row r="111" spans="1:17" x14ac:dyDescent="0.35">
      <c r="A111" s="68" t="s">
        <v>110</v>
      </c>
      <c r="B111" s="68" t="s">
        <v>60</v>
      </c>
      <c r="C111" s="72">
        <v>98</v>
      </c>
      <c r="D111" s="73" t="s">
        <v>42</v>
      </c>
      <c r="F111" s="78">
        <v>7.9</v>
      </c>
      <c r="G111" s="79">
        <f t="shared" si="1"/>
        <v>2.4079199229465624</v>
      </c>
      <c r="H111" s="83">
        <v>18.57</v>
      </c>
      <c r="I111">
        <v>1</v>
      </c>
      <c r="J111" s="64"/>
      <c r="K111" s="68">
        <v>96</v>
      </c>
      <c r="L111" s="72" t="s">
        <v>19</v>
      </c>
      <c r="N111" t="s">
        <v>19</v>
      </c>
      <c r="O111" s="64"/>
      <c r="P111" s="73"/>
      <c r="Q111" t="s">
        <v>121</v>
      </c>
    </row>
    <row r="112" spans="1:17" x14ac:dyDescent="0.35">
      <c r="A112" s="68" t="s">
        <v>110</v>
      </c>
      <c r="B112" s="68" t="s">
        <v>60</v>
      </c>
      <c r="C112" s="72">
        <v>99</v>
      </c>
      <c r="D112" s="73" t="s">
        <v>40</v>
      </c>
      <c r="E112" t="s">
        <v>29</v>
      </c>
      <c r="F112" s="78">
        <v>8.3000000000000007</v>
      </c>
      <c r="G112" s="79">
        <f t="shared" si="1"/>
        <v>2.5298399190451226</v>
      </c>
      <c r="H112" s="83">
        <v>22.22</v>
      </c>
      <c r="J112" s="64"/>
      <c r="K112" s="68"/>
      <c r="L112" s="72"/>
      <c r="O112" s="64"/>
      <c r="P112" s="73"/>
      <c r="Q112" t="s">
        <v>99</v>
      </c>
    </row>
    <row r="113" spans="1:17" x14ac:dyDescent="0.35">
      <c r="A113" s="68" t="s">
        <v>110</v>
      </c>
      <c r="B113" s="68" t="s">
        <v>60</v>
      </c>
      <c r="C113" s="72">
        <v>100</v>
      </c>
      <c r="D113" s="73" t="s">
        <v>40</v>
      </c>
      <c r="E113" t="s">
        <v>19</v>
      </c>
      <c r="F113" s="78">
        <v>8.5</v>
      </c>
      <c r="G113" s="79">
        <f t="shared" si="1"/>
        <v>2.5907999170944027</v>
      </c>
      <c r="H113" s="83">
        <v>30.59</v>
      </c>
      <c r="J113" s="64"/>
      <c r="K113" s="68"/>
      <c r="L113" s="72"/>
      <c r="O113" s="64"/>
      <c r="P113" s="73"/>
      <c r="Q113" t="s">
        <v>103</v>
      </c>
    </row>
    <row r="114" spans="1:17" x14ac:dyDescent="0.35">
      <c r="A114" s="68" t="s">
        <v>110</v>
      </c>
      <c r="B114" s="68" t="s">
        <v>60</v>
      </c>
      <c r="C114" s="72">
        <v>101</v>
      </c>
      <c r="D114" s="73" t="s">
        <v>42</v>
      </c>
      <c r="F114" s="78">
        <v>10.3</v>
      </c>
      <c r="G114" s="79">
        <f t="shared" si="1"/>
        <v>3.1394398995379236</v>
      </c>
      <c r="H114" s="83">
        <v>38.229999999999997</v>
      </c>
      <c r="I114">
        <v>1</v>
      </c>
      <c r="J114" s="64"/>
      <c r="K114" s="68"/>
      <c r="L114" s="72" t="s">
        <v>19</v>
      </c>
      <c r="N114" t="s">
        <v>19</v>
      </c>
      <c r="O114" s="64"/>
      <c r="P114" s="73"/>
      <c r="Q114" t="s">
        <v>152</v>
      </c>
    </row>
    <row r="115" spans="1:17" x14ac:dyDescent="0.35">
      <c r="A115" s="68" t="s">
        <v>110</v>
      </c>
      <c r="B115" s="68" t="s">
        <v>60</v>
      </c>
      <c r="C115" s="72">
        <v>102</v>
      </c>
      <c r="D115" s="73" t="s">
        <v>40</v>
      </c>
      <c r="E115" t="s">
        <v>71</v>
      </c>
      <c r="F115" s="78">
        <v>6.2</v>
      </c>
      <c r="G115" s="79">
        <f t="shared" si="1"/>
        <v>1.8897599395276821</v>
      </c>
      <c r="H115" s="83">
        <v>20.149999999999999</v>
      </c>
      <c r="J115" s="64"/>
      <c r="K115" s="68"/>
      <c r="L115" s="72"/>
      <c r="O115" s="64"/>
      <c r="P115" s="73"/>
      <c r="Q115" t="s">
        <v>105</v>
      </c>
    </row>
    <row r="116" spans="1:17" x14ac:dyDescent="0.35">
      <c r="A116" s="68" t="s">
        <v>110</v>
      </c>
      <c r="B116" s="68" t="s">
        <v>60</v>
      </c>
      <c r="C116" s="72">
        <v>103</v>
      </c>
      <c r="D116" s="73" t="s">
        <v>42</v>
      </c>
      <c r="F116" s="78">
        <v>5.0999999999999996</v>
      </c>
      <c r="G116" s="79">
        <f t="shared" si="1"/>
        <v>1.5544799502566415</v>
      </c>
      <c r="H116" s="83">
        <v>10.14</v>
      </c>
      <c r="I116">
        <v>1</v>
      </c>
      <c r="J116" s="64"/>
      <c r="K116" s="68">
        <v>149</v>
      </c>
      <c r="L116" s="72" t="s">
        <v>19</v>
      </c>
      <c r="N116" t="s">
        <v>19</v>
      </c>
      <c r="O116" s="64"/>
      <c r="P116" s="73"/>
      <c r="Q116" t="s">
        <v>102</v>
      </c>
    </row>
    <row r="117" spans="1:17" x14ac:dyDescent="0.35">
      <c r="A117" s="68" t="s">
        <v>110</v>
      </c>
      <c r="B117" s="68" t="s">
        <v>60</v>
      </c>
      <c r="C117" s="72">
        <v>104</v>
      </c>
      <c r="D117" s="73" t="s">
        <v>42</v>
      </c>
      <c r="F117" s="78">
        <v>7.3</v>
      </c>
      <c r="G117" s="79">
        <f t="shared" si="1"/>
        <v>2.2250399287987221</v>
      </c>
      <c r="H117" s="83">
        <v>17.87</v>
      </c>
      <c r="I117">
        <v>1</v>
      </c>
      <c r="J117" s="64"/>
      <c r="K117" s="68"/>
      <c r="L117" s="72" t="s">
        <v>19</v>
      </c>
      <c r="N117" t="s">
        <v>19</v>
      </c>
      <c r="O117" s="64"/>
      <c r="P117" s="73"/>
      <c r="Q117" t="s">
        <v>106</v>
      </c>
    </row>
    <row r="118" spans="1:17" x14ac:dyDescent="0.35">
      <c r="A118" s="68" t="s">
        <v>110</v>
      </c>
      <c r="B118" s="68" t="s">
        <v>60</v>
      </c>
      <c r="C118" s="72">
        <v>105</v>
      </c>
      <c r="D118" s="73" t="s">
        <v>40</v>
      </c>
      <c r="E118" t="s">
        <v>29</v>
      </c>
      <c r="F118" s="78">
        <v>7.9</v>
      </c>
      <c r="G118" s="79">
        <f t="shared" si="1"/>
        <v>2.4079199229465624</v>
      </c>
      <c r="H118" s="83">
        <v>32.130000000000003</v>
      </c>
      <c r="J118" s="64"/>
      <c r="K118" s="68"/>
      <c r="L118" s="72"/>
      <c r="O118" s="64"/>
      <c r="P118" s="73"/>
      <c r="Q118" t="s">
        <v>104</v>
      </c>
    </row>
    <row r="119" spans="1:17" x14ac:dyDescent="0.35">
      <c r="A119" s="68" t="s">
        <v>110</v>
      </c>
      <c r="B119" s="68" t="s">
        <v>48</v>
      </c>
      <c r="C119" s="72">
        <v>106</v>
      </c>
      <c r="D119" s="73" t="s">
        <v>40</v>
      </c>
      <c r="F119" s="78">
        <v>15.8</v>
      </c>
      <c r="G119" s="79">
        <f t="shared" si="1"/>
        <v>4.8158398458931249</v>
      </c>
      <c r="H119" s="83">
        <v>56.8</v>
      </c>
      <c r="J119" s="64"/>
      <c r="K119" s="68"/>
      <c r="L119" s="72"/>
      <c r="O119" s="64"/>
      <c r="P119" s="73"/>
    </row>
    <row r="120" spans="1:17" x14ac:dyDescent="0.35">
      <c r="A120" s="68" t="s">
        <v>110</v>
      </c>
      <c r="B120" s="68" t="s">
        <v>48</v>
      </c>
      <c r="C120" s="72">
        <v>107</v>
      </c>
      <c r="D120" s="73" t="s">
        <v>40</v>
      </c>
      <c r="F120" s="78">
        <v>14.5</v>
      </c>
      <c r="G120" s="79">
        <f t="shared" si="1"/>
        <v>4.4195998585728047</v>
      </c>
      <c r="H120" s="83">
        <v>12.98</v>
      </c>
      <c r="J120" s="64"/>
      <c r="K120" s="68"/>
      <c r="L120" s="72"/>
      <c r="O120" s="64"/>
      <c r="P120" s="73"/>
    </row>
    <row r="121" spans="1:17" x14ac:dyDescent="0.35">
      <c r="A121" s="68" t="s">
        <v>110</v>
      </c>
      <c r="B121" s="68" t="s">
        <v>48</v>
      </c>
      <c r="C121" s="72">
        <v>108</v>
      </c>
      <c r="D121" s="73" t="s">
        <v>40</v>
      </c>
      <c r="F121" s="78">
        <v>13.3</v>
      </c>
      <c r="G121" s="79">
        <f t="shared" si="1"/>
        <v>4.0538398702771241</v>
      </c>
      <c r="H121" s="83">
        <v>62.26</v>
      </c>
      <c r="J121" s="64"/>
      <c r="K121" s="68"/>
      <c r="L121" s="72"/>
      <c r="O121" s="64"/>
      <c r="P121" s="73"/>
    </row>
    <row r="122" spans="1:17" x14ac:dyDescent="0.35">
      <c r="A122" s="68" t="s">
        <v>110</v>
      </c>
      <c r="B122" s="68" t="s">
        <v>48</v>
      </c>
      <c r="C122" s="72">
        <v>109</v>
      </c>
      <c r="D122" s="73" t="s">
        <v>40</v>
      </c>
      <c r="F122" s="78">
        <v>11.2</v>
      </c>
      <c r="G122" s="79">
        <f t="shared" si="1"/>
        <v>3.4137598907596831</v>
      </c>
      <c r="H122" s="83">
        <v>50.43</v>
      </c>
      <c r="J122" s="64"/>
      <c r="K122" s="68"/>
      <c r="L122" s="72"/>
      <c r="O122" s="64"/>
      <c r="P122" s="73"/>
    </row>
    <row r="123" spans="1:17" x14ac:dyDescent="0.35">
      <c r="A123" s="68" t="s">
        <v>110</v>
      </c>
      <c r="B123" s="68" t="s">
        <v>48</v>
      </c>
      <c r="C123" s="72">
        <v>110</v>
      </c>
      <c r="D123" s="73" t="s">
        <v>40</v>
      </c>
      <c r="F123" s="78">
        <v>9</v>
      </c>
      <c r="G123" s="79">
        <f t="shared" si="1"/>
        <v>2.743199912217603</v>
      </c>
      <c r="H123" s="83">
        <v>29.02</v>
      </c>
      <c r="J123" s="64"/>
      <c r="K123" s="68"/>
      <c r="L123" s="72"/>
      <c r="O123" s="64"/>
      <c r="P123" s="73"/>
    </row>
    <row r="124" spans="1:17" x14ac:dyDescent="0.35">
      <c r="A124" s="68" t="s">
        <v>110</v>
      </c>
      <c r="B124" s="68" t="s">
        <v>48</v>
      </c>
      <c r="C124" s="72">
        <v>111</v>
      </c>
      <c r="D124" s="73" t="s">
        <v>40</v>
      </c>
      <c r="F124" s="78">
        <v>10.199999999999999</v>
      </c>
      <c r="G124" s="79">
        <f t="shared" si="1"/>
        <v>3.1089599005132831</v>
      </c>
      <c r="H124" s="83">
        <v>44.75</v>
      </c>
      <c r="J124" s="64"/>
      <c r="K124" s="68"/>
      <c r="L124" s="72"/>
      <c r="O124" s="64"/>
      <c r="P124" s="73"/>
    </row>
    <row r="125" spans="1:17" x14ac:dyDescent="0.35">
      <c r="A125" s="68" t="s">
        <v>110</v>
      </c>
      <c r="B125" s="68" t="s">
        <v>48</v>
      </c>
      <c r="C125" s="72">
        <v>112</v>
      </c>
      <c r="D125" s="73" t="s">
        <v>40</v>
      </c>
      <c r="F125" s="78">
        <v>10.9</v>
      </c>
      <c r="G125" s="79">
        <f t="shared" si="1"/>
        <v>3.3223198936857634</v>
      </c>
      <c r="H125" s="83">
        <v>44.64</v>
      </c>
      <c r="J125" s="64"/>
      <c r="K125" s="68"/>
      <c r="L125" s="72"/>
      <c r="O125" s="64"/>
      <c r="P125" s="73"/>
    </row>
    <row r="126" spans="1:17" x14ac:dyDescent="0.35">
      <c r="A126" s="68" t="s">
        <v>110</v>
      </c>
      <c r="B126" s="68" t="s">
        <v>48</v>
      </c>
      <c r="C126" s="72">
        <v>113</v>
      </c>
      <c r="D126" s="73" t="s">
        <v>40</v>
      </c>
      <c r="F126" s="78">
        <v>8.6999999999999993</v>
      </c>
      <c r="G126" s="79">
        <f t="shared" si="1"/>
        <v>2.6517599151436824</v>
      </c>
      <c r="H126" s="83">
        <v>36.94</v>
      </c>
      <c r="J126" s="64"/>
      <c r="K126" s="68"/>
      <c r="L126" s="72"/>
      <c r="O126" s="64"/>
      <c r="P126" s="73"/>
    </row>
    <row r="127" spans="1:17" x14ac:dyDescent="0.35">
      <c r="A127" s="68" t="s">
        <v>110</v>
      </c>
      <c r="B127" s="68" t="s">
        <v>48</v>
      </c>
      <c r="C127" s="72">
        <v>114</v>
      </c>
      <c r="D127" s="73" t="s">
        <v>40</v>
      </c>
      <c r="F127" s="78">
        <v>11.8</v>
      </c>
      <c r="G127" s="79">
        <f t="shared" si="1"/>
        <v>3.5966398849075238</v>
      </c>
      <c r="H127" s="83">
        <v>39.880000000000003</v>
      </c>
      <c r="J127" s="64"/>
      <c r="K127" s="68"/>
      <c r="L127" s="72"/>
      <c r="O127" s="64"/>
      <c r="P127" s="73"/>
    </row>
    <row r="128" spans="1:17" x14ac:dyDescent="0.35">
      <c r="A128" s="68" t="s">
        <v>110</v>
      </c>
      <c r="B128" s="68" t="s">
        <v>48</v>
      </c>
      <c r="C128" s="72">
        <v>115</v>
      </c>
      <c r="D128" s="73" t="s">
        <v>40</v>
      </c>
      <c r="F128" s="78">
        <v>7.9</v>
      </c>
      <c r="G128" s="79">
        <f t="shared" si="1"/>
        <v>2.4079199229465624</v>
      </c>
      <c r="H128" s="83">
        <v>28.68</v>
      </c>
      <c r="J128" s="64"/>
      <c r="K128" s="68"/>
      <c r="L128" s="72"/>
      <c r="O128" s="64"/>
      <c r="P128" s="73"/>
    </row>
    <row r="129" spans="1:17" x14ac:dyDescent="0.35">
      <c r="A129" s="68" t="s">
        <v>110</v>
      </c>
      <c r="B129" s="68" t="s">
        <v>48</v>
      </c>
      <c r="C129" s="72">
        <v>116</v>
      </c>
      <c r="D129" s="73" t="s">
        <v>40</v>
      </c>
      <c r="F129" s="78">
        <v>9.4</v>
      </c>
      <c r="G129" s="79">
        <f t="shared" si="1"/>
        <v>2.8651199083161631</v>
      </c>
      <c r="H129" s="83">
        <v>35.56</v>
      </c>
      <c r="J129" s="64"/>
      <c r="K129" s="68"/>
      <c r="L129" s="72"/>
      <c r="O129" s="64"/>
      <c r="P129" s="73"/>
    </row>
    <row r="130" spans="1:17" x14ac:dyDescent="0.35">
      <c r="A130" s="68" t="s">
        <v>110</v>
      </c>
      <c r="B130" s="68" t="s">
        <v>48</v>
      </c>
      <c r="C130" s="72">
        <v>117</v>
      </c>
      <c r="D130" s="73" t="s">
        <v>40</v>
      </c>
      <c r="F130" s="78">
        <v>10.5</v>
      </c>
      <c r="G130" s="79">
        <f t="shared" ref="G130:G138" si="2">IF(F130 = 0, " ", IF(F130&lt;2, F130/1, F130/3.28084))</f>
        <v>3.2003998975872032</v>
      </c>
      <c r="H130" s="83">
        <v>34.840000000000003</v>
      </c>
      <c r="J130" s="64"/>
      <c r="K130" s="68"/>
      <c r="L130" s="72"/>
      <c r="O130" s="64"/>
      <c r="P130" s="73"/>
    </row>
    <row r="131" spans="1:17" x14ac:dyDescent="0.35">
      <c r="A131" s="68" t="s">
        <v>110</v>
      </c>
      <c r="B131" s="68" t="s">
        <v>48</v>
      </c>
      <c r="C131" s="72">
        <v>118</v>
      </c>
      <c r="D131" s="73" t="s">
        <v>40</v>
      </c>
      <c r="F131" s="78">
        <v>12</v>
      </c>
      <c r="G131" s="79">
        <f t="shared" si="2"/>
        <v>3.6575998829568039</v>
      </c>
      <c r="H131" s="83">
        <v>45.74</v>
      </c>
      <c r="J131" s="64"/>
      <c r="K131" s="68"/>
      <c r="L131" s="72"/>
      <c r="O131" s="64"/>
      <c r="P131" s="73"/>
    </row>
    <row r="132" spans="1:17" x14ac:dyDescent="0.35">
      <c r="A132" s="68" t="s">
        <v>110</v>
      </c>
      <c r="B132" s="68" t="s">
        <v>48</v>
      </c>
      <c r="C132" s="72">
        <v>119</v>
      </c>
      <c r="D132" s="73" t="s">
        <v>40</v>
      </c>
      <c r="F132" s="78">
        <v>9.8000000000000007</v>
      </c>
      <c r="G132" s="79">
        <f t="shared" si="2"/>
        <v>2.9870399044147233</v>
      </c>
      <c r="H132" s="83">
        <v>46.87</v>
      </c>
      <c r="J132" s="64"/>
      <c r="K132" s="68"/>
      <c r="L132" s="72"/>
      <c r="O132" s="64"/>
      <c r="P132" s="73"/>
      <c r="Q132" t="s">
        <v>123</v>
      </c>
    </row>
    <row r="133" spans="1:17" x14ac:dyDescent="0.35">
      <c r="A133" s="68" t="s">
        <v>110</v>
      </c>
      <c r="B133" s="68" t="s">
        <v>48</v>
      </c>
      <c r="C133" s="72">
        <v>120</v>
      </c>
      <c r="D133" s="73" t="s">
        <v>40</v>
      </c>
      <c r="F133" s="78">
        <v>10.3</v>
      </c>
      <c r="G133" s="79">
        <f t="shared" si="2"/>
        <v>3.1394398995379236</v>
      </c>
      <c r="H133" s="83">
        <v>36.299999999999997</v>
      </c>
      <c r="J133" s="64"/>
      <c r="K133" s="68"/>
      <c r="L133" s="72"/>
      <c r="O133" s="64"/>
      <c r="P133" s="73"/>
    </row>
    <row r="134" spans="1:17" x14ac:dyDescent="0.35">
      <c r="A134" s="68" t="s">
        <v>110</v>
      </c>
      <c r="B134" s="68" t="s">
        <v>48</v>
      </c>
      <c r="C134" s="72">
        <v>121</v>
      </c>
      <c r="D134" s="73" t="s">
        <v>40</v>
      </c>
      <c r="F134" s="78">
        <v>8.9</v>
      </c>
      <c r="G134" s="79">
        <f t="shared" si="2"/>
        <v>2.7127199131929629</v>
      </c>
      <c r="H134" s="83">
        <v>37.700000000000003</v>
      </c>
      <c r="J134" s="64"/>
      <c r="K134" s="68"/>
      <c r="L134" s="72"/>
      <c r="O134" s="64"/>
      <c r="P134" s="73"/>
    </row>
    <row r="135" spans="1:17" x14ac:dyDescent="0.35">
      <c r="A135" s="68" t="s">
        <v>110</v>
      </c>
      <c r="B135" s="68" t="s">
        <v>48</v>
      </c>
      <c r="C135" s="72">
        <v>122</v>
      </c>
      <c r="D135" s="73" t="s">
        <v>40</v>
      </c>
      <c r="F135" s="78">
        <v>7.5</v>
      </c>
      <c r="G135" s="79">
        <f t="shared" si="2"/>
        <v>2.2859999268480022</v>
      </c>
      <c r="H135" s="83">
        <v>30.4</v>
      </c>
      <c r="J135" s="64"/>
      <c r="K135" s="68"/>
      <c r="L135" s="72"/>
      <c r="O135" s="64"/>
      <c r="P135" s="73"/>
    </row>
    <row r="136" spans="1:17" x14ac:dyDescent="0.35">
      <c r="A136" s="68" t="s">
        <v>110</v>
      </c>
      <c r="B136" s="68" t="s">
        <v>48</v>
      </c>
      <c r="C136" s="72">
        <v>123</v>
      </c>
      <c r="D136" s="73" t="s">
        <v>40</v>
      </c>
      <c r="F136" s="78">
        <v>6.6</v>
      </c>
      <c r="G136" s="79">
        <f t="shared" si="2"/>
        <v>2.0116799356262418</v>
      </c>
      <c r="H136" s="83">
        <v>20.68</v>
      </c>
      <c r="J136" s="64"/>
      <c r="K136" s="68"/>
      <c r="L136" s="72"/>
      <c r="O136" s="64"/>
      <c r="P136" s="73"/>
    </row>
    <row r="137" spans="1:17" x14ac:dyDescent="0.35">
      <c r="A137" s="68" t="s">
        <v>110</v>
      </c>
      <c r="B137" s="68" t="s">
        <v>48</v>
      </c>
      <c r="C137" s="72">
        <v>124</v>
      </c>
      <c r="D137" s="73" t="s">
        <v>40</v>
      </c>
      <c r="F137" s="78">
        <v>8.6</v>
      </c>
      <c r="G137" s="79">
        <f t="shared" si="2"/>
        <v>2.6212799161190428</v>
      </c>
      <c r="H137" s="83">
        <v>37.33</v>
      </c>
      <c r="J137" s="64"/>
      <c r="K137" s="68"/>
      <c r="L137" s="72"/>
      <c r="O137" s="64"/>
      <c r="P137" s="73"/>
      <c r="Q137" t="s">
        <v>122</v>
      </c>
    </row>
    <row r="138" spans="1:17" x14ac:dyDescent="0.35">
      <c r="A138" s="69" t="s">
        <v>110</v>
      </c>
      <c r="B138" s="69" t="s">
        <v>48</v>
      </c>
      <c r="C138" s="74">
        <v>125</v>
      </c>
      <c r="D138" s="75" t="s">
        <v>40</v>
      </c>
      <c r="E138" s="1"/>
      <c r="F138" s="80">
        <v>6.1</v>
      </c>
      <c r="G138" s="81">
        <f t="shared" si="2"/>
        <v>1.8592799405030418</v>
      </c>
      <c r="H138" s="84">
        <v>12.33</v>
      </c>
      <c r="I138" s="1"/>
      <c r="J138" s="66"/>
      <c r="K138" s="69"/>
      <c r="L138" s="74"/>
      <c r="M138" s="1"/>
      <c r="N138" s="1"/>
      <c r="O138" s="66"/>
      <c r="P138" s="75"/>
      <c r="Q138"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CB331-86A0-45C0-95C9-C3FE603ADEE1}">
  <dimension ref="A1:Q104"/>
  <sheetViews>
    <sheetView workbookViewId="0">
      <selection activeCell="M46" sqref="M46"/>
    </sheetView>
  </sheetViews>
  <sheetFormatPr defaultRowHeight="14.5" x14ac:dyDescent="0.35"/>
  <cols>
    <col min="1" max="1" width="6.7265625" bestFit="1" customWidth="1"/>
    <col min="2" max="2" width="9.36328125" bestFit="1" customWidth="1"/>
    <col min="3" max="3" width="5.7265625" bestFit="1" customWidth="1"/>
    <col min="4" max="4" width="7.453125" bestFit="1" customWidth="1"/>
    <col min="6" max="7" width="6.26953125" bestFit="1" customWidth="1"/>
    <col min="9" max="9" width="7" bestFit="1" customWidth="1"/>
    <col min="12" max="12" width="9.6328125" customWidth="1"/>
    <col min="13" max="13" width="9.36328125" customWidth="1"/>
    <col min="17" max="17" width="39.1796875" customWidth="1"/>
  </cols>
  <sheetData>
    <row r="1" spans="1:17" s="6" customFormat="1" ht="44" thickBot="1" x14ac:dyDescent="0.4">
      <c r="A1" s="67" t="s">
        <v>24</v>
      </c>
      <c r="B1" s="67" t="s">
        <v>2</v>
      </c>
      <c r="C1" s="70" t="s">
        <v>7</v>
      </c>
      <c r="D1" s="71" t="s">
        <v>41</v>
      </c>
      <c r="E1" s="58" t="s">
        <v>67</v>
      </c>
      <c r="F1" s="76" t="s">
        <v>8</v>
      </c>
      <c r="G1" s="77" t="s">
        <v>9</v>
      </c>
      <c r="H1" s="82" t="s">
        <v>12</v>
      </c>
      <c r="I1" s="58" t="s">
        <v>10</v>
      </c>
      <c r="J1" s="65" t="s">
        <v>11</v>
      </c>
      <c r="K1" s="85" t="s">
        <v>13</v>
      </c>
      <c r="L1" s="70" t="s">
        <v>14</v>
      </c>
      <c r="M1" s="58" t="s">
        <v>15</v>
      </c>
      <c r="N1" s="58" t="s">
        <v>16</v>
      </c>
      <c r="O1" s="65" t="s">
        <v>17</v>
      </c>
      <c r="P1" s="71" t="s">
        <v>18</v>
      </c>
      <c r="Q1" s="58" t="s">
        <v>5</v>
      </c>
    </row>
    <row r="2" spans="1:17" x14ac:dyDescent="0.35">
      <c r="A2" s="68" t="s">
        <v>126</v>
      </c>
      <c r="B2" s="68" t="s">
        <v>26</v>
      </c>
      <c r="C2" s="72">
        <v>1</v>
      </c>
      <c r="D2" s="73" t="s">
        <v>42</v>
      </c>
      <c r="F2" s="78">
        <v>5.0999999999999996</v>
      </c>
      <c r="G2" s="79">
        <f t="shared" ref="G2:G65" si="0">IF(F2 = 0, " ", IF(F2&lt;2, F2/1, F2/3.28084))</f>
        <v>1.5544799502566415</v>
      </c>
      <c r="H2" s="83">
        <v>18.190000000000001</v>
      </c>
      <c r="I2">
        <v>3</v>
      </c>
      <c r="J2" s="64">
        <v>0.8</v>
      </c>
      <c r="K2" s="68"/>
      <c r="L2" s="72" t="s">
        <v>20</v>
      </c>
      <c r="M2" t="s">
        <v>22</v>
      </c>
      <c r="N2" t="s">
        <v>20</v>
      </c>
      <c r="O2" s="64">
        <v>0.8</v>
      </c>
      <c r="P2" s="73">
        <v>0</v>
      </c>
      <c r="Q2" t="s">
        <v>128</v>
      </c>
    </row>
    <row r="3" spans="1:17" x14ac:dyDescent="0.35">
      <c r="A3" s="68" t="s">
        <v>126</v>
      </c>
      <c r="B3" s="68" t="s">
        <v>26</v>
      </c>
      <c r="C3" s="72">
        <v>1</v>
      </c>
      <c r="D3" s="73"/>
      <c r="F3" s="78"/>
      <c r="G3" s="79" t="str">
        <f t="shared" si="0"/>
        <v xml:space="preserve"> </v>
      </c>
      <c r="H3" s="83"/>
      <c r="J3" s="64">
        <v>0.66</v>
      </c>
      <c r="K3" s="68"/>
      <c r="L3" s="72" t="s">
        <v>20</v>
      </c>
      <c r="M3" t="s">
        <v>22</v>
      </c>
      <c r="N3" t="s">
        <v>20</v>
      </c>
      <c r="O3" s="64">
        <v>0.8</v>
      </c>
      <c r="P3" s="73">
        <v>0</v>
      </c>
    </row>
    <row r="4" spans="1:17" x14ac:dyDescent="0.35">
      <c r="A4" s="68" t="s">
        <v>126</v>
      </c>
      <c r="B4" s="68" t="s">
        <v>26</v>
      </c>
      <c r="C4" s="72">
        <v>1</v>
      </c>
      <c r="D4" s="73"/>
      <c r="F4" s="78"/>
      <c r="G4" s="79" t="str">
        <f t="shared" si="0"/>
        <v xml:space="preserve"> </v>
      </c>
      <c r="H4" s="83"/>
      <c r="J4" s="64"/>
      <c r="K4" s="68"/>
      <c r="L4" s="72" t="s">
        <v>20</v>
      </c>
      <c r="M4" t="s">
        <v>22</v>
      </c>
      <c r="N4" t="s">
        <v>20</v>
      </c>
      <c r="O4" s="64">
        <v>0.8</v>
      </c>
      <c r="P4" s="73">
        <v>0</v>
      </c>
    </row>
    <row r="5" spans="1:17" x14ac:dyDescent="0.35">
      <c r="A5" s="68" t="s">
        <v>126</v>
      </c>
      <c r="B5" s="68" t="s">
        <v>26</v>
      </c>
      <c r="C5" s="72">
        <v>1</v>
      </c>
      <c r="D5" s="73"/>
      <c r="F5" s="78"/>
      <c r="G5" s="79" t="str">
        <f t="shared" si="0"/>
        <v xml:space="preserve"> </v>
      </c>
      <c r="H5" s="83"/>
      <c r="J5" s="64"/>
      <c r="K5" s="68"/>
      <c r="L5" s="72" t="s">
        <v>20</v>
      </c>
      <c r="M5" t="s">
        <v>22</v>
      </c>
      <c r="N5" t="s">
        <v>20</v>
      </c>
      <c r="O5" s="64">
        <v>0.6</v>
      </c>
      <c r="P5" s="73">
        <v>0</v>
      </c>
    </row>
    <row r="6" spans="1:17" x14ac:dyDescent="0.35">
      <c r="A6" s="68" t="s">
        <v>126</v>
      </c>
      <c r="B6" s="68" t="s">
        <v>26</v>
      </c>
      <c r="C6" s="72">
        <v>2</v>
      </c>
      <c r="D6" s="73" t="s">
        <v>42</v>
      </c>
      <c r="F6" s="78">
        <v>8.3000000000000007</v>
      </c>
      <c r="G6" s="79">
        <f t="shared" si="0"/>
        <v>2.5298399190451226</v>
      </c>
      <c r="H6" s="83">
        <v>31.2</v>
      </c>
      <c r="I6">
        <v>1</v>
      </c>
      <c r="J6" s="64"/>
      <c r="K6" s="68"/>
      <c r="L6" s="72" t="s">
        <v>20</v>
      </c>
      <c r="M6" t="s">
        <v>22</v>
      </c>
      <c r="N6" t="s">
        <v>19</v>
      </c>
      <c r="O6" s="64">
        <v>1.03</v>
      </c>
      <c r="P6" s="73">
        <v>0</v>
      </c>
    </row>
    <row r="7" spans="1:17" x14ac:dyDescent="0.35">
      <c r="A7" s="68" t="s">
        <v>126</v>
      </c>
      <c r="B7" s="68" t="s">
        <v>26</v>
      </c>
      <c r="C7" s="72">
        <v>3</v>
      </c>
      <c r="D7" s="73" t="s">
        <v>42</v>
      </c>
      <c r="F7" s="78">
        <v>11.9</v>
      </c>
      <c r="G7" s="79">
        <f t="shared" si="0"/>
        <v>3.6271198839321639</v>
      </c>
      <c r="H7" s="83">
        <v>63.77</v>
      </c>
      <c r="I7">
        <v>1</v>
      </c>
      <c r="J7" s="64"/>
      <c r="K7" s="68">
        <v>30</v>
      </c>
      <c r="L7" s="72" t="s">
        <v>20</v>
      </c>
      <c r="M7" t="s">
        <v>22</v>
      </c>
      <c r="N7" t="s">
        <v>19</v>
      </c>
      <c r="O7" s="64">
        <v>1.83</v>
      </c>
      <c r="P7" s="73">
        <v>0</v>
      </c>
    </row>
    <row r="8" spans="1:17" x14ac:dyDescent="0.35">
      <c r="A8" s="68" t="s">
        <v>126</v>
      </c>
      <c r="B8" s="68" t="s">
        <v>26</v>
      </c>
      <c r="C8" s="72">
        <v>4</v>
      </c>
      <c r="D8" s="73" t="s">
        <v>42</v>
      </c>
      <c r="F8" s="78">
        <v>8.6</v>
      </c>
      <c r="G8" s="79">
        <f t="shared" si="0"/>
        <v>2.6212799161190428</v>
      </c>
      <c r="H8" s="83">
        <v>39.049999999999997</v>
      </c>
      <c r="I8">
        <v>1</v>
      </c>
      <c r="J8" s="64"/>
      <c r="K8" s="68"/>
      <c r="L8" s="72" t="s">
        <v>20</v>
      </c>
      <c r="M8" t="s">
        <v>22</v>
      </c>
      <c r="N8" t="s">
        <v>19</v>
      </c>
      <c r="O8" s="64">
        <v>1.86</v>
      </c>
      <c r="P8" s="73">
        <v>0</v>
      </c>
    </row>
    <row r="9" spans="1:17" x14ac:dyDescent="0.35">
      <c r="A9" s="68" t="s">
        <v>126</v>
      </c>
      <c r="B9" s="68" t="s">
        <v>26</v>
      </c>
      <c r="C9" s="72">
        <v>5</v>
      </c>
      <c r="D9" s="73" t="s">
        <v>42</v>
      </c>
      <c r="F9" s="78">
        <v>12.8</v>
      </c>
      <c r="G9" s="79">
        <f t="shared" si="0"/>
        <v>3.9014398751539243</v>
      </c>
      <c r="H9" s="83">
        <v>73.39</v>
      </c>
      <c r="I9">
        <v>1</v>
      </c>
      <c r="J9" s="64"/>
      <c r="K9" s="68"/>
      <c r="L9" s="72" t="s">
        <v>19</v>
      </c>
      <c r="N9" t="s">
        <v>19</v>
      </c>
      <c r="O9" s="64"/>
      <c r="P9" s="73"/>
    </row>
    <row r="10" spans="1:17" x14ac:dyDescent="0.35">
      <c r="A10" s="68" t="s">
        <v>126</v>
      </c>
      <c r="B10" s="68" t="s">
        <v>26</v>
      </c>
      <c r="C10" s="72">
        <v>6</v>
      </c>
      <c r="D10" s="73" t="s">
        <v>42</v>
      </c>
      <c r="F10" s="78">
        <v>9</v>
      </c>
      <c r="G10" s="79">
        <f t="shared" si="0"/>
        <v>2.743199912217603</v>
      </c>
      <c r="H10" s="83">
        <v>34.42</v>
      </c>
      <c r="I10">
        <v>1</v>
      </c>
      <c r="J10" s="64"/>
      <c r="K10" s="68">
        <v>293</v>
      </c>
      <c r="L10" s="72" t="s">
        <v>20</v>
      </c>
      <c r="M10" t="s">
        <v>21</v>
      </c>
      <c r="N10" t="s">
        <v>19</v>
      </c>
      <c r="O10" s="64">
        <v>0.74</v>
      </c>
      <c r="P10" s="73">
        <v>63</v>
      </c>
    </row>
    <row r="11" spans="1:17" x14ac:dyDescent="0.35">
      <c r="A11" s="68" t="s">
        <v>126</v>
      </c>
      <c r="B11" s="68" t="s">
        <v>26</v>
      </c>
      <c r="C11" s="72">
        <v>6</v>
      </c>
      <c r="D11" s="73"/>
      <c r="F11" s="78"/>
      <c r="G11" s="79" t="str">
        <f t="shared" si="0"/>
        <v xml:space="preserve"> </v>
      </c>
      <c r="H11" s="83"/>
      <c r="J11" s="64"/>
      <c r="K11" s="68"/>
      <c r="L11" s="72" t="s">
        <v>20</v>
      </c>
      <c r="M11" t="s">
        <v>30</v>
      </c>
      <c r="N11" t="s">
        <v>19</v>
      </c>
      <c r="O11" s="64">
        <v>0.7</v>
      </c>
      <c r="P11" s="73">
        <v>0</v>
      </c>
    </row>
    <row r="12" spans="1:17" x14ac:dyDescent="0.35">
      <c r="A12" s="68" t="s">
        <v>126</v>
      </c>
      <c r="B12" s="68" t="s">
        <v>26</v>
      </c>
      <c r="C12" s="72">
        <v>6</v>
      </c>
      <c r="D12" s="73"/>
      <c r="F12" s="78"/>
      <c r="G12" s="79" t="str">
        <f t="shared" si="0"/>
        <v xml:space="preserve"> </v>
      </c>
      <c r="H12" s="83"/>
      <c r="J12" s="64"/>
      <c r="K12" s="68"/>
      <c r="L12" s="72" t="s">
        <v>20</v>
      </c>
      <c r="M12" t="s">
        <v>30</v>
      </c>
      <c r="N12" t="s">
        <v>19</v>
      </c>
      <c r="O12" s="64">
        <v>0.95</v>
      </c>
      <c r="P12" s="73">
        <v>0</v>
      </c>
    </row>
    <row r="13" spans="1:17" x14ac:dyDescent="0.35">
      <c r="A13" s="68" t="s">
        <v>126</v>
      </c>
      <c r="B13" s="68" t="s">
        <v>26</v>
      </c>
      <c r="C13" s="72">
        <v>7</v>
      </c>
      <c r="D13" s="73" t="s">
        <v>42</v>
      </c>
      <c r="F13" s="78">
        <v>8.1</v>
      </c>
      <c r="G13" s="79">
        <f t="shared" si="0"/>
        <v>2.4688799209958425</v>
      </c>
      <c r="H13" s="83">
        <v>29.87</v>
      </c>
      <c r="I13">
        <v>4</v>
      </c>
      <c r="J13" s="64">
        <v>0.82</v>
      </c>
      <c r="K13" s="68"/>
      <c r="L13" s="72" t="s">
        <v>20</v>
      </c>
      <c r="M13" t="s">
        <v>30</v>
      </c>
      <c r="N13" t="s">
        <v>19</v>
      </c>
      <c r="O13" s="64">
        <v>0.9</v>
      </c>
      <c r="P13" s="73">
        <v>0</v>
      </c>
    </row>
    <row r="14" spans="1:17" x14ac:dyDescent="0.35">
      <c r="A14" s="68" t="s">
        <v>126</v>
      </c>
      <c r="B14" s="68" t="s">
        <v>26</v>
      </c>
      <c r="C14" s="72">
        <v>7</v>
      </c>
      <c r="D14" s="73"/>
      <c r="F14" s="78"/>
      <c r="G14" s="79" t="str">
        <f t="shared" si="0"/>
        <v xml:space="preserve"> </v>
      </c>
      <c r="H14" s="83"/>
      <c r="J14" s="64">
        <v>1.1599999999999999</v>
      </c>
      <c r="K14" s="68"/>
      <c r="L14" s="72"/>
      <c r="O14" s="64"/>
      <c r="P14" s="73"/>
    </row>
    <row r="15" spans="1:17" x14ac:dyDescent="0.35">
      <c r="A15" s="68" t="s">
        <v>126</v>
      </c>
      <c r="B15" s="68" t="s">
        <v>26</v>
      </c>
      <c r="C15" s="72">
        <v>7</v>
      </c>
      <c r="D15" s="73"/>
      <c r="F15" s="78"/>
      <c r="G15" s="79" t="str">
        <f t="shared" si="0"/>
        <v xml:space="preserve"> </v>
      </c>
      <c r="H15" s="83"/>
      <c r="J15" s="64">
        <v>1.25</v>
      </c>
      <c r="K15" s="68"/>
      <c r="L15" s="72"/>
      <c r="O15" s="64"/>
      <c r="P15" s="73"/>
    </row>
    <row r="16" spans="1:17" x14ac:dyDescent="0.35">
      <c r="A16" s="68" t="s">
        <v>126</v>
      </c>
      <c r="B16" s="68" t="s">
        <v>26</v>
      </c>
      <c r="C16" s="72">
        <v>8</v>
      </c>
      <c r="D16" s="73" t="s">
        <v>42</v>
      </c>
      <c r="F16" s="78">
        <v>10.3</v>
      </c>
      <c r="G16" s="79">
        <f t="shared" si="0"/>
        <v>3.1394398995379236</v>
      </c>
      <c r="H16" s="83">
        <v>40.17</v>
      </c>
      <c r="I16">
        <v>2</v>
      </c>
      <c r="J16" s="64">
        <v>0.7</v>
      </c>
      <c r="K16" s="68"/>
      <c r="L16" s="72" t="s">
        <v>20</v>
      </c>
      <c r="M16" t="s">
        <v>30</v>
      </c>
      <c r="N16" t="s">
        <v>19</v>
      </c>
      <c r="O16" s="64">
        <v>0.68</v>
      </c>
      <c r="P16" s="73">
        <v>0</v>
      </c>
    </row>
    <row r="17" spans="1:17" x14ac:dyDescent="0.35">
      <c r="A17" s="68" t="s">
        <v>126</v>
      </c>
      <c r="B17" s="68" t="s">
        <v>26</v>
      </c>
      <c r="C17" s="72">
        <v>8</v>
      </c>
      <c r="D17" s="73"/>
      <c r="F17" s="78"/>
      <c r="G17" s="79" t="str">
        <f t="shared" si="0"/>
        <v xml:space="preserve"> </v>
      </c>
      <c r="H17" s="83"/>
      <c r="J17" s="64"/>
      <c r="K17" s="68"/>
      <c r="L17" s="72" t="s">
        <v>20</v>
      </c>
      <c r="M17" t="s">
        <v>30</v>
      </c>
      <c r="N17" t="s">
        <v>19</v>
      </c>
      <c r="O17" s="64">
        <v>0.91</v>
      </c>
      <c r="P17" s="73">
        <v>0</v>
      </c>
    </row>
    <row r="18" spans="1:17" x14ac:dyDescent="0.35">
      <c r="A18" s="68" t="s">
        <v>126</v>
      </c>
      <c r="B18" s="68" t="s">
        <v>26</v>
      </c>
      <c r="C18" s="72">
        <v>8</v>
      </c>
      <c r="D18" s="73"/>
      <c r="F18" s="78"/>
      <c r="G18" s="79" t="str">
        <f t="shared" si="0"/>
        <v xml:space="preserve"> </v>
      </c>
      <c r="H18" s="83"/>
      <c r="J18" s="64"/>
      <c r="K18" s="68"/>
      <c r="L18" s="72" t="s">
        <v>20</v>
      </c>
      <c r="M18" t="s">
        <v>21</v>
      </c>
      <c r="N18" t="s">
        <v>19</v>
      </c>
      <c r="O18" s="64">
        <v>0.68</v>
      </c>
      <c r="P18" s="73">
        <v>64</v>
      </c>
    </row>
    <row r="19" spans="1:17" x14ac:dyDescent="0.35">
      <c r="A19" s="68" t="s">
        <v>126</v>
      </c>
      <c r="B19" s="68" t="s">
        <v>26</v>
      </c>
      <c r="C19" s="72">
        <v>9</v>
      </c>
      <c r="D19" s="73" t="s">
        <v>42</v>
      </c>
      <c r="F19" s="78">
        <v>9.1</v>
      </c>
      <c r="G19" s="79">
        <f t="shared" si="0"/>
        <v>2.7736799112422426</v>
      </c>
      <c r="H19" s="83">
        <v>37.86</v>
      </c>
      <c r="I19">
        <v>1</v>
      </c>
      <c r="J19" s="64"/>
      <c r="K19" s="68"/>
      <c r="L19" s="72" t="s">
        <v>20</v>
      </c>
      <c r="M19" t="s">
        <v>30</v>
      </c>
      <c r="N19" t="s">
        <v>19</v>
      </c>
      <c r="O19" s="64">
        <v>0.53</v>
      </c>
      <c r="P19" s="73">
        <v>0</v>
      </c>
    </row>
    <row r="20" spans="1:17" x14ac:dyDescent="0.35">
      <c r="A20" s="68" t="s">
        <v>126</v>
      </c>
      <c r="B20" s="68" t="s">
        <v>26</v>
      </c>
      <c r="C20" s="72">
        <v>9</v>
      </c>
      <c r="D20" s="73"/>
      <c r="F20" s="78"/>
      <c r="G20" s="79" t="str">
        <f t="shared" si="0"/>
        <v xml:space="preserve"> </v>
      </c>
      <c r="H20" s="83"/>
      <c r="J20" s="64"/>
      <c r="K20" s="68"/>
      <c r="L20" s="72" t="s">
        <v>20</v>
      </c>
      <c r="M20" t="s">
        <v>30</v>
      </c>
      <c r="N20" t="s">
        <v>19</v>
      </c>
      <c r="O20" s="64">
        <v>0.67</v>
      </c>
      <c r="P20" s="73">
        <v>0</v>
      </c>
    </row>
    <row r="21" spans="1:17" x14ac:dyDescent="0.35">
      <c r="A21" s="68" t="s">
        <v>126</v>
      </c>
      <c r="B21" s="68" t="s">
        <v>26</v>
      </c>
      <c r="C21" s="72">
        <v>10</v>
      </c>
      <c r="D21" s="73" t="s">
        <v>42</v>
      </c>
      <c r="F21" s="78">
        <v>6</v>
      </c>
      <c r="G21" s="79">
        <f t="shared" si="0"/>
        <v>1.828799941478402</v>
      </c>
      <c r="H21" s="83">
        <v>10.039999999999999</v>
      </c>
      <c r="I21">
        <v>1</v>
      </c>
      <c r="J21" s="64"/>
      <c r="K21" s="68"/>
      <c r="L21" s="72" t="s">
        <v>20</v>
      </c>
      <c r="M21" t="s">
        <v>22</v>
      </c>
      <c r="N21" t="s">
        <v>19</v>
      </c>
      <c r="O21" s="64">
        <v>0.98</v>
      </c>
      <c r="P21" s="73">
        <v>0</v>
      </c>
    </row>
    <row r="22" spans="1:17" x14ac:dyDescent="0.35">
      <c r="A22" s="68" t="s">
        <v>126</v>
      </c>
      <c r="B22" s="68" t="s">
        <v>26</v>
      </c>
      <c r="C22" s="72">
        <v>10</v>
      </c>
      <c r="D22" s="73"/>
      <c r="F22" s="78"/>
      <c r="G22" s="79" t="str">
        <f t="shared" si="0"/>
        <v xml:space="preserve"> </v>
      </c>
      <c r="H22" s="83"/>
      <c r="J22" s="64"/>
      <c r="K22" s="68"/>
      <c r="L22" s="72" t="s">
        <v>20</v>
      </c>
      <c r="M22" t="s">
        <v>22</v>
      </c>
      <c r="N22" t="s">
        <v>19</v>
      </c>
      <c r="O22" s="64">
        <v>0.81</v>
      </c>
      <c r="P22" s="73">
        <v>0</v>
      </c>
    </row>
    <row r="23" spans="1:17" x14ac:dyDescent="0.35">
      <c r="A23" s="68" t="s">
        <v>126</v>
      </c>
      <c r="B23" s="68" t="s">
        <v>26</v>
      </c>
      <c r="C23" s="72">
        <v>10</v>
      </c>
      <c r="D23" s="73"/>
      <c r="F23" s="78"/>
      <c r="G23" s="79" t="str">
        <f t="shared" si="0"/>
        <v xml:space="preserve"> </v>
      </c>
      <c r="H23" s="83"/>
      <c r="J23" s="64"/>
      <c r="K23" s="68"/>
      <c r="L23" s="72" t="s">
        <v>20</v>
      </c>
      <c r="M23" t="s">
        <v>22</v>
      </c>
      <c r="N23" t="s">
        <v>19</v>
      </c>
      <c r="O23" s="64">
        <v>0.63</v>
      </c>
      <c r="P23" s="73">
        <v>0</v>
      </c>
    </row>
    <row r="24" spans="1:17" x14ac:dyDescent="0.35">
      <c r="A24" s="68" t="s">
        <v>126</v>
      </c>
      <c r="B24" s="68" t="s">
        <v>26</v>
      </c>
      <c r="C24" s="72">
        <v>10</v>
      </c>
      <c r="D24" s="73"/>
      <c r="F24" s="78"/>
      <c r="G24" s="79" t="str">
        <f t="shared" si="0"/>
        <v xml:space="preserve"> </v>
      </c>
      <c r="H24" s="83"/>
      <c r="J24" s="64"/>
      <c r="K24" s="68"/>
      <c r="L24" s="72" t="s">
        <v>20</v>
      </c>
      <c r="M24" t="s">
        <v>30</v>
      </c>
      <c r="N24" t="s">
        <v>19</v>
      </c>
      <c r="O24" s="64">
        <v>0.64</v>
      </c>
      <c r="P24" s="73">
        <v>0</v>
      </c>
    </row>
    <row r="25" spans="1:17" x14ac:dyDescent="0.35">
      <c r="A25" s="68" t="s">
        <v>126</v>
      </c>
      <c r="B25" s="68" t="s">
        <v>26</v>
      </c>
      <c r="C25" s="72">
        <v>10</v>
      </c>
      <c r="D25" s="73"/>
      <c r="F25" s="78"/>
      <c r="G25" s="79" t="str">
        <f t="shared" si="0"/>
        <v xml:space="preserve"> </v>
      </c>
      <c r="H25" s="83"/>
      <c r="J25" s="64"/>
      <c r="K25" s="68"/>
      <c r="L25" s="72" t="s">
        <v>20</v>
      </c>
      <c r="M25" t="s">
        <v>30</v>
      </c>
      <c r="N25" t="s">
        <v>19</v>
      </c>
      <c r="O25" s="64">
        <v>0.5</v>
      </c>
      <c r="P25" s="73">
        <v>0</v>
      </c>
    </row>
    <row r="26" spans="1:17" x14ac:dyDescent="0.35">
      <c r="A26" s="68" t="s">
        <v>126</v>
      </c>
      <c r="B26" s="68" t="s">
        <v>26</v>
      </c>
      <c r="C26" s="72">
        <v>10</v>
      </c>
      <c r="D26" s="73"/>
      <c r="F26" s="78"/>
      <c r="G26" s="79" t="str">
        <f t="shared" si="0"/>
        <v xml:space="preserve"> </v>
      </c>
      <c r="H26" s="83"/>
      <c r="J26" s="64"/>
      <c r="K26" s="68"/>
      <c r="L26" s="72" t="s">
        <v>20</v>
      </c>
      <c r="M26" t="s">
        <v>21</v>
      </c>
      <c r="N26" t="s">
        <v>19</v>
      </c>
      <c r="O26" s="64">
        <v>7.0000000000000007E-2</v>
      </c>
      <c r="P26" s="73">
        <v>225</v>
      </c>
    </row>
    <row r="27" spans="1:17" x14ac:dyDescent="0.35">
      <c r="A27" s="68" t="s">
        <v>126</v>
      </c>
      <c r="B27" s="68" t="s">
        <v>26</v>
      </c>
      <c r="C27" s="72">
        <v>11</v>
      </c>
      <c r="D27" s="73" t="s">
        <v>42</v>
      </c>
      <c r="F27" s="78">
        <v>0.76</v>
      </c>
      <c r="G27" s="79">
        <f t="shared" si="0"/>
        <v>0.76</v>
      </c>
      <c r="H27" s="83">
        <v>9.94</v>
      </c>
      <c r="I27">
        <v>2</v>
      </c>
      <c r="J27" s="64">
        <v>0.06</v>
      </c>
      <c r="K27" s="68"/>
      <c r="L27" s="72" t="s">
        <v>19</v>
      </c>
      <c r="N27" t="s">
        <v>19</v>
      </c>
      <c r="O27" s="64"/>
      <c r="P27" s="73"/>
      <c r="Q27" t="s">
        <v>129</v>
      </c>
    </row>
    <row r="28" spans="1:17" x14ac:dyDescent="0.35">
      <c r="A28" s="68" t="s">
        <v>126</v>
      </c>
      <c r="B28" s="68" t="s">
        <v>26</v>
      </c>
      <c r="C28" s="72">
        <v>12</v>
      </c>
      <c r="D28" s="73" t="s">
        <v>42</v>
      </c>
      <c r="F28" s="78">
        <v>8.6</v>
      </c>
      <c r="G28" s="79">
        <f t="shared" si="0"/>
        <v>2.6212799161190428</v>
      </c>
      <c r="H28" s="83">
        <v>35.909999999999997</v>
      </c>
      <c r="I28">
        <v>1</v>
      </c>
      <c r="J28" s="64"/>
      <c r="K28" s="68"/>
      <c r="L28" s="72" t="s">
        <v>20</v>
      </c>
      <c r="M28" t="s">
        <v>65</v>
      </c>
      <c r="N28" t="s">
        <v>20</v>
      </c>
      <c r="O28" s="64">
        <v>0.56000000000000005</v>
      </c>
      <c r="P28" s="73">
        <v>168</v>
      </c>
      <c r="Q28" t="s">
        <v>130</v>
      </c>
    </row>
    <row r="29" spans="1:17" x14ac:dyDescent="0.35">
      <c r="A29" s="68" t="s">
        <v>126</v>
      </c>
      <c r="B29" s="68" t="s">
        <v>26</v>
      </c>
      <c r="C29" s="72">
        <v>12</v>
      </c>
      <c r="D29" s="73"/>
      <c r="F29" s="78"/>
      <c r="G29" s="79" t="str">
        <f t="shared" si="0"/>
        <v xml:space="preserve"> </v>
      </c>
      <c r="H29" s="83"/>
      <c r="J29" s="64"/>
      <c r="K29" s="68"/>
      <c r="L29" s="72" t="s">
        <v>20</v>
      </c>
      <c r="M29" t="s">
        <v>30</v>
      </c>
      <c r="N29" t="s">
        <v>19</v>
      </c>
      <c r="O29" s="64">
        <v>0.63</v>
      </c>
      <c r="P29" s="73">
        <v>0</v>
      </c>
    </row>
    <row r="30" spans="1:17" x14ac:dyDescent="0.35">
      <c r="A30" s="68" t="s">
        <v>126</v>
      </c>
      <c r="B30" s="68" t="s">
        <v>26</v>
      </c>
      <c r="C30" s="72">
        <v>12</v>
      </c>
      <c r="D30" s="73"/>
      <c r="F30" s="78"/>
      <c r="G30" s="79" t="str">
        <f t="shared" si="0"/>
        <v xml:space="preserve"> </v>
      </c>
      <c r="H30" s="83"/>
      <c r="J30" s="64"/>
      <c r="K30" s="68"/>
      <c r="L30" s="72" t="s">
        <v>20</v>
      </c>
      <c r="M30" t="s">
        <v>22</v>
      </c>
      <c r="N30" t="s">
        <v>19</v>
      </c>
      <c r="O30" s="64">
        <v>0.63</v>
      </c>
      <c r="P30" s="73">
        <v>0</v>
      </c>
    </row>
    <row r="31" spans="1:17" x14ac:dyDescent="0.35">
      <c r="A31" s="68" t="s">
        <v>126</v>
      </c>
      <c r="B31" s="68" t="s">
        <v>26</v>
      </c>
      <c r="C31" s="72">
        <v>13</v>
      </c>
      <c r="D31" s="73" t="s">
        <v>42</v>
      </c>
      <c r="F31" s="78">
        <v>8.8000000000000007</v>
      </c>
      <c r="G31" s="79">
        <f t="shared" si="0"/>
        <v>2.6822399141683229</v>
      </c>
      <c r="H31" s="83">
        <v>33.72</v>
      </c>
      <c r="I31">
        <v>2</v>
      </c>
      <c r="J31" s="64">
        <v>0.54</v>
      </c>
      <c r="K31" s="68">
        <v>81</v>
      </c>
      <c r="L31" s="72" t="s">
        <v>20</v>
      </c>
      <c r="M31" t="s">
        <v>30</v>
      </c>
      <c r="N31" t="s">
        <v>19</v>
      </c>
      <c r="O31" s="64">
        <v>0.54</v>
      </c>
      <c r="P31" s="73">
        <v>0</v>
      </c>
    </row>
    <row r="32" spans="1:17" x14ac:dyDescent="0.35">
      <c r="A32" s="68" t="s">
        <v>126</v>
      </c>
      <c r="B32" s="68" t="s">
        <v>26</v>
      </c>
      <c r="C32" s="72">
        <v>13</v>
      </c>
      <c r="D32" s="73"/>
      <c r="F32" s="78"/>
      <c r="G32" s="79" t="str">
        <f t="shared" si="0"/>
        <v xml:space="preserve"> </v>
      </c>
      <c r="H32" s="83"/>
      <c r="J32" s="64"/>
      <c r="K32" s="68"/>
      <c r="L32" s="72" t="s">
        <v>20</v>
      </c>
      <c r="M32" t="s">
        <v>22</v>
      </c>
      <c r="N32" t="s">
        <v>19</v>
      </c>
      <c r="O32" s="64">
        <v>1.23</v>
      </c>
      <c r="P32" s="73">
        <v>0</v>
      </c>
    </row>
    <row r="33" spans="1:17" x14ac:dyDescent="0.35">
      <c r="A33" s="68" t="s">
        <v>126</v>
      </c>
      <c r="B33" s="68" t="s">
        <v>26</v>
      </c>
      <c r="C33" s="72">
        <v>14</v>
      </c>
      <c r="D33" s="73" t="s">
        <v>42</v>
      </c>
      <c r="F33" s="78">
        <v>10</v>
      </c>
      <c r="G33" s="79">
        <f t="shared" si="0"/>
        <v>3.047999902464003</v>
      </c>
      <c r="H33" s="83">
        <v>40.68</v>
      </c>
      <c r="I33">
        <v>1</v>
      </c>
      <c r="J33" s="64"/>
      <c r="K33" s="68"/>
      <c r="L33" s="72" t="s">
        <v>20</v>
      </c>
      <c r="M33" t="s">
        <v>30</v>
      </c>
      <c r="N33" t="s">
        <v>19</v>
      </c>
      <c r="O33" s="64">
        <v>0.75</v>
      </c>
      <c r="P33" s="73">
        <v>0</v>
      </c>
    </row>
    <row r="34" spans="1:17" x14ac:dyDescent="0.35">
      <c r="A34" s="68" t="s">
        <v>126</v>
      </c>
      <c r="B34" s="68" t="s">
        <v>26</v>
      </c>
      <c r="C34" s="72">
        <v>14</v>
      </c>
      <c r="D34" s="73"/>
      <c r="F34" s="78"/>
      <c r="G34" s="79" t="str">
        <f t="shared" si="0"/>
        <v xml:space="preserve"> </v>
      </c>
      <c r="H34" s="83"/>
      <c r="J34" s="64"/>
      <c r="K34" s="68"/>
      <c r="L34" s="72" t="s">
        <v>20</v>
      </c>
      <c r="M34" t="s">
        <v>21</v>
      </c>
      <c r="N34" t="s">
        <v>19</v>
      </c>
      <c r="O34" s="64">
        <v>0.7</v>
      </c>
      <c r="P34" s="73">
        <v>20</v>
      </c>
    </row>
    <row r="35" spans="1:17" x14ac:dyDescent="0.35">
      <c r="A35" s="68" t="s">
        <v>126</v>
      </c>
      <c r="B35" s="68" t="s">
        <v>61</v>
      </c>
      <c r="C35" s="72">
        <v>15</v>
      </c>
      <c r="D35" s="73" t="s">
        <v>42</v>
      </c>
      <c r="F35" s="78">
        <v>8.5</v>
      </c>
      <c r="G35" s="79">
        <f t="shared" si="0"/>
        <v>2.5907999170944027</v>
      </c>
      <c r="H35" s="83">
        <v>38.25</v>
      </c>
      <c r="I35">
        <v>2</v>
      </c>
      <c r="J35" s="64">
        <v>0.38</v>
      </c>
      <c r="K35" s="68"/>
      <c r="L35" s="72" t="s">
        <v>20</v>
      </c>
      <c r="M35" t="s">
        <v>21</v>
      </c>
      <c r="N35" t="s">
        <v>19</v>
      </c>
      <c r="O35" s="64">
        <v>1.06</v>
      </c>
      <c r="P35" s="73">
        <v>35</v>
      </c>
    </row>
    <row r="36" spans="1:17" x14ac:dyDescent="0.35">
      <c r="A36" s="68" t="s">
        <v>126</v>
      </c>
      <c r="B36" s="68" t="s">
        <v>61</v>
      </c>
      <c r="C36" s="72">
        <v>16</v>
      </c>
      <c r="D36" s="73" t="s">
        <v>42</v>
      </c>
      <c r="F36" s="78">
        <v>9.1</v>
      </c>
      <c r="G36" s="79">
        <f t="shared" si="0"/>
        <v>2.7736799112422426</v>
      </c>
      <c r="H36" s="83">
        <v>42.33</v>
      </c>
      <c r="I36">
        <v>1</v>
      </c>
      <c r="J36" s="64"/>
      <c r="K36" s="68">
        <v>55</v>
      </c>
      <c r="L36" s="72" t="s">
        <v>20</v>
      </c>
      <c r="M36" t="s">
        <v>21</v>
      </c>
      <c r="N36" t="s">
        <v>19</v>
      </c>
      <c r="O36" s="64">
        <v>1.29</v>
      </c>
      <c r="P36" s="73">
        <v>60</v>
      </c>
    </row>
    <row r="37" spans="1:17" x14ac:dyDescent="0.35">
      <c r="A37" s="68" t="s">
        <v>126</v>
      </c>
      <c r="B37" s="68" t="s">
        <v>61</v>
      </c>
      <c r="C37" s="72">
        <v>17</v>
      </c>
      <c r="D37" s="73" t="s">
        <v>42</v>
      </c>
      <c r="F37" s="78">
        <v>14.7</v>
      </c>
      <c r="G37" s="79">
        <f t="shared" si="0"/>
        <v>4.4805598566220848</v>
      </c>
      <c r="H37" s="83">
        <v>93.76</v>
      </c>
      <c r="I37">
        <v>1</v>
      </c>
      <c r="J37" s="64"/>
      <c r="K37" s="68">
        <v>50</v>
      </c>
      <c r="L37" s="72" t="s">
        <v>19</v>
      </c>
      <c r="N37" t="s">
        <v>19</v>
      </c>
      <c r="O37" s="64"/>
      <c r="P37" s="73"/>
    </row>
    <row r="38" spans="1:17" x14ac:dyDescent="0.35">
      <c r="A38" s="68" t="s">
        <v>126</v>
      </c>
      <c r="B38" s="68" t="s">
        <v>61</v>
      </c>
      <c r="C38" s="72">
        <v>18</v>
      </c>
      <c r="D38" s="73" t="s">
        <v>42</v>
      </c>
      <c r="F38" s="78">
        <v>7.3</v>
      </c>
      <c r="G38" s="79">
        <f t="shared" si="0"/>
        <v>2.2250399287987221</v>
      </c>
      <c r="H38" s="83">
        <v>24.37</v>
      </c>
      <c r="I38">
        <v>3</v>
      </c>
      <c r="J38" s="64">
        <v>0.27</v>
      </c>
      <c r="K38" s="68"/>
      <c r="L38" s="72" t="s">
        <v>20</v>
      </c>
      <c r="M38" t="s">
        <v>22</v>
      </c>
      <c r="N38" t="s">
        <v>19</v>
      </c>
      <c r="O38" s="64">
        <v>0.22</v>
      </c>
      <c r="P38" s="73">
        <v>0</v>
      </c>
    </row>
    <row r="39" spans="1:17" x14ac:dyDescent="0.35">
      <c r="A39" s="68" t="s">
        <v>126</v>
      </c>
      <c r="B39" s="68" t="s">
        <v>61</v>
      </c>
      <c r="C39" s="72">
        <v>18</v>
      </c>
      <c r="D39" s="73"/>
      <c r="F39" s="78"/>
      <c r="G39" s="79" t="str">
        <f t="shared" si="0"/>
        <v xml:space="preserve"> </v>
      </c>
      <c r="H39" s="83"/>
      <c r="J39" s="64">
        <v>0.16</v>
      </c>
      <c r="K39" s="68"/>
      <c r="L39" s="72" t="s">
        <v>20</v>
      </c>
      <c r="M39" t="s">
        <v>21</v>
      </c>
      <c r="N39" t="s">
        <v>19</v>
      </c>
      <c r="O39" s="64">
        <v>0</v>
      </c>
      <c r="P39" s="73">
        <v>170</v>
      </c>
    </row>
    <row r="40" spans="1:17" x14ac:dyDescent="0.35">
      <c r="A40" s="68" t="s">
        <v>126</v>
      </c>
      <c r="B40" s="68" t="s">
        <v>61</v>
      </c>
      <c r="C40" s="72">
        <v>19</v>
      </c>
      <c r="D40" s="73" t="s">
        <v>42</v>
      </c>
      <c r="F40" s="78">
        <v>12.5</v>
      </c>
      <c r="G40" s="79">
        <f t="shared" si="0"/>
        <v>3.8099998780800037</v>
      </c>
      <c r="H40" s="83">
        <v>61.8</v>
      </c>
      <c r="I40">
        <v>1</v>
      </c>
      <c r="J40" s="64"/>
      <c r="K40" s="68">
        <v>80</v>
      </c>
      <c r="L40" s="72" t="s">
        <v>19</v>
      </c>
      <c r="N40" t="s">
        <v>19</v>
      </c>
      <c r="O40" s="64"/>
      <c r="P40" s="73"/>
    </row>
    <row r="41" spans="1:17" x14ac:dyDescent="0.35">
      <c r="A41" s="68" t="s">
        <v>126</v>
      </c>
      <c r="B41" s="68" t="s">
        <v>61</v>
      </c>
      <c r="C41" s="72">
        <v>20</v>
      </c>
      <c r="D41" s="73" t="s">
        <v>42</v>
      </c>
      <c r="F41" s="78">
        <v>9.8000000000000007</v>
      </c>
      <c r="G41" s="79">
        <f t="shared" si="0"/>
        <v>2.9870399044147233</v>
      </c>
      <c r="H41" s="83">
        <v>42.4</v>
      </c>
      <c r="I41">
        <v>1</v>
      </c>
      <c r="J41" s="64"/>
      <c r="K41" s="68"/>
      <c r="L41" s="72" t="s">
        <v>20</v>
      </c>
      <c r="M41" t="s">
        <v>66</v>
      </c>
      <c r="N41" t="s">
        <v>19</v>
      </c>
      <c r="O41" s="64">
        <v>0</v>
      </c>
      <c r="P41" s="73">
        <v>213</v>
      </c>
    </row>
    <row r="42" spans="1:17" x14ac:dyDescent="0.35">
      <c r="A42" s="68" t="s">
        <v>126</v>
      </c>
      <c r="B42" s="68" t="s">
        <v>61</v>
      </c>
      <c r="C42" s="72">
        <v>21</v>
      </c>
      <c r="D42" s="73" t="s">
        <v>42</v>
      </c>
      <c r="F42" s="78">
        <v>5.7</v>
      </c>
      <c r="G42" s="79">
        <f t="shared" si="0"/>
        <v>1.7373599444044818</v>
      </c>
      <c r="H42" s="83">
        <v>12.07</v>
      </c>
      <c r="I42">
        <v>1</v>
      </c>
      <c r="J42" s="64"/>
      <c r="K42" s="68"/>
      <c r="L42" s="72" t="s">
        <v>19</v>
      </c>
      <c r="N42" t="s">
        <v>19</v>
      </c>
      <c r="O42" s="64"/>
      <c r="P42" s="73"/>
    </row>
    <row r="43" spans="1:17" x14ac:dyDescent="0.35">
      <c r="A43" s="68" t="s">
        <v>126</v>
      </c>
      <c r="B43" s="68" t="s">
        <v>61</v>
      </c>
      <c r="C43" s="72">
        <v>22</v>
      </c>
      <c r="D43" s="73" t="s">
        <v>42</v>
      </c>
      <c r="F43" s="78">
        <v>6.9</v>
      </c>
      <c r="G43" s="79">
        <f t="shared" si="0"/>
        <v>2.1031199327001624</v>
      </c>
      <c r="H43" s="83">
        <v>22.18</v>
      </c>
      <c r="I43">
        <v>2</v>
      </c>
      <c r="J43" s="64">
        <v>1.25</v>
      </c>
      <c r="K43" s="68"/>
      <c r="L43" s="72" t="s">
        <v>20</v>
      </c>
      <c r="M43" t="s">
        <v>22</v>
      </c>
      <c r="N43" t="s">
        <v>19</v>
      </c>
      <c r="O43" s="64">
        <v>0.94</v>
      </c>
      <c r="P43" s="73">
        <v>21</v>
      </c>
    </row>
    <row r="44" spans="1:17" x14ac:dyDescent="0.35">
      <c r="A44" s="68" t="s">
        <v>126</v>
      </c>
      <c r="B44" s="68" t="s">
        <v>61</v>
      </c>
      <c r="C44" s="72">
        <v>22</v>
      </c>
      <c r="D44" s="73"/>
      <c r="F44" s="78"/>
      <c r="G44" s="79" t="str">
        <f t="shared" si="0"/>
        <v xml:space="preserve"> </v>
      </c>
      <c r="H44" s="83"/>
      <c r="J44" s="64"/>
      <c r="K44" s="68"/>
      <c r="L44" s="72" t="s">
        <v>20</v>
      </c>
      <c r="M44" t="s">
        <v>21</v>
      </c>
      <c r="N44" t="s">
        <v>19</v>
      </c>
      <c r="O44" s="64">
        <v>0.14000000000000001</v>
      </c>
      <c r="P44" s="73">
        <v>180</v>
      </c>
    </row>
    <row r="45" spans="1:17" x14ac:dyDescent="0.35">
      <c r="A45" s="68" t="s">
        <v>126</v>
      </c>
      <c r="B45" s="68" t="s">
        <v>60</v>
      </c>
      <c r="C45" s="72">
        <v>23</v>
      </c>
      <c r="D45" s="73" t="s">
        <v>40</v>
      </c>
      <c r="F45" s="78">
        <v>16.600000000000001</v>
      </c>
      <c r="G45" s="79">
        <f t="shared" si="0"/>
        <v>5.0596798380902452</v>
      </c>
      <c r="H45" s="83">
        <v>118.54</v>
      </c>
      <c r="J45" s="64"/>
      <c r="K45" s="68"/>
      <c r="L45" s="72"/>
      <c r="O45" s="64"/>
      <c r="P45" s="73"/>
      <c r="Q45" t="s">
        <v>131</v>
      </c>
    </row>
    <row r="46" spans="1:17" x14ac:dyDescent="0.35">
      <c r="A46" s="68" t="s">
        <v>126</v>
      </c>
      <c r="B46" s="68" t="s">
        <v>60</v>
      </c>
      <c r="C46" s="72">
        <v>24</v>
      </c>
      <c r="D46" s="73" t="s">
        <v>42</v>
      </c>
      <c r="F46" s="78">
        <v>11.3</v>
      </c>
      <c r="G46" s="79">
        <f t="shared" si="0"/>
        <v>3.4442398897843236</v>
      </c>
      <c r="H46" s="83">
        <v>36.770000000000003</v>
      </c>
      <c r="I46">
        <v>1</v>
      </c>
      <c r="J46" s="64"/>
      <c r="K46" s="68">
        <v>70</v>
      </c>
      <c r="L46" s="72" t="s">
        <v>19</v>
      </c>
      <c r="N46" t="s">
        <v>19</v>
      </c>
      <c r="O46" s="64"/>
      <c r="P46" s="73"/>
      <c r="Q46" t="s">
        <v>131</v>
      </c>
    </row>
    <row r="47" spans="1:17" x14ac:dyDescent="0.35">
      <c r="A47" s="68" t="s">
        <v>126</v>
      </c>
      <c r="B47" s="68" t="s">
        <v>60</v>
      </c>
      <c r="C47" s="72">
        <v>25</v>
      </c>
      <c r="D47" s="73" t="s">
        <v>40</v>
      </c>
      <c r="F47" s="78">
        <v>14</v>
      </c>
      <c r="G47" s="79">
        <f t="shared" si="0"/>
        <v>4.267199863449604</v>
      </c>
      <c r="H47" s="83">
        <v>66.67</v>
      </c>
      <c r="J47" s="64"/>
      <c r="K47" s="68"/>
      <c r="L47" s="72"/>
      <c r="O47" s="64"/>
      <c r="P47" s="73"/>
      <c r="Q47" t="s">
        <v>131</v>
      </c>
    </row>
    <row r="48" spans="1:17" x14ac:dyDescent="0.35">
      <c r="A48" s="68" t="s">
        <v>126</v>
      </c>
      <c r="B48" s="68" t="s">
        <v>60</v>
      </c>
      <c r="C48" s="72">
        <v>26</v>
      </c>
      <c r="D48" s="73" t="s">
        <v>40</v>
      </c>
      <c r="F48" s="78">
        <v>8.4</v>
      </c>
      <c r="G48" s="79">
        <f t="shared" si="0"/>
        <v>2.5603199180697627</v>
      </c>
      <c r="H48" s="83">
        <v>31.93</v>
      </c>
      <c r="J48" s="64"/>
      <c r="K48" s="68"/>
      <c r="L48" s="72"/>
      <c r="O48" s="64"/>
      <c r="P48" s="73"/>
      <c r="Q48" t="s">
        <v>131</v>
      </c>
    </row>
    <row r="49" spans="1:17" x14ac:dyDescent="0.35">
      <c r="A49" s="68" t="s">
        <v>126</v>
      </c>
      <c r="B49" s="68" t="s">
        <v>60</v>
      </c>
      <c r="C49" s="72">
        <v>27</v>
      </c>
      <c r="D49" s="73" t="s">
        <v>40</v>
      </c>
      <c r="F49" s="78">
        <v>16.2</v>
      </c>
      <c r="G49" s="79">
        <f t="shared" si="0"/>
        <v>4.9377598419916851</v>
      </c>
      <c r="H49" s="83">
        <v>64.61</v>
      </c>
      <c r="J49" s="64"/>
      <c r="K49" s="68"/>
      <c r="L49" s="72"/>
      <c r="O49" s="64"/>
      <c r="P49" s="73"/>
      <c r="Q49" t="s">
        <v>131</v>
      </c>
    </row>
    <row r="50" spans="1:17" x14ac:dyDescent="0.35">
      <c r="A50" s="68" t="s">
        <v>126</v>
      </c>
      <c r="B50" s="68" t="s">
        <v>60</v>
      </c>
      <c r="C50" s="72">
        <v>28</v>
      </c>
      <c r="D50" s="73" t="s">
        <v>40</v>
      </c>
      <c r="F50" s="78">
        <v>11.1</v>
      </c>
      <c r="G50" s="79">
        <f t="shared" si="0"/>
        <v>3.3832798917350435</v>
      </c>
      <c r="H50" s="83">
        <v>48.32</v>
      </c>
      <c r="J50" s="64"/>
      <c r="K50" s="68"/>
      <c r="L50" s="72"/>
      <c r="O50" s="64"/>
      <c r="P50" s="73"/>
      <c r="Q50" t="s">
        <v>131</v>
      </c>
    </row>
    <row r="51" spans="1:17" x14ac:dyDescent="0.35">
      <c r="A51" s="68" t="s">
        <v>126</v>
      </c>
      <c r="B51" s="68" t="s">
        <v>60</v>
      </c>
      <c r="C51" s="72">
        <v>29</v>
      </c>
      <c r="D51" s="73" t="s">
        <v>42</v>
      </c>
      <c r="F51" s="78">
        <v>10.7</v>
      </c>
      <c r="G51" s="79">
        <f t="shared" si="0"/>
        <v>3.2613598956364833</v>
      </c>
      <c r="H51" s="83">
        <v>47.87</v>
      </c>
      <c r="I51">
        <v>1</v>
      </c>
      <c r="J51" s="64"/>
      <c r="K51" s="68"/>
      <c r="L51" s="72" t="s">
        <v>20</v>
      </c>
      <c r="M51" t="s">
        <v>22</v>
      </c>
      <c r="N51" t="s">
        <v>19</v>
      </c>
      <c r="O51" s="64">
        <v>1.06</v>
      </c>
      <c r="P51" s="73">
        <v>28</v>
      </c>
      <c r="Q51" t="s">
        <v>153</v>
      </c>
    </row>
    <row r="52" spans="1:17" x14ac:dyDescent="0.35">
      <c r="A52" s="68" t="s">
        <v>126</v>
      </c>
      <c r="B52" s="68" t="s">
        <v>60</v>
      </c>
      <c r="C52" s="72">
        <v>29</v>
      </c>
      <c r="D52" s="73"/>
      <c r="F52" s="78"/>
      <c r="G52" s="79" t="str">
        <f t="shared" si="0"/>
        <v xml:space="preserve"> </v>
      </c>
      <c r="H52" s="83"/>
      <c r="J52" s="64"/>
      <c r="K52" s="68"/>
      <c r="L52" s="72" t="s">
        <v>20</v>
      </c>
      <c r="M52" t="s">
        <v>22</v>
      </c>
      <c r="N52" t="s">
        <v>19</v>
      </c>
      <c r="O52" s="64">
        <v>1.0900000000000001</v>
      </c>
      <c r="P52" s="73">
        <v>0</v>
      </c>
    </row>
    <row r="53" spans="1:17" x14ac:dyDescent="0.35">
      <c r="A53" s="68" t="s">
        <v>126</v>
      </c>
      <c r="B53" s="68" t="s">
        <v>60</v>
      </c>
      <c r="C53" s="72">
        <v>29</v>
      </c>
      <c r="D53" s="73"/>
      <c r="F53" s="78"/>
      <c r="G53" s="79" t="str">
        <f t="shared" si="0"/>
        <v xml:space="preserve"> </v>
      </c>
      <c r="H53" s="83"/>
      <c r="J53" s="64"/>
      <c r="K53" s="68"/>
      <c r="L53" s="72" t="s">
        <v>20</v>
      </c>
      <c r="M53" t="s">
        <v>132</v>
      </c>
      <c r="N53" t="s">
        <v>19</v>
      </c>
      <c r="O53" s="64">
        <v>1.3</v>
      </c>
      <c r="P53" s="73">
        <v>0</v>
      </c>
      <c r="Q53" t="s">
        <v>130</v>
      </c>
    </row>
    <row r="54" spans="1:17" x14ac:dyDescent="0.35">
      <c r="A54" s="68" t="s">
        <v>126</v>
      </c>
      <c r="B54" s="68" t="s">
        <v>60</v>
      </c>
      <c r="C54" s="72">
        <v>30</v>
      </c>
      <c r="D54" s="73" t="s">
        <v>40</v>
      </c>
      <c r="E54" t="s">
        <v>69</v>
      </c>
      <c r="F54" s="78">
        <v>10.9</v>
      </c>
      <c r="G54" s="79">
        <f t="shared" si="0"/>
        <v>3.3223198936857634</v>
      </c>
      <c r="H54" s="83">
        <v>53.81</v>
      </c>
      <c r="J54" s="64"/>
      <c r="K54" s="68"/>
      <c r="L54" s="72"/>
      <c r="O54" s="64"/>
      <c r="P54" s="73"/>
      <c r="Q54" t="s">
        <v>133</v>
      </c>
    </row>
    <row r="55" spans="1:17" x14ac:dyDescent="0.35">
      <c r="A55" s="68" t="s">
        <v>126</v>
      </c>
      <c r="B55" s="68" t="s">
        <v>60</v>
      </c>
      <c r="C55" s="72">
        <v>31</v>
      </c>
      <c r="D55" s="73" t="s">
        <v>42</v>
      </c>
      <c r="F55" s="78">
        <v>10.199999999999999</v>
      </c>
      <c r="G55" s="79">
        <f t="shared" si="0"/>
        <v>3.1089599005132831</v>
      </c>
      <c r="H55" s="83">
        <v>24.9</v>
      </c>
      <c r="I55">
        <v>1</v>
      </c>
      <c r="J55" s="64"/>
      <c r="K55" s="68">
        <v>98</v>
      </c>
      <c r="L55" s="72" t="s">
        <v>19</v>
      </c>
      <c r="N55" t="s">
        <v>19</v>
      </c>
      <c r="O55" s="64"/>
      <c r="P55" s="73"/>
      <c r="Q55" t="s">
        <v>134</v>
      </c>
    </row>
    <row r="56" spans="1:17" x14ac:dyDescent="0.35">
      <c r="A56" s="68" t="s">
        <v>126</v>
      </c>
      <c r="B56" s="68" t="s">
        <v>60</v>
      </c>
      <c r="C56" s="72">
        <v>32</v>
      </c>
      <c r="D56" s="73" t="s">
        <v>42</v>
      </c>
      <c r="F56" s="78">
        <v>10.5</v>
      </c>
      <c r="G56" s="79">
        <f t="shared" si="0"/>
        <v>3.2003998975872032</v>
      </c>
      <c r="H56" s="83">
        <v>30.05</v>
      </c>
      <c r="I56">
        <v>1</v>
      </c>
      <c r="J56" s="64"/>
      <c r="K56" s="68"/>
      <c r="L56" s="72" t="s">
        <v>19</v>
      </c>
      <c r="N56" t="s">
        <v>19</v>
      </c>
      <c r="O56" s="64"/>
      <c r="P56" s="73"/>
      <c r="Q56" t="s">
        <v>135</v>
      </c>
    </row>
    <row r="57" spans="1:17" x14ac:dyDescent="0.35">
      <c r="A57" s="68" t="s">
        <v>126</v>
      </c>
      <c r="B57" s="68" t="s">
        <v>60</v>
      </c>
      <c r="C57" s="72">
        <v>33</v>
      </c>
      <c r="D57" s="73" t="s">
        <v>40</v>
      </c>
      <c r="E57" t="s">
        <v>19</v>
      </c>
      <c r="F57" s="78">
        <v>14.5</v>
      </c>
      <c r="G57" s="79">
        <f t="shared" si="0"/>
        <v>4.4195998585728047</v>
      </c>
      <c r="H57" s="83">
        <v>57.17</v>
      </c>
      <c r="J57" s="64"/>
      <c r="K57" s="68"/>
      <c r="L57" s="72"/>
      <c r="O57" s="64"/>
      <c r="P57" s="73"/>
      <c r="Q57" t="s">
        <v>136</v>
      </c>
    </row>
    <row r="58" spans="1:17" x14ac:dyDescent="0.35">
      <c r="A58" s="68" t="s">
        <v>126</v>
      </c>
      <c r="B58" s="68" t="s">
        <v>60</v>
      </c>
      <c r="C58" s="72">
        <v>34</v>
      </c>
      <c r="D58" s="73" t="s">
        <v>42</v>
      </c>
      <c r="F58" s="78">
        <v>10.3</v>
      </c>
      <c r="G58" s="79">
        <f t="shared" si="0"/>
        <v>3.1394398995379236</v>
      </c>
      <c r="H58" s="83">
        <v>34.94</v>
      </c>
      <c r="I58">
        <v>1</v>
      </c>
      <c r="J58" s="64"/>
      <c r="K58" s="68"/>
      <c r="L58" s="72" t="s">
        <v>19</v>
      </c>
      <c r="N58" t="s">
        <v>19</v>
      </c>
      <c r="O58" s="64"/>
      <c r="P58" s="73"/>
      <c r="Q58" t="s">
        <v>137</v>
      </c>
    </row>
    <row r="59" spans="1:17" x14ac:dyDescent="0.35">
      <c r="A59" s="68" t="s">
        <v>126</v>
      </c>
      <c r="B59" s="68" t="s">
        <v>60</v>
      </c>
      <c r="C59" s="72">
        <v>35</v>
      </c>
      <c r="D59" s="73" t="s">
        <v>40</v>
      </c>
      <c r="E59" t="s">
        <v>68</v>
      </c>
      <c r="F59" s="78">
        <v>10.1</v>
      </c>
      <c r="G59" s="79">
        <f t="shared" si="0"/>
        <v>3.078479901488643</v>
      </c>
      <c r="H59" s="83">
        <v>37.840000000000003</v>
      </c>
      <c r="J59" s="64"/>
      <c r="K59" s="68"/>
      <c r="L59" s="72"/>
      <c r="O59" s="64"/>
      <c r="P59" s="73"/>
      <c r="Q59" t="s">
        <v>138</v>
      </c>
    </row>
    <row r="60" spans="1:17" x14ac:dyDescent="0.35">
      <c r="A60" s="68" t="s">
        <v>126</v>
      </c>
      <c r="B60" s="68" t="s">
        <v>60</v>
      </c>
      <c r="C60" s="72">
        <v>36</v>
      </c>
      <c r="D60" s="73" t="s">
        <v>40</v>
      </c>
      <c r="E60" t="s">
        <v>29</v>
      </c>
      <c r="F60" s="78">
        <v>12</v>
      </c>
      <c r="G60" s="79">
        <f t="shared" si="0"/>
        <v>3.6575998829568039</v>
      </c>
      <c r="H60" s="83">
        <v>51.52</v>
      </c>
      <c r="J60" s="64"/>
      <c r="K60" s="68"/>
      <c r="L60" s="72"/>
      <c r="O60" s="64"/>
      <c r="P60" s="73"/>
      <c r="Q60" t="s">
        <v>139</v>
      </c>
    </row>
    <row r="61" spans="1:17" x14ac:dyDescent="0.35">
      <c r="A61" s="68" t="s">
        <v>126</v>
      </c>
      <c r="B61" s="68" t="s">
        <v>60</v>
      </c>
      <c r="C61" s="72">
        <v>37</v>
      </c>
      <c r="D61" s="73" t="s">
        <v>42</v>
      </c>
      <c r="F61" s="78">
        <v>8.1999999999999993</v>
      </c>
      <c r="G61" s="79">
        <f t="shared" si="0"/>
        <v>2.4993599200204826</v>
      </c>
      <c r="H61" s="83">
        <v>20.69</v>
      </c>
      <c r="I61">
        <v>2</v>
      </c>
      <c r="J61" s="64">
        <v>1.83</v>
      </c>
      <c r="K61" s="68"/>
      <c r="L61" s="72" t="s">
        <v>20</v>
      </c>
      <c r="M61" t="s">
        <v>23</v>
      </c>
      <c r="N61" t="s">
        <v>19</v>
      </c>
      <c r="O61" s="64">
        <v>0</v>
      </c>
      <c r="P61" s="73">
        <v>170</v>
      </c>
      <c r="Q61" t="s">
        <v>140</v>
      </c>
    </row>
    <row r="62" spans="1:17" x14ac:dyDescent="0.35">
      <c r="A62" s="68" t="s">
        <v>126</v>
      </c>
      <c r="B62" s="68" t="s">
        <v>60</v>
      </c>
      <c r="C62" s="72">
        <v>38</v>
      </c>
      <c r="D62" s="73" t="s">
        <v>42</v>
      </c>
      <c r="F62" s="78">
        <v>11.6</v>
      </c>
      <c r="G62" s="79">
        <f t="shared" si="0"/>
        <v>3.5356798868582437</v>
      </c>
      <c r="H62" s="83">
        <v>32.840000000000003</v>
      </c>
      <c r="I62">
        <v>1</v>
      </c>
      <c r="J62" s="64"/>
      <c r="K62" s="68"/>
      <c r="L62" s="72" t="s">
        <v>19</v>
      </c>
      <c r="N62" t="s">
        <v>19</v>
      </c>
      <c r="O62" s="64"/>
      <c r="P62" s="73"/>
      <c r="Q62" t="s">
        <v>141</v>
      </c>
    </row>
    <row r="63" spans="1:17" x14ac:dyDescent="0.35">
      <c r="A63" s="68" t="s">
        <v>126</v>
      </c>
      <c r="B63" s="68" t="s">
        <v>60</v>
      </c>
      <c r="C63" s="72">
        <v>39</v>
      </c>
      <c r="D63" s="73" t="s">
        <v>40</v>
      </c>
      <c r="E63" t="s">
        <v>19</v>
      </c>
      <c r="F63" s="78">
        <v>18.8</v>
      </c>
      <c r="G63" s="79">
        <f t="shared" si="0"/>
        <v>5.7302398166323263</v>
      </c>
      <c r="H63" s="83">
        <v>73.069999999999993</v>
      </c>
      <c r="J63" s="64"/>
      <c r="K63" s="68"/>
      <c r="L63" s="72"/>
      <c r="O63" s="64"/>
      <c r="P63" s="73"/>
      <c r="Q63" t="s">
        <v>142</v>
      </c>
    </row>
    <row r="64" spans="1:17" x14ac:dyDescent="0.35">
      <c r="A64" s="68" t="s">
        <v>126</v>
      </c>
      <c r="B64" s="68" t="s">
        <v>60</v>
      </c>
      <c r="C64" s="72">
        <v>40</v>
      </c>
      <c r="D64" s="73" t="s">
        <v>42</v>
      </c>
      <c r="F64" s="78">
        <v>6.4</v>
      </c>
      <c r="G64" s="79">
        <f>IF(F64 = 0, " ", IF(F64&lt;2, F64/1, F64/3.28084))</f>
        <v>1.9507199375769622</v>
      </c>
      <c r="H64" s="83">
        <v>10.73</v>
      </c>
      <c r="I64">
        <v>1</v>
      </c>
      <c r="J64" s="64"/>
      <c r="K64" s="68"/>
      <c r="L64" s="72" t="s">
        <v>20</v>
      </c>
      <c r="M64" t="s">
        <v>22</v>
      </c>
      <c r="N64" t="s">
        <v>19</v>
      </c>
      <c r="O64" s="64">
        <v>0.22</v>
      </c>
      <c r="P64" s="73">
        <v>0</v>
      </c>
      <c r="Q64" t="s">
        <v>131</v>
      </c>
    </row>
    <row r="65" spans="1:17" x14ac:dyDescent="0.35">
      <c r="A65" s="68" t="s">
        <v>126</v>
      </c>
      <c r="B65" s="68" t="s">
        <v>60</v>
      </c>
      <c r="C65" s="72">
        <v>40</v>
      </c>
      <c r="D65" s="73"/>
      <c r="F65" s="78"/>
      <c r="G65" s="79" t="str">
        <f t="shared" si="0"/>
        <v xml:space="preserve"> </v>
      </c>
      <c r="H65" s="83"/>
      <c r="J65" s="64"/>
      <c r="K65" s="68"/>
      <c r="L65" s="72" t="s">
        <v>20</v>
      </c>
      <c r="M65" t="s">
        <v>22</v>
      </c>
      <c r="N65" t="s">
        <v>19</v>
      </c>
      <c r="O65" s="64">
        <v>0.72</v>
      </c>
      <c r="P65" s="73">
        <v>0</v>
      </c>
    </row>
    <row r="66" spans="1:17" x14ac:dyDescent="0.35">
      <c r="A66" s="68" t="s">
        <v>126</v>
      </c>
      <c r="B66" s="68" t="s">
        <v>60</v>
      </c>
      <c r="C66" s="72">
        <v>41</v>
      </c>
      <c r="D66" s="73" t="s">
        <v>40</v>
      </c>
      <c r="E66" t="s">
        <v>36</v>
      </c>
      <c r="F66" s="78">
        <v>11.6</v>
      </c>
      <c r="G66" s="79">
        <f t="shared" ref="G66:G104" si="1">IF(F66 = 0, " ", IF(F66&lt;2, F66/1, F66/3.28084))</f>
        <v>3.5356798868582437</v>
      </c>
      <c r="H66" s="83">
        <v>57.38</v>
      </c>
      <c r="J66" s="64"/>
      <c r="K66" s="68"/>
      <c r="L66" s="72"/>
      <c r="O66" s="64"/>
      <c r="P66" s="73"/>
      <c r="Q66" t="s">
        <v>143</v>
      </c>
    </row>
    <row r="67" spans="1:17" x14ac:dyDescent="0.35">
      <c r="A67" s="68" t="s">
        <v>126</v>
      </c>
      <c r="B67" s="68" t="s">
        <v>60</v>
      </c>
      <c r="C67" s="72">
        <v>42</v>
      </c>
      <c r="D67" s="73" t="s">
        <v>42</v>
      </c>
      <c r="F67" s="78">
        <v>9.6</v>
      </c>
      <c r="G67" s="79">
        <f t="shared" si="1"/>
        <v>2.9260799063654428</v>
      </c>
      <c r="H67" s="83">
        <v>29.99</v>
      </c>
      <c r="I67">
        <v>1</v>
      </c>
      <c r="J67" s="64"/>
      <c r="K67" s="68">
        <v>75</v>
      </c>
      <c r="L67" s="72" t="s">
        <v>19</v>
      </c>
      <c r="N67" t="s">
        <v>19</v>
      </c>
      <c r="O67" s="64"/>
      <c r="P67" s="73"/>
      <c r="Q67" t="s">
        <v>144</v>
      </c>
    </row>
    <row r="68" spans="1:17" x14ac:dyDescent="0.35">
      <c r="A68" s="68" t="s">
        <v>126</v>
      </c>
      <c r="B68" s="68" t="s">
        <v>60</v>
      </c>
      <c r="C68" s="72">
        <v>43</v>
      </c>
      <c r="D68" s="73" t="s">
        <v>40</v>
      </c>
      <c r="E68" t="s">
        <v>36</v>
      </c>
      <c r="F68" s="78">
        <v>11.5</v>
      </c>
      <c r="G68" s="79">
        <f t="shared" si="1"/>
        <v>3.5051998878336037</v>
      </c>
      <c r="H68" s="83">
        <v>48.02</v>
      </c>
      <c r="J68" s="64"/>
      <c r="K68" s="68"/>
      <c r="L68" s="72"/>
      <c r="O68" s="64"/>
      <c r="P68" s="73"/>
      <c r="Q68" t="s">
        <v>145</v>
      </c>
    </row>
    <row r="69" spans="1:17" x14ac:dyDescent="0.35">
      <c r="A69" s="68" t="s">
        <v>126</v>
      </c>
      <c r="B69" s="68" t="s">
        <v>60</v>
      </c>
      <c r="C69" s="72">
        <v>44</v>
      </c>
      <c r="D69" s="73" t="s">
        <v>42</v>
      </c>
      <c r="F69" s="78">
        <v>7.8</v>
      </c>
      <c r="G69" s="79">
        <f t="shared" si="1"/>
        <v>2.3774399239219224</v>
      </c>
      <c r="H69" s="83">
        <v>17.260000000000002</v>
      </c>
      <c r="I69">
        <v>1</v>
      </c>
      <c r="J69" s="64"/>
      <c r="K69" s="68"/>
      <c r="L69" s="72" t="s">
        <v>20</v>
      </c>
      <c r="M69" t="s">
        <v>22</v>
      </c>
      <c r="N69" t="s">
        <v>19</v>
      </c>
      <c r="O69" s="64">
        <v>0.33</v>
      </c>
      <c r="P69" s="73">
        <v>0</v>
      </c>
      <c r="Q69" t="s">
        <v>146</v>
      </c>
    </row>
    <row r="70" spans="1:17" x14ac:dyDescent="0.35">
      <c r="A70" s="68" t="s">
        <v>126</v>
      </c>
      <c r="B70" s="68" t="s">
        <v>60</v>
      </c>
      <c r="C70" s="72">
        <v>44</v>
      </c>
      <c r="D70" s="73"/>
      <c r="F70" s="78"/>
      <c r="G70" s="79" t="str">
        <f t="shared" si="1"/>
        <v xml:space="preserve"> </v>
      </c>
      <c r="H70" s="83"/>
      <c r="J70" s="64"/>
      <c r="K70" s="68"/>
      <c r="L70" s="72" t="s">
        <v>20</v>
      </c>
      <c r="M70" t="s">
        <v>22</v>
      </c>
      <c r="N70" t="s">
        <v>19</v>
      </c>
      <c r="O70" s="64">
        <v>0.47</v>
      </c>
      <c r="P70" s="73">
        <v>47</v>
      </c>
    </row>
    <row r="71" spans="1:17" x14ac:dyDescent="0.35">
      <c r="A71" s="68" t="s">
        <v>126</v>
      </c>
      <c r="B71" s="68" t="s">
        <v>44</v>
      </c>
      <c r="C71" s="72">
        <v>45</v>
      </c>
      <c r="D71" s="73" t="s">
        <v>42</v>
      </c>
      <c r="F71" s="78">
        <v>9.3000000000000007</v>
      </c>
      <c r="G71" s="79">
        <f t="shared" si="1"/>
        <v>2.8346399092915231</v>
      </c>
      <c r="H71" s="83">
        <v>31.27</v>
      </c>
      <c r="I71">
        <v>1</v>
      </c>
      <c r="J71" s="64"/>
      <c r="K71" s="68"/>
      <c r="L71" s="72" t="s">
        <v>19</v>
      </c>
      <c r="N71" t="s">
        <v>19</v>
      </c>
      <c r="O71" s="64"/>
      <c r="P71" s="73"/>
    </row>
    <row r="72" spans="1:17" x14ac:dyDescent="0.35">
      <c r="A72" s="68" t="s">
        <v>126</v>
      </c>
      <c r="B72" s="68" t="s">
        <v>44</v>
      </c>
      <c r="C72" s="72">
        <v>46</v>
      </c>
      <c r="D72" s="73" t="s">
        <v>42</v>
      </c>
      <c r="F72" s="78">
        <v>9.1999999999999993</v>
      </c>
      <c r="G72" s="79">
        <f t="shared" si="1"/>
        <v>2.8041599102668826</v>
      </c>
      <c r="H72" s="83">
        <v>43.09</v>
      </c>
      <c r="I72">
        <v>2</v>
      </c>
      <c r="J72" s="64">
        <v>1.43</v>
      </c>
      <c r="K72" s="68"/>
      <c r="L72" s="72" t="s">
        <v>20</v>
      </c>
      <c r="M72" t="s">
        <v>22</v>
      </c>
      <c r="N72" t="s">
        <v>19</v>
      </c>
      <c r="O72" s="64">
        <v>1.43</v>
      </c>
      <c r="P72" s="73">
        <v>0</v>
      </c>
      <c r="Q72" t="s">
        <v>147</v>
      </c>
    </row>
    <row r="73" spans="1:17" x14ac:dyDescent="0.35">
      <c r="A73" s="68" t="s">
        <v>126</v>
      </c>
      <c r="B73" s="68" t="s">
        <v>44</v>
      </c>
      <c r="C73" s="72">
        <v>46</v>
      </c>
      <c r="D73" s="73"/>
      <c r="F73" s="78"/>
      <c r="G73" s="79" t="str">
        <f t="shared" si="1"/>
        <v xml:space="preserve"> </v>
      </c>
      <c r="H73" s="83"/>
      <c r="J73" s="64"/>
      <c r="K73" s="68"/>
      <c r="L73" s="72" t="s">
        <v>20</v>
      </c>
      <c r="M73" t="s">
        <v>22</v>
      </c>
      <c r="N73" t="s">
        <v>19</v>
      </c>
      <c r="O73" s="64">
        <v>1.37</v>
      </c>
      <c r="P73" s="73">
        <v>0</v>
      </c>
    </row>
    <row r="74" spans="1:17" x14ac:dyDescent="0.35">
      <c r="A74" s="68" t="s">
        <v>126</v>
      </c>
      <c r="B74" s="68" t="s">
        <v>44</v>
      </c>
      <c r="C74" s="72">
        <v>47</v>
      </c>
      <c r="D74" s="73" t="s">
        <v>42</v>
      </c>
      <c r="F74" s="78">
        <v>6.8</v>
      </c>
      <c r="G74" s="79">
        <f t="shared" si="1"/>
        <v>2.0726399336755219</v>
      </c>
      <c r="H74" s="83">
        <v>17.3</v>
      </c>
      <c r="I74">
        <v>1</v>
      </c>
      <c r="J74" s="64"/>
      <c r="K74" s="68">
        <v>40</v>
      </c>
      <c r="L74" s="72" t="s">
        <v>19</v>
      </c>
      <c r="N74" t="s">
        <v>19</v>
      </c>
      <c r="O74" s="64"/>
      <c r="P74" s="73"/>
    </row>
    <row r="75" spans="1:17" x14ac:dyDescent="0.35">
      <c r="A75" s="68" t="s">
        <v>126</v>
      </c>
      <c r="B75" s="68" t="s">
        <v>44</v>
      </c>
      <c r="C75" s="72">
        <v>48</v>
      </c>
      <c r="D75" s="73" t="s">
        <v>42</v>
      </c>
      <c r="F75" s="78">
        <v>9.5</v>
      </c>
      <c r="G75" s="79">
        <f t="shared" si="1"/>
        <v>2.8955999073408032</v>
      </c>
      <c r="H75" s="83">
        <v>26.17</v>
      </c>
      <c r="I75">
        <v>1</v>
      </c>
      <c r="J75" s="64"/>
      <c r="K75" s="68">
        <v>60</v>
      </c>
      <c r="L75" s="72" t="s">
        <v>19</v>
      </c>
      <c r="N75" t="s">
        <v>19</v>
      </c>
      <c r="O75" s="64"/>
      <c r="P75" s="73"/>
    </row>
    <row r="76" spans="1:17" x14ac:dyDescent="0.35">
      <c r="A76" s="68" t="s">
        <v>126</v>
      </c>
      <c r="B76" s="68" t="s">
        <v>44</v>
      </c>
      <c r="C76" s="72">
        <v>49</v>
      </c>
      <c r="D76" s="73" t="s">
        <v>42</v>
      </c>
      <c r="F76" s="78">
        <v>9.6</v>
      </c>
      <c r="G76" s="79">
        <f t="shared" si="1"/>
        <v>2.9260799063654428</v>
      </c>
      <c r="H76" s="83">
        <v>43.79</v>
      </c>
      <c r="I76">
        <v>1</v>
      </c>
      <c r="J76" s="64"/>
      <c r="K76" s="68"/>
      <c r="L76" s="72" t="s">
        <v>20</v>
      </c>
      <c r="M76" t="s">
        <v>22</v>
      </c>
      <c r="N76" t="s">
        <v>19</v>
      </c>
      <c r="O76" s="64">
        <v>1.18</v>
      </c>
      <c r="P76" s="73">
        <v>30</v>
      </c>
    </row>
    <row r="77" spans="1:17" x14ac:dyDescent="0.35">
      <c r="A77" s="68" t="s">
        <v>126</v>
      </c>
      <c r="B77" s="68" t="s">
        <v>44</v>
      </c>
      <c r="C77" s="72">
        <v>50</v>
      </c>
      <c r="D77" s="73" t="s">
        <v>42</v>
      </c>
      <c r="F77" s="78">
        <v>9.8000000000000007</v>
      </c>
      <c r="G77" s="79">
        <f t="shared" si="1"/>
        <v>2.9870399044147233</v>
      </c>
      <c r="H77" s="83">
        <v>45.28</v>
      </c>
      <c r="I77">
        <v>1</v>
      </c>
      <c r="J77" s="64"/>
      <c r="K77" s="68">
        <v>80</v>
      </c>
      <c r="L77" s="72" t="s">
        <v>20</v>
      </c>
      <c r="M77" t="s">
        <v>22</v>
      </c>
      <c r="N77" t="s">
        <v>19</v>
      </c>
      <c r="O77" s="64">
        <v>1.34</v>
      </c>
      <c r="P77" s="73">
        <v>10</v>
      </c>
    </row>
    <row r="78" spans="1:17" x14ac:dyDescent="0.35">
      <c r="A78" s="68" t="s">
        <v>126</v>
      </c>
      <c r="B78" s="68" t="s">
        <v>44</v>
      </c>
      <c r="C78" s="72">
        <v>50</v>
      </c>
      <c r="D78" s="73"/>
      <c r="F78" s="78"/>
      <c r="G78" s="79" t="str">
        <f t="shared" si="1"/>
        <v xml:space="preserve"> </v>
      </c>
      <c r="H78" s="83"/>
      <c r="J78" s="64"/>
      <c r="K78" s="68"/>
      <c r="L78" s="72" t="s">
        <v>20</v>
      </c>
      <c r="M78" t="s">
        <v>22</v>
      </c>
      <c r="N78" t="s">
        <v>19</v>
      </c>
      <c r="O78" s="64">
        <v>1.31</v>
      </c>
      <c r="P78" s="73">
        <v>0</v>
      </c>
    </row>
    <row r="79" spans="1:17" x14ac:dyDescent="0.35">
      <c r="A79" s="68" t="s">
        <v>126</v>
      </c>
      <c r="B79" s="68" t="s">
        <v>45</v>
      </c>
      <c r="C79" s="72">
        <v>51</v>
      </c>
      <c r="D79" s="73" t="s">
        <v>42</v>
      </c>
      <c r="F79" s="78">
        <v>4.5999999999999996</v>
      </c>
      <c r="G79" s="79">
        <f t="shared" si="1"/>
        <v>1.4020799551334413</v>
      </c>
      <c r="H79" s="83">
        <v>16.95</v>
      </c>
      <c r="I79">
        <v>1</v>
      </c>
      <c r="J79" s="64"/>
      <c r="K79" s="68">
        <v>117</v>
      </c>
      <c r="L79" s="72" t="s">
        <v>20</v>
      </c>
      <c r="M79" t="s">
        <v>21</v>
      </c>
      <c r="N79" t="s">
        <v>19</v>
      </c>
      <c r="O79" s="64">
        <v>0.9</v>
      </c>
      <c r="P79" s="73">
        <v>29</v>
      </c>
    </row>
    <row r="80" spans="1:17" x14ac:dyDescent="0.35">
      <c r="A80" s="68" t="s">
        <v>126</v>
      </c>
      <c r="B80" s="68" t="s">
        <v>45</v>
      </c>
      <c r="C80" s="72">
        <v>51</v>
      </c>
      <c r="D80" s="73"/>
      <c r="F80" s="78"/>
      <c r="G80" s="79" t="str">
        <f t="shared" si="1"/>
        <v xml:space="preserve"> </v>
      </c>
      <c r="H80" s="83"/>
      <c r="J80" s="64"/>
      <c r="K80" s="68"/>
      <c r="L80" s="72" t="s">
        <v>20</v>
      </c>
      <c r="M80" t="s">
        <v>22</v>
      </c>
      <c r="N80" t="s">
        <v>19</v>
      </c>
      <c r="O80" s="64">
        <v>1.02</v>
      </c>
      <c r="P80" s="73">
        <v>0</v>
      </c>
    </row>
    <row r="81" spans="1:17" x14ac:dyDescent="0.35">
      <c r="A81" s="68" t="s">
        <v>126</v>
      </c>
      <c r="B81" s="68" t="s">
        <v>45</v>
      </c>
      <c r="C81" s="72">
        <v>51</v>
      </c>
      <c r="D81" s="73"/>
      <c r="F81" s="78"/>
      <c r="G81" s="79" t="str">
        <f t="shared" si="1"/>
        <v xml:space="preserve"> </v>
      </c>
      <c r="H81" s="83"/>
      <c r="J81" s="64"/>
      <c r="K81" s="68"/>
      <c r="L81" s="72" t="s">
        <v>20</v>
      </c>
      <c r="M81" t="s">
        <v>22</v>
      </c>
      <c r="N81" t="s">
        <v>19</v>
      </c>
      <c r="O81" s="64">
        <v>0.24</v>
      </c>
      <c r="P81" s="73">
        <v>0</v>
      </c>
    </row>
    <row r="82" spans="1:17" x14ac:dyDescent="0.35">
      <c r="A82" s="68" t="s">
        <v>126</v>
      </c>
      <c r="B82" s="68" t="s">
        <v>45</v>
      </c>
      <c r="C82" s="72">
        <v>52</v>
      </c>
      <c r="D82" s="73" t="s">
        <v>42</v>
      </c>
      <c r="F82" s="78">
        <v>8.4</v>
      </c>
      <c r="G82" s="79">
        <f t="shared" si="1"/>
        <v>2.5603199180697627</v>
      </c>
      <c r="H82" s="83">
        <v>32.28</v>
      </c>
      <c r="I82">
        <v>1</v>
      </c>
      <c r="J82" s="64"/>
      <c r="K82" s="68"/>
      <c r="L82" s="72" t="s">
        <v>20</v>
      </c>
      <c r="M82" t="s">
        <v>22</v>
      </c>
      <c r="N82" t="s">
        <v>19</v>
      </c>
      <c r="O82" s="64">
        <v>1.07</v>
      </c>
      <c r="P82" s="73">
        <v>0</v>
      </c>
    </row>
    <row r="83" spans="1:17" x14ac:dyDescent="0.35">
      <c r="A83" s="68" t="s">
        <v>126</v>
      </c>
      <c r="B83" s="68" t="s">
        <v>45</v>
      </c>
      <c r="C83" s="72">
        <v>53</v>
      </c>
      <c r="D83" s="73" t="s">
        <v>42</v>
      </c>
      <c r="F83" s="78">
        <v>7</v>
      </c>
      <c r="G83" s="79">
        <f t="shared" si="1"/>
        <v>2.133599931724802</v>
      </c>
      <c r="H83" s="83">
        <v>20.58</v>
      </c>
      <c r="I83">
        <v>1</v>
      </c>
      <c r="J83" s="64"/>
      <c r="K83" s="68">
        <v>175</v>
      </c>
      <c r="L83" s="72" t="s">
        <v>20</v>
      </c>
      <c r="M83" t="s">
        <v>22</v>
      </c>
      <c r="N83" t="s">
        <v>19</v>
      </c>
      <c r="O83" s="64">
        <v>0.74</v>
      </c>
      <c r="P83" s="73">
        <v>0</v>
      </c>
    </row>
    <row r="84" spans="1:17" x14ac:dyDescent="0.35">
      <c r="A84" s="68" t="s">
        <v>126</v>
      </c>
      <c r="B84" s="68" t="s">
        <v>45</v>
      </c>
      <c r="C84" s="72">
        <v>54</v>
      </c>
      <c r="D84" s="73" t="s">
        <v>42</v>
      </c>
      <c r="F84" s="78">
        <v>8</v>
      </c>
      <c r="G84" s="79">
        <f t="shared" si="1"/>
        <v>2.4383999219712025</v>
      </c>
      <c r="H84" s="83">
        <v>33.840000000000003</v>
      </c>
      <c r="I84">
        <v>2</v>
      </c>
      <c r="J84" s="64">
        <v>1.1299999999999999</v>
      </c>
      <c r="K84" s="68"/>
      <c r="L84" s="72" t="s">
        <v>20</v>
      </c>
      <c r="M84" t="s">
        <v>22</v>
      </c>
      <c r="N84" t="s">
        <v>19</v>
      </c>
      <c r="O84" s="64">
        <v>3.9</v>
      </c>
      <c r="P84" s="73">
        <v>0</v>
      </c>
    </row>
    <row r="85" spans="1:17" x14ac:dyDescent="0.35">
      <c r="A85" s="68" t="s">
        <v>126</v>
      </c>
      <c r="B85" s="68" t="s">
        <v>45</v>
      </c>
      <c r="C85" s="72">
        <v>54</v>
      </c>
      <c r="D85" s="73"/>
      <c r="F85" s="78"/>
      <c r="G85" s="79" t="str">
        <f t="shared" si="1"/>
        <v xml:space="preserve"> </v>
      </c>
      <c r="H85" s="83"/>
      <c r="J85" s="64"/>
      <c r="K85" s="68"/>
      <c r="L85" s="72" t="s">
        <v>20</v>
      </c>
      <c r="M85" t="s">
        <v>22</v>
      </c>
      <c r="N85" t="s">
        <v>19</v>
      </c>
      <c r="O85" s="64">
        <v>1.02</v>
      </c>
      <c r="P85" s="73">
        <v>0</v>
      </c>
    </row>
    <row r="86" spans="1:17" x14ac:dyDescent="0.35">
      <c r="A86" s="68" t="s">
        <v>126</v>
      </c>
      <c r="B86" s="68" t="s">
        <v>45</v>
      </c>
      <c r="C86" s="72">
        <v>55</v>
      </c>
      <c r="D86" s="73" t="s">
        <v>42</v>
      </c>
      <c r="F86" s="78">
        <v>4.9000000000000004</v>
      </c>
      <c r="G86" s="79">
        <f t="shared" si="1"/>
        <v>1.4935199522073617</v>
      </c>
      <c r="H86" s="83">
        <v>12.38</v>
      </c>
      <c r="I86">
        <v>1</v>
      </c>
      <c r="J86" s="64"/>
      <c r="K86" s="68"/>
      <c r="L86" s="72" t="s">
        <v>20</v>
      </c>
      <c r="M86" t="s">
        <v>22</v>
      </c>
      <c r="N86" t="s">
        <v>19</v>
      </c>
      <c r="O86" s="64">
        <v>0.7</v>
      </c>
      <c r="P86" s="73">
        <v>10</v>
      </c>
    </row>
    <row r="87" spans="1:17" x14ac:dyDescent="0.35">
      <c r="A87" s="68" t="s">
        <v>126</v>
      </c>
      <c r="B87" s="68" t="s">
        <v>45</v>
      </c>
      <c r="C87" s="72">
        <v>55</v>
      </c>
      <c r="D87" s="73"/>
      <c r="F87" s="78"/>
      <c r="G87" s="79" t="str">
        <f t="shared" si="1"/>
        <v xml:space="preserve"> </v>
      </c>
      <c r="H87" s="83"/>
      <c r="J87" s="64"/>
      <c r="K87" s="68"/>
      <c r="L87" s="72" t="s">
        <v>20</v>
      </c>
      <c r="M87" t="s">
        <v>22</v>
      </c>
      <c r="N87" t="s">
        <v>19</v>
      </c>
      <c r="O87" s="64">
        <v>0.18</v>
      </c>
      <c r="P87" s="73">
        <v>0</v>
      </c>
    </row>
    <row r="88" spans="1:17" x14ac:dyDescent="0.35">
      <c r="A88" s="68" t="s">
        <v>126</v>
      </c>
      <c r="B88" s="68" t="s">
        <v>45</v>
      </c>
      <c r="C88" s="72">
        <v>56</v>
      </c>
      <c r="D88" s="73" t="s">
        <v>42</v>
      </c>
      <c r="F88" s="78">
        <v>10.3</v>
      </c>
      <c r="G88" s="79">
        <f t="shared" si="1"/>
        <v>3.1394398995379236</v>
      </c>
      <c r="H88" s="83">
        <v>35.36</v>
      </c>
      <c r="I88">
        <v>2</v>
      </c>
      <c r="J88" s="64">
        <v>0.9</v>
      </c>
      <c r="K88" s="68"/>
      <c r="L88" s="72" t="s">
        <v>20</v>
      </c>
      <c r="M88" t="s">
        <v>22</v>
      </c>
      <c r="N88" t="s">
        <v>19</v>
      </c>
      <c r="O88" s="64">
        <v>0.9</v>
      </c>
      <c r="P88" s="73">
        <v>0</v>
      </c>
    </row>
    <row r="89" spans="1:17" x14ac:dyDescent="0.35">
      <c r="A89" s="68" t="s">
        <v>126</v>
      </c>
      <c r="B89" s="68" t="s">
        <v>45</v>
      </c>
      <c r="C89" s="72">
        <v>57</v>
      </c>
      <c r="D89" s="73" t="s">
        <v>42</v>
      </c>
      <c r="F89" s="78">
        <v>5.7</v>
      </c>
      <c r="G89" s="79">
        <f>IF(F89 = 0, " ", IF(F89&lt;2, F89/1, F89/3.28084))</f>
        <v>1.7373599444044818</v>
      </c>
      <c r="H89" s="83">
        <v>8.98</v>
      </c>
      <c r="I89">
        <v>1</v>
      </c>
      <c r="J89" s="64"/>
      <c r="K89" s="68"/>
      <c r="L89" s="72" t="s">
        <v>20</v>
      </c>
      <c r="M89" t="s">
        <v>22</v>
      </c>
      <c r="N89" t="s">
        <v>19</v>
      </c>
      <c r="O89" s="64">
        <v>0.49</v>
      </c>
      <c r="P89" s="73">
        <v>0</v>
      </c>
    </row>
    <row r="90" spans="1:17" x14ac:dyDescent="0.35">
      <c r="A90" s="68" t="s">
        <v>126</v>
      </c>
      <c r="B90" s="68" t="s">
        <v>45</v>
      </c>
      <c r="C90" s="72">
        <v>58</v>
      </c>
      <c r="D90" s="73" t="s">
        <v>42</v>
      </c>
      <c r="F90" s="78">
        <v>4.8</v>
      </c>
      <c r="G90" s="79">
        <f t="shared" si="1"/>
        <v>1.4630399531827214</v>
      </c>
      <c r="H90" s="83">
        <v>9.41</v>
      </c>
      <c r="I90">
        <v>1</v>
      </c>
      <c r="J90" s="64"/>
      <c r="K90" s="68">
        <v>120</v>
      </c>
      <c r="L90" s="72" t="s">
        <v>20</v>
      </c>
      <c r="M90" t="s">
        <v>21</v>
      </c>
      <c r="N90" t="s">
        <v>19</v>
      </c>
      <c r="O90" s="64">
        <v>0.79</v>
      </c>
      <c r="P90" s="73">
        <v>27</v>
      </c>
      <c r="Q90" t="s">
        <v>148</v>
      </c>
    </row>
    <row r="91" spans="1:17" x14ac:dyDescent="0.35">
      <c r="A91" s="68" t="s">
        <v>126</v>
      </c>
      <c r="B91" s="68" t="s">
        <v>45</v>
      </c>
      <c r="C91" s="72">
        <v>59</v>
      </c>
      <c r="D91" s="73" t="s">
        <v>42</v>
      </c>
      <c r="F91" s="78">
        <v>6.7</v>
      </c>
      <c r="G91" s="79">
        <f t="shared" si="1"/>
        <v>2.0421599346508823</v>
      </c>
      <c r="H91" s="83">
        <v>16.27</v>
      </c>
      <c r="I91">
        <v>1</v>
      </c>
      <c r="J91" s="64"/>
      <c r="K91" s="68"/>
      <c r="L91" s="72" t="s">
        <v>20</v>
      </c>
      <c r="M91" t="s">
        <v>22</v>
      </c>
      <c r="N91" t="s">
        <v>19</v>
      </c>
      <c r="O91" s="64">
        <v>0.42</v>
      </c>
      <c r="P91" s="73">
        <v>20</v>
      </c>
    </row>
    <row r="92" spans="1:17" x14ac:dyDescent="0.35">
      <c r="A92" s="68" t="s">
        <v>126</v>
      </c>
      <c r="B92" s="68" t="s">
        <v>45</v>
      </c>
      <c r="C92" s="72">
        <v>59</v>
      </c>
      <c r="D92" s="73"/>
      <c r="F92" s="78"/>
      <c r="G92" s="79" t="str">
        <f t="shared" si="1"/>
        <v xml:space="preserve"> </v>
      </c>
      <c r="H92" s="83"/>
      <c r="J92" s="64"/>
      <c r="K92" s="68"/>
      <c r="L92" s="72" t="s">
        <v>20</v>
      </c>
      <c r="M92" t="s">
        <v>22</v>
      </c>
      <c r="N92" t="s">
        <v>19</v>
      </c>
      <c r="O92" s="64">
        <v>0.76</v>
      </c>
      <c r="P92" s="73">
        <v>0</v>
      </c>
    </row>
    <row r="93" spans="1:17" x14ac:dyDescent="0.35">
      <c r="A93" s="68" t="s">
        <v>126</v>
      </c>
      <c r="B93" s="68" t="s">
        <v>45</v>
      </c>
      <c r="C93" s="72">
        <v>59</v>
      </c>
      <c r="D93" s="73"/>
      <c r="F93" s="78"/>
      <c r="G93" s="79" t="str">
        <f t="shared" si="1"/>
        <v xml:space="preserve"> </v>
      </c>
      <c r="H93" s="83"/>
      <c r="J93" s="64"/>
      <c r="K93" s="68"/>
      <c r="L93" s="72" t="s">
        <v>20</v>
      </c>
      <c r="M93" t="s">
        <v>23</v>
      </c>
      <c r="N93" t="s">
        <v>19</v>
      </c>
      <c r="O93" s="64">
        <v>0</v>
      </c>
      <c r="P93" s="73">
        <v>260</v>
      </c>
    </row>
    <row r="94" spans="1:17" x14ac:dyDescent="0.35">
      <c r="A94" s="68" t="s">
        <v>126</v>
      </c>
      <c r="B94" s="68" t="s">
        <v>48</v>
      </c>
      <c r="C94" s="72">
        <v>60</v>
      </c>
      <c r="D94" s="73" t="s">
        <v>40</v>
      </c>
      <c r="F94" s="78">
        <v>12</v>
      </c>
      <c r="G94" s="79">
        <f t="shared" si="1"/>
        <v>3.6575998829568039</v>
      </c>
      <c r="H94" s="83">
        <v>61.99</v>
      </c>
      <c r="J94" s="64"/>
      <c r="K94" s="68"/>
      <c r="L94" s="72"/>
      <c r="O94" s="64"/>
      <c r="P94" s="73"/>
    </row>
    <row r="95" spans="1:17" x14ac:dyDescent="0.35">
      <c r="A95" s="68" t="s">
        <v>126</v>
      </c>
      <c r="B95" s="68" t="s">
        <v>48</v>
      </c>
      <c r="C95" s="72">
        <v>61</v>
      </c>
      <c r="D95" s="73" t="s">
        <v>40</v>
      </c>
      <c r="F95" s="78">
        <v>9</v>
      </c>
      <c r="G95" s="79">
        <f t="shared" si="1"/>
        <v>2.743199912217603</v>
      </c>
      <c r="H95" s="83">
        <v>60.03</v>
      </c>
      <c r="J95" s="64"/>
      <c r="K95" s="68"/>
      <c r="L95" s="72"/>
      <c r="O95" s="64"/>
      <c r="P95" s="73"/>
    </row>
    <row r="96" spans="1:17" x14ac:dyDescent="0.35">
      <c r="A96" s="68" t="s">
        <v>126</v>
      </c>
      <c r="B96" s="68" t="s">
        <v>48</v>
      </c>
      <c r="C96" s="72">
        <v>62</v>
      </c>
      <c r="D96" s="73" t="s">
        <v>40</v>
      </c>
      <c r="F96" s="78">
        <v>13.7</v>
      </c>
      <c r="G96" s="79">
        <f t="shared" si="1"/>
        <v>4.1757598663756843</v>
      </c>
      <c r="H96" s="83">
        <v>64.62</v>
      </c>
      <c r="J96" s="64"/>
      <c r="K96" s="68"/>
      <c r="L96" s="72"/>
      <c r="O96" s="64"/>
      <c r="P96" s="73"/>
    </row>
    <row r="97" spans="1:17" x14ac:dyDescent="0.35">
      <c r="A97" s="68" t="s">
        <v>126</v>
      </c>
      <c r="B97" s="68" t="s">
        <v>48</v>
      </c>
      <c r="C97" s="72">
        <v>63</v>
      </c>
      <c r="D97" s="73" t="s">
        <v>40</v>
      </c>
      <c r="F97" s="78">
        <v>12.2</v>
      </c>
      <c r="G97" s="79">
        <f t="shared" si="1"/>
        <v>3.7185598810060836</v>
      </c>
      <c r="H97" s="83">
        <v>63.83</v>
      </c>
      <c r="J97" s="64"/>
      <c r="K97" s="68"/>
      <c r="L97" s="72"/>
      <c r="O97" s="64"/>
      <c r="P97" s="73"/>
    </row>
    <row r="98" spans="1:17" x14ac:dyDescent="0.35">
      <c r="A98" s="68" t="s">
        <v>126</v>
      </c>
      <c r="B98" s="68" t="s">
        <v>48</v>
      </c>
      <c r="C98" s="72">
        <v>64</v>
      </c>
      <c r="D98" s="73" t="s">
        <v>40</v>
      </c>
      <c r="F98" s="78">
        <v>13.7</v>
      </c>
      <c r="G98" s="79">
        <f t="shared" si="1"/>
        <v>4.1757598663756843</v>
      </c>
      <c r="H98" s="83">
        <v>55.93</v>
      </c>
      <c r="J98" s="64"/>
      <c r="K98" s="68"/>
      <c r="L98" s="72"/>
      <c r="O98" s="64"/>
      <c r="P98" s="73"/>
      <c r="Q98" t="s">
        <v>149</v>
      </c>
    </row>
    <row r="99" spans="1:17" x14ac:dyDescent="0.35">
      <c r="A99" s="68" t="s">
        <v>126</v>
      </c>
      <c r="B99" s="68" t="s">
        <v>48</v>
      </c>
      <c r="C99" s="72">
        <v>65</v>
      </c>
      <c r="D99" s="73" t="s">
        <v>40</v>
      </c>
      <c r="F99" s="78">
        <v>11.2</v>
      </c>
      <c r="G99" s="79">
        <f t="shared" si="1"/>
        <v>3.4137598907596831</v>
      </c>
      <c r="H99" s="83">
        <v>39.64</v>
      </c>
      <c r="J99" s="64"/>
      <c r="K99" s="68"/>
      <c r="L99" s="72"/>
      <c r="O99" s="64"/>
      <c r="P99" s="73"/>
    </row>
    <row r="100" spans="1:17" x14ac:dyDescent="0.35">
      <c r="A100" s="68" t="s">
        <v>126</v>
      </c>
      <c r="B100" s="68" t="s">
        <v>48</v>
      </c>
      <c r="C100" s="72">
        <v>66</v>
      </c>
      <c r="D100" s="73" t="s">
        <v>40</v>
      </c>
      <c r="F100" s="78">
        <v>11.8</v>
      </c>
      <c r="G100" s="79">
        <f t="shared" si="1"/>
        <v>3.5966398849075238</v>
      </c>
      <c r="H100" s="83">
        <v>53.85</v>
      </c>
      <c r="J100" s="64"/>
      <c r="K100" s="68"/>
      <c r="L100" s="72"/>
      <c r="O100" s="64"/>
      <c r="P100" s="73"/>
    </row>
    <row r="101" spans="1:17" x14ac:dyDescent="0.35">
      <c r="A101" s="68" t="s">
        <v>126</v>
      </c>
      <c r="B101" s="68" t="s">
        <v>48</v>
      </c>
      <c r="C101" s="72">
        <v>67</v>
      </c>
      <c r="D101" s="73" t="s">
        <v>40</v>
      </c>
      <c r="F101" s="78">
        <v>9.3000000000000007</v>
      </c>
      <c r="G101" s="79">
        <f t="shared" si="1"/>
        <v>2.8346399092915231</v>
      </c>
      <c r="H101" s="83">
        <v>64.34</v>
      </c>
      <c r="J101" s="64"/>
      <c r="K101" s="68"/>
      <c r="L101" s="72"/>
      <c r="O101" s="64"/>
      <c r="P101" s="73"/>
    </row>
    <row r="102" spans="1:17" x14ac:dyDescent="0.35">
      <c r="A102" s="68" t="s">
        <v>126</v>
      </c>
      <c r="B102" s="68" t="s">
        <v>48</v>
      </c>
      <c r="C102" s="72">
        <v>68</v>
      </c>
      <c r="D102" s="73" t="s">
        <v>40</v>
      </c>
      <c r="F102" s="78">
        <v>9.8000000000000007</v>
      </c>
      <c r="G102" s="79">
        <f t="shared" si="1"/>
        <v>2.9870399044147233</v>
      </c>
      <c r="H102" s="83">
        <v>53.07</v>
      </c>
      <c r="J102" s="64"/>
      <c r="K102" s="68"/>
      <c r="L102" s="72"/>
      <c r="O102" s="64"/>
      <c r="P102" s="73"/>
    </row>
    <row r="103" spans="1:17" x14ac:dyDescent="0.35">
      <c r="A103" s="68" t="s">
        <v>126</v>
      </c>
      <c r="B103" s="68" t="s">
        <v>48</v>
      </c>
      <c r="C103" s="72">
        <v>69</v>
      </c>
      <c r="D103" s="73" t="s">
        <v>40</v>
      </c>
      <c r="F103" s="78">
        <v>8.8000000000000007</v>
      </c>
      <c r="G103" s="79">
        <f t="shared" si="1"/>
        <v>2.6822399141683229</v>
      </c>
      <c r="H103" s="83">
        <v>43.25</v>
      </c>
      <c r="J103" s="64"/>
      <c r="K103" s="68"/>
      <c r="L103" s="72"/>
      <c r="O103" s="64"/>
      <c r="P103" s="73"/>
    </row>
    <row r="104" spans="1:17" x14ac:dyDescent="0.35">
      <c r="A104" s="69" t="s">
        <v>126</v>
      </c>
      <c r="B104" s="69" t="s">
        <v>48</v>
      </c>
      <c r="C104" s="74">
        <v>70</v>
      </c>
      <c r="D104" s="75" t="s">
        <v>40</v>
      </c>
      <c r="E104" s="1"/>
      <c r="F104" s="80">
        <v>6.2</v>
      </c>
      <c r="G104" s="81">
        <f t="shared" si="1"/>
        <v>1.8897599395276821</v>
      </c>
      <c r="H104" s="84">
        <v>31.29</v>
      </c>
      <c r="I104" s="1"/>
      <c r="J104" s="66"/>
      <c r="K104" s="69"/>
      <c r="L104" s="74"/>
      <c r="M104" s="1"/>
      <c r="N104" s="1"/>
      <c r="O104" s="66"/>
      <c r="P104" s="75"/>
      <c r="Q104"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A493B-378E-4B19-9736-3CE54F92B0FE}">
  <dimension ref="A1:P104"/>
  <sheetViews>
    <sheetView workbookViewId="0">
      <selection activeCell="L17" sqref="L17"/>
    </sheetView>
  </sheetViews>
  <sheetFormatPr defaultRowHeight="14.5" x14ac:dyDescent="0.35"/>
  <cols>
    <col min="1" max="1" width="10.08984375" bestFit="1" customWidth="1"/>
    <col min="2" max="2" width="9.36328125" bestFit="1" customWidth="1"/>
    <col min="3" max="3" width="5.7265625" bestFit="1" customWidth="1"/>
    <col min="4" max="4" width="7.453125" bestFit="1" customWidth="1"/>
    <col min="5" max="6" width="6.26953125" bestFit="1" customWidth="1"/>
    <col min="8" max="8" width="7" bestFit="1" customWidth="1"/>
    <col min="11" max="12" width="9.6328125" customWidth="1"/>
    <col min="16" max="16" width="28.453125" customWidth="1"/>
  </cols>
  <sheetData>
    <row r="1" spans="1:16" s="6" customFormat="1" ht="44" thickBot="1" x14ac:dyDescent="0.4">
      <c r="A1" s="67" t="s">
        <v>24</v>
      </c>
      <c r="B1" s="67" t="s">
        <v>2</v>
      </c>
      <c r="C1" s="70" t="s">
        <v>7</v>
      </c>
      <c r="D1" s="71" t="s">
        <v>41</v>
      </c>
      <c r="E1" s="76" t="s">
        <v>8</v>
      </c>
      <c r="F1" s="77" t="s">
        <v>9</v>
      </c>
      <c r="G1" s="82" t="s">
        <v>12</v>
      </c>
      <c r="H1" s="58" t="s">
        <v>10</v>
      </c>
      <c r="I1" s="65" t="s">
        <v>11</v>
      </c>
      <c r="J1" s="85" t="s">
        <v>13</v>
      </c>
      <c r="K1" s="70" t="s">
        <v>14</v>
      </c>
      <c r="L1" s="58" t="s">
        <v>15</v>
      </c>
      <c r="M1" s="58" t="s">
        <v>16</v>
      </c>
      <c r="N1" s="65" t="s">
        <v>17</v>
      </c>
      <c r="O1" s="71" t="s">
        <v>18</v>
      </c>
      <c r="P1" s="58" t="s">
        <v>5</v>
      </c>
    </row>
    <row r="2" spans="1:16" x14ac:dyDescent="0.35">
      <c r="A2" s="68" t="s">
        <v>25</v>
      </c>
      <c r="B2" t="s">
        <v>26</v>
      </c>
      <c r="C2" s="72">
        <v>1</v>
      </c>
      <c r="D2" s="73" t="s">
        <v>42</v>
      </c>
      <c r="E2" s="78">
        <v>10.7</v>
      </c>
      <c r="F2" s="79">
        <f>IF(E2 = 0, " ", IF(E2&lt;2, E2/1, E2/3.28084))</f>
        <v>3.2613598956364833</v>
      </c>
      <c r="G2" s="64">
        <v>75.430000000000007</v>
      </c>
      <c r="H2" s="72">
        <v>1</v>
      </c>
      <c r="I2" s="79"/>
      <c r="K2" s="72" t="s">
        <v>20</v>
      </c>
      <c r="L2" t="s">
        <v>29</v>
      </c>
      <c r="M2" t="s">
        <v>19</v>
      </c>
      <c r="N2" s="64">
        <v>0</v>
      </c>
      <c r="O2" s="73">
        <v>160</v>
      </c>
      <c r="P2" t="s">
        <v>32</v>
      </c>
    </row>
    <row r="3" spans="1:16" x14ac:dyDescent="0.35">
      <c r="A3" s="68" t="s">
        <v>25</v>
      </c>
      <c r="B3" t="s">
        <v>26</v>
      </c>
      <c r="C3" s="72">
        <v>1</v>
      </c>
      <c r="D3" s="73"/>
      <c r="E3" s="78"/>
      <c r="F3" s="79" t="str">
        <f t="shared" ref="F3:F66" si="0">IF(E3 = 0, " ", IF(E3&lt;2, E3/1, E3/3.28084))</f>
        <v xml:space="preserve"> </v>
      </c>
      <c r="G3" s="64"/>
      <c r="H3" s="72"/>
      <c r="I3" s="79"/>
      <c r="K3" s="72" t="s">
        <v>20</v>
      </c>
      <c r="L3" t="s">
        <v>22</v>
      </c>
      <c r="M3" t="s">
        <v>19</v>
      </c>
      <c r="N3" s="64">
        <v>0.41</v>
      </c>
      <c r="O3" s="73">
        <v>0</v>
      </c>
    </row>
    <row r="4" spans="1:16" x14ac:dyDescent="0.35">
      <c r="A4" s="68" t="s">
        <v>25</v>
      </c>
      <c r="B4" t="s">
        <v>26</v>
      </c>
      <c r="C4" s="72">
        <v>2</v>
      </c>
      <c r="D4" s="73" t="s">
        <v>42</v>
      </c>
      <c r="E4" s="78">
        <v>5</v>
      </c>
      <c r="F4" s="79">
        <f t="shared" si="0"/>
        <v>1.5239999512320015</v>
      </c>
      <c r="G4" s="64">
        <v>11.04</v>
      </c>
      <c r="H4" s="72">
        <v>2</v>
      </c>
      <c r="I4" s="79">
        <v>1.4</v>
      </c>
      <c r="K4" s="72" t="s">
        <v>20</v>
      </c>
      <c r="L4" t="s">
        <v>29</v>
      </c>
      <c r="M4" t="s">
        <v>19</v>
      </c>
      <c r="N4" s="64">
        <v>0</v>
      </c>
      <c r="O4" s="73">
        <v>210</v>
      </c>
      <c r="P4" t="s">
        <v>32</v>
      </c>
    </row>
    <row r="5" spans="1:16" x14ac:dyDescent="0.35">
      <c r="A5" s="68" t="s">
        <v>25</v>
      </c>
      <c r="B5" t="s">
        <v>26</v>
      </c>
      <c r="C5" s="72">
        <v>3</v>
      </c>
      <c r="D5" s="73" t="s">
        <v>42</v>
      </c>
      <c r="E5" s="78">
        <v>10.9</v>
      </c>
      <c r="F5" s="79">
        <f t="shared" si="0"/>
        <v>3.3223198936857634</v>
      </c>
      <c r="G5" s="64">
        <v>39.85</v>
      </c>
      <c r="H5" s="72">
        <v>1</v>
      </c>
      <c r="I5" s="79"/>
      <c r="K5" s="72" t="s">
        <v>20</v>
      </c>
      <c r="L5" t="s">
        <v>22</v>
      </c>
      <c r="M5" t="s">
        <v>19</v>
      </c>
      <c r="N5" s="64">
        <v>0.45</v>
      </c>
      <c r="O5" s="73">
        <v>0</v>
      </c>
      <c r="P5" t="s">
        <v>32</v>
      </c>
    </row>
    <row r="6" spans="1:16" x14ac:dyDescent="0.35">
      <c r="A6" s="68" t="s">
        <v>25</v>
      </c>
      <c r="B6" t="s">
        <v>26</v>
      </c>
      <c r="C6" s="72">
        <v>4</v>
      </c>
      <c r="D6" s="73" t="s">
        <v>42</v>
      </c>
      <c r="E6" s="78">
        <v>14</v>
      </c>
      <c r="F6" s="79">
        <f t="shared" si="0"/>
        <v>4.267199863449604</v>
      </c>
      <c r="G6" s="64">
        <v>86.6</v>
      </c>
      <c r="H6" s="72">
        <v>1</v>
      </c>
      <c r="I6" s="79"/>
      <c r="J6">
        <v>77</v>
      </c>
      <c r="K6" s="72" t="s">
        <v>20</v>
      </c>
      <c r="L6" t="s">
        <v>21</v>
      </c>
      <c r="M6" t="s">
        <v>19</v>
      </c>
      <c r="N6" s="64">
        <v>1.4</v>
      </c>
      <c r="O6" s="73">
        <v>45</v>
      </c>
      <c r="P6" t="s">
        <v>32</v>
      </c>
    </row>
    <row r="7" spans="1:16" x14ac:dyDescent="0.35">
      <c r="A7" s="68" t="s">
        <v>25</v>
      </c>
      <c r="B7" t="s">
        <v>26</v>
      </c>
      <c r="C7" s="72">
        <v>5</v>
      </c>
      <c r="D7" s="73" t="s">
        <v>42</v>
      </c>
      <c r="E7" s="78">
        <v>13.6</v>
      </c>
      <c r="F7" s="79">
        <f t="shared" si="0"/>
        <v>4.1452798673510438</v>
      </c>
      <c r="G7" s="64">
        <v>70.62</v>
      </c>
      <c r="H7" s="72">
        <v>1</v>
      </c>
      <c r="I7" s="79"/>
      <c r="J7">
        <v>344</v>
      </c>
      <c r="K7" s="72" t="s">
        <v>20</v>
      </c>
      <c r="L7" t="s">
        <v>29</v>
      </c>
      <c r="M7" t="s">
        <v>19</v>
      </c>
      <c r="N7" s="64">
        <v>0</v>
      </c>
      <c r="O7" s="73">
        <v>310</v>
      </c>
    </row>
    <row r="8" spans="1:16" x14ac:dyDescent="0.35">
      <c r="A8" s="68" t="s">
        <v>25</v>
      </c>
      <c r="B8" t="s">
        <v>26</v>
      </c>
      <c r="C8" s="72">
        <v>5</v>
      </c>
      <c r="D8" s="73"/>
      <c r="E8" s="78"/>
      <c r="F8" s="79" t="str">
        <f t="shared" si="0"/>
        <v xml:space="preserve"> </v>
      </c>
      <c r="G8" s="64"/>
      <c r="H8" s="72"/>
      <c r="I8" s="79"/>
      <c r="K8" s="72" t="s">
        <v>20</v>
      </c>
      <c r="L8" t="s">
        <v>21</v>
      </c>
      <c r="M8" t="s">
        <v>19</v>
      </c>
      <c r="N8" s="64">
        <v>0.57999999999999996</v>
      </c>
      <c r="O8" s="73">
        <v>80</v>
      </c>
    </row>
    <row r="9" spans="1:16" x14ac:dyDescent="0.35">
      <c r="A9" s="68" t="s">
        <v>25</v>
      </c>
      <c r="B9" t="s">
        <v>26</v>
      </c>
      <c r="C9" s="72">
        <v>5</v>
      </c>
      <c r="D9" s="73"/>
      <c r="E9" s="78"/>
      <c r="F9" s="79" t="str">
        <f t="shared" si="0"/>
        <v xml:space="preserve"> </v>
      </c>
      <c r="G9" s="64"/>
      <c r="H9" s="72"/>
      <c r="I9" s="79"/>
      <c r="K9" s="72" t="s">
        <v>20</v>
      </c>
      <c r="L9" t="s">
        <v>21</v>
      </c>
      <c r="M9" t="s">
        <v>19</v>
      </c>
      <c r="N9" s="64">
        <v>1.62</v>
      </c>
      <c r="O9" s="73">
        <v>16</v>
      </c>
    </row>
    <row r="10" spans="1:16" x14ac:dyDescent="0.35">
      <c r="A10" s="68" t="s">
        <v>25</v>
      </c>
      <c r="B10" t="s">
        <v>26</v>
      </c>
      <c r="C10" s="72">
        <v>6</v>
      </c>
      <c r="D10" s="73" t="s">
        <v>42</v>
      </c>
      <c r="E10" s="78">
        <v>8.1999999999999993</v>
      </c>
      <c r="F10" s="79">
        <f t="shared" si="0"/>
        <v>2.4993599200204826</v>
      </c>
      <c r="G10" s="64">
        <v>21.46</v>
      </c>
      <c r="H10" s="72">
        <v>1</v>
      </c>
      <c r="I10" s="79"/>
      <c r="K10" s="72" t="s">
        <v>20</v>
      </c>
      <c r="L10" t="s">
        <v>22</v>
      </c>
      <c r="M10" t="s">
        <v>19</v>
      </c>
      <c r="N10" s="64">
        <v>0.41</v>
      </c>
      <c r="O10" s="73">
        <v>0</v>
      </c>
    </row>
    <row r="11" spans="1:16" x14ac:dyDescent="0.35">
      <c r="A11" s="68" t="s">
        <v>25</v>
      </c>
      <c r="B11" t="s">
        <v>26</v>
      </c>
      <c r="C11" s="72">
        <v>6</v>
      </c>
      <c r="D11" s="73"/>
      <c r="E11" s="78"/>
      <c r="F11" s="79" t="str">
        <f t="shared" si="0"/>
        <v xml:space="preserve"> </v>
      </c>
      <c r="G11" s="64"/>
      <c r="H11" s="72"/>
      <c r="I11" s="79"/>
      <c r="K11" s="72" t="s">
        <v>20</v>
      </c>
      <c r="L11" t="s">
        <v>22</v>
      </c>
      <c r="M11" t="s">
        <v>19</v>
      </c>
      <c r="N11" s="64">
        <v>0.57999999999999996</v>
      </c>
      <c r="O11" s="73">
        <v>0</v>
      </c>
    </row>
    <row r="12" spans="1:16" x14ac:dyDescent="0.35">
      <c r="A12" s="68" t="s">
        <v>25</v>
      </c>
      <c r="B12" t="s">
        <v>26</v>
      </c>
      <c r="C12" s="72">
        <v>6</v>
      </c>
      <c r="D12" s="73"/>
      <c r="E12" s="78"/>
      <c r="F12" s="79" t="str">
        <f t="shared" si="0"/>
        <v xml:space="preserve"> </v>
      </c>
      <c r="G12" s="64"/>
      <c r="H12" s="72"/>
      <c r="I12" s="79"/>
      <c r="K12" s="72" t="s">
        <v>20</v>
      </c>
      <c r="L12" t="s">
        <v>22</v>
      </c>
      <c r="M12" t="s">
        <v>19</v>
      </c>
      <c r="N12" s="64">
        <v>1.23</v>
      </c>
      <c r="O12" s="73">
        <v>0</v>
      </c>
    </row>
    <row r="13" spans="1:16" x14ac:dyDescent="0.35">
      <c r="A13" s="68" t="s">
        <v>25</v>
      </c>
      <c r="B13" t="s">
        <v>26</v>
      </c>
      <c r="C13" s="72">
        <v>6</v>
      </c>
      <c r="D13" s="73"/>
      <c r="E13" s="78"/>
      <c r="F13" s="79"/>
      <c r="G13" s="64"/>
      <c r="H13" s="72"/>
      <c r="I13" s="79"/>
      <c r="K13" s="72" t="s">
        <v>20</v>
      </c>
      <c r="L13" t="s">
        <v>30</v>
      </c>
      <c r="M13" t="s">
        <v>19</v>
      </c>
      <c r="N13" s="64">
        <v>0.33</v>
      </c>
      <c r="O13" s="73">
        <v>0</v>
      </c>
    </row>
    <row r="14" spans="1:16" x14ac:dyDescent="0.35">
      <c r="A14" s="68" t="s">
        <v>25</v>
      </c>
      <c r="B14" t="s">
        <v>26</v>
      </c>
      <c r="C14" s="72">
        <v>7</v>
      </c>
      <c r="D14" s="73" t="s">
        <v>42</v>
      </c>
      <c r="E14" s="78">
        <v>9.3000000000000007</v>
      </c>
      <c r="F14" s="79">
        <f t="shared" si="0"/>
        <v>2.8346399092915231</v>
      </c>
      <c r="G14" s="64">
        <v>28.82</v>
      </c>
      <c r="H14" s="72">
        <v>2</v>
      </c>
      <c r="I14" s="79">
        <v>0.7</v>
      </c>
      <c r="K14" s="72" t="s">
        <v>20</v>
      </c>
      <c r="L14" t="s">
        <v>29</v>
      </c>
      <c r="M14" t="s">
        <v>20</v>
      </c>
      <c r="N14" s="64">
        <v>0</v>
      </c>
      <c r="O14" s="73">
        <v>160</v>
      </c>
    </row>
    <row r="15" spans="1:16" x14ac:dyDescent="0.35">
      <c r="A15" s="68" t="s">
        <v>25</v>
      </c>
      <c r="B15" t="s">
        <v>26</v>
      </c>
      <c r="C15" s="72">
        <v>7</v>
      </c>
      <c r="D15" s="73"/>
      <c r="E15" s="78"/>
      <c r="F15" s="79" t="str">
        <f t="shared" si="0"/>
        <v xml:space="preserve"> </v>
      </c>
      <c r="G15" s="64"/>
      <c r="H15" s="72"/>
      <c r="I15" s="79"/>
      <c r="K15" s="72" t="s">
        <v>20</v>
      </c>
      <c r="L15" t="s">
        <v>22</v>
      </c>
      <c r="M15" t="s">
        <v>20</v>
      </c>
      <c r="N15" s="64">
        <v>0.46</v>
      </c>
      <c r="O15" s="73">
        <v>0</v>
      </c>
    </row>
    <row r="16" spans="1:16" x14ac:dyDescent="0.35">
      <c r="A16" s="68" t="s">
        <v>25</v>
      </c>
      <c r="B16" t="s">
        <v>26</v>
      </c>
      <c r="C16" s="72">
        <v>7</v>
      </c>
      <c r="D16" s="73"/>
      <c r="E16" s="78"/>
      <c r="F16" s="79" t="str">
        <f t="shared" si="0"/>
        <v xml:space="preserve"> </v>
      </c>
      <c r="G16" s="64"/>
      <c r="H16" s="72"/>
      <c r="I16" s="79"/>
      <c r="K16" s="72" t="s">
        <v>20</v>
      </c>
      <c r="L16" t="s">
        <v>22</v>
      </c>
      <c r="M16" t="s">
        <v>20</v>
      </c>
      <c r="N16" s="64">
        <v>0.7</v>
      </c>
      <c r="O16" s="73">
        <v>0</v>
      </c>
    </row>
    <row r="17" spans="1:16" x14ac:dyDescent="0.35">
      <c r="A17" s="68" t="s">
        <v>25</v>
      </c>
      <c r="B17" t="s">
        <v>26</v>
      </c>
      <c r="C17" s="72">
        <v>8</v>
      </c>
      <c r="D17" s="73" t="s">
        <v>42</v>
      </c>
      <c r="E17" s="78">
        <v>9.9</v>
      </c>
      <c r="F17" s="79">
        <f t="shared" si="0"/>
        <v>3.0175199034393634</v>
      </c>
      <c r="G17" s="64">
        <v>35.46</v>
      </c>
      <c r="H17" s="72">
        <v>2</v>
      </c>
      <c r="I17" s="79">
        <v>0.65</v>
      </c>
      <c r="K17" s="72" t="s">
        <v>20</v>
      </c>
      <c r="L17" t="s">
        <v>21</v>
      </c>
      <c r="M17" t="s">
        <v>20</v>
      </c>
      <c r="N17" s="64">
        <v>0.21</v>
      </c>
      <c r="O17" s="73">
        <v>124</v>
      </c>
      <c r="P17" t="s">
        <v>27</v>
      </c>
    </row>
    <row r="18" spans="1:16" x14ac:dyDescent="0.35">
      <c r="A18" s="68" t="s">
        <v>25</v>
      </c>
      <c r="B18" t="s">
        <v>26</v>
      </c>
      <c r="C18" s="72">
        <v>8</v>
      </c>
      <c r="D18" s="73"/>
      <c r="E18" s="78"/>
      <c r="F18" s="79" t="str">
        <f t="shared" si="0"/>
        <v xml:space="preserve"> </v>
      </c>
      <c r="G18" s="64"/>
      <c r="H18" s="72"/>
      <c r="I18" s="79"/>
      <c r="K18" s="72" t="s">
        <v>20</v>
      </c>
      <c r="L18" t="s">
        <v>22</v>
      </c>
      <c r="M18" t="s">
        <v>19</v>
      </c>
      <c r="N18" s="64">
        <v>0.69</v>
      </c>
      <c r="O18" s="73">
        <v>0</v>
      </c>
    </row>
    <row r="19" spans="1:16" x14ac:dyDescent="0.35">
      <c r="A19" s="68" t="s">
        <v>25</v>
      </c>
      <c r="B19" t="s">
        <v>26</v>
      </c>
      <c r="C19" s="72">
        <v>8</v>
      </c>
      <c r="D19" s="73"/>
      <c r="E19" s="78"/>
      <c r="F19" s="79" t="str">
        <f t="shared" si="0"/>
        <v xml:space="preserve"> </v>
      </c>
      <c r="G19" s="64"/>
      <c r="H19" s="72"/>
      <c r="I19" s="79"/>
      <c r="K19" s="72" t="s">
        <v>20</v>
      </c>
      <c r="L19" t="s">
        <v>22</v>
      </c>
      <c r="M19" t="s">
        <v>19</v>
      </c>
      <c r="N19" s="64">
        <v>1.3</v>
      </c>
      <c r="O19" s="73">
        <v>0</v>
      </c>
    </row>
    <row r="20" spans="1:16" x14ac:dyDescent="0.35">
      <c r="A20" s="68" t="s">
        <v>25</v>
      </c>
      <c r="B20" t="s">
        <v>26</v>
      </c>
      <c r="C20" s="72">
        <v>8</v>
      </c>
      <c r="D20" s="73"/>
      <c r="E20" s="78"/>
      <c r="F20" s="79"/>
      <c r="G20" s="64"/>
      <c r="H20" s="72"/>
      <c r="I20" s="79"/>
      <c r="K20" s="72" t="s">
        <v>20</v>
      </c>
      <c r="L20" t="s">
        <v>30</v>
      </c>
      <c r="M20" t="s">
        <v>19</v>
      </c>
      <c r="N20" s="64">
        <v>0.21</v>
      </c>
      <c r="O20" s="73">
        <v>0</v>
      </c>
    </row>
    <row r="21" spans="1:16" x14ac:dyDescent="0.35">
      <c r="A21" s="68" t="s">
        <v>25</v>
      </c>
      <c r="B21" t="s">
        <v>26</v>
      </c>
      <c r="C21" s="72">
        <v>9</v>
      </c>
      <c r="D21" s="73" t="s">
        <v>42</v>
      </c>
      <c r="E21" s="78">
        <v>11.8</v>
      </c>
      <c r="F21" s="79">
        <f t="shared" si="0"/>
        <v>3.5966398849075238</v>
      </c>
      <c r="G21" s="64">
        <v>51.65</v>
      </c>
      <c r="H21" s="72">
        <v>1</v>
      </c>
      <c r="I21" s="79"/>
      <c r="K21" s="72" t="s">
        <v>20</v>
      </c>
      <c r="L21" t="s">
        <v>22</v>
      </c>
      <c r="M21" t="s">
        <v>19</v>
      </c>
      <c r="N21" s="64">
        <v>0</v>
      </c>
      <c r="O21" s="73">
        <v>0</v>
      </c>
    </row>
    <row r="22" spans="1:16" x14ac:dyDescent="0.35">
      <c r="A22" s="68" t="s">
        <v>25</v>
      </c>
      <c r="B22" t="s">
        <v>26</v>
      </c>
      <c r="C22" s="72">
        <v>9</v>
      </c>
      <c r="D22" s="73"/>
      <c r="E22" s="78"/>
      <c r="F22" s="79" t="str">
        <f t="shared" si="0"/>
        <v xml:space="preserve"> </v>
      </c>
      <c r="G22" s="64"/>
      <c r="H22" s="72"/>
      <c r="I22" s="79"/>
      <c r="K22" s="72" t="s">
        <v>20</v>
      </c>
      <c r="L22" t="s">
        <v>22</v>
      </c>
      <c r="M22" t="s">
        <v>20</v>
      </c>
      <c r="N22" s="64">
        <v>0.18</v>
      </c>
      <c r="O22" s="73">
        <v>243</v>
      </c>
    </row>
    <row r="23" spans="1:16" x14ac:dyDescent="0.35">
      <c r="A23" s="68" t="s">
        <v>25</v>
      </c>
      <c r="B23" t="s">
        <v>26</v>
      </c>
      <c r="C23" s="72">
        <v>9</v>
      </c>
      <c r="D23" s="73"/>
      <c r="E23" s="78"/>
      <c r="F23" s="79" t="str">
        <f t="shared" si="0"/>
        <v xml:space="preserve"> </v>
      </c>
      <c r="G23" s="64"/>
      <c r="H23" s="72"/>
      <c r="I23" s="79"/>
      <c r="K23" s="72" t="s">
        <v>20</v>
      </c>
      <c r="L23" t="s">
        <v>22</v>
      </c>
      <c r="M23" t="s">
        <v>19</v>
      </c>
      <c r="N23" s="64">
        <v>0.77</v>
      </c>
      <c r="O23" s="73">
        <v>0</v>
      </c>
    </row>
    <row r="24" spans="1:16" x14ac:dyDescent="0.35">
      <c r="A24" s="68" t="s">
        <v>25</v>
      </c>
      <c r="B24" t="s">
        <v>26</v>
      </c>
      <c r="C24" s="72">
        <v>9</v>
      </c>
      <c r="D24" s="73"/>
      <c r="E24" s="78"/>
      <c r="F24" s="79" t="str">
        <f t="shared" si="0"/>
        <v xml:space="preserve"> </v>
      </c>
      <c r="G24" s="64"/>
      <c r="H24" s="72"/>
      <c r="I24" s="79"/>
      <c r="K24" s="72" t="s">
        <v>20</v>
      </c>
      <c r="L24" t="s">
        <v>21</v>
      </c>
      <c r="M24" t="s">
        <v>19</v>
      </c>
      <c r="N24" s="64">
        <v>0.77</v>
      </c>
      <c r="O24" s="73">
        <v>60</v>
      </c>
    </row>
    <row r="25" spans="1:16" x14ac:dyDescent="0.35">
      <c r="A25" s="68" t="s">
        <v>25</v>
      </c>
      <c r="B25" t="s">
        <v>26</v>
      </c>
      <c r="C25" s="72">
        <v>9</v>
      </c>
      <c r="D25" s="73"/>
      <c r="E25" s="78"/>
      <c r="F25" s="79"/>
      <c r="G25" s="64"/>
      <c r="H25" s="72"/>
      <c r="I25" s="79"/>
      <c r="K25" s="72" t="s">
        <v>20</v>
      </c>
      <c r="L25" t="s">
        <v>30</v>
      </c>
      <c r="M25" t="s">
        <v>19</v>
      </c>
      <c r="N25" s="64">
        <v>0.85</v>
      </c>
      <c r="O25" s="73">
        <v>0</v>
      </c>
    </row>
    <row r="26" spans="1:16" x14ac:dyDescent="0.35">
      <c r="A26" s="68" t="s">
        <v>25</v>
      </c>
      <c r="B26" t="s">
        <v>26</v>
      </c>
      <c r="C26" s="72">
        <v>10</v>
      </c>
      <c r="D26" s="73" t="s">
        <v>42</v>
      </c>
      <c r="E26" s="78">
        <v>8.5</v>
      </c>
      <c r="F26" s="79">
        <f t="shared" si="0"/>
        <v>2.5907999170944027</v>
      </c>
      <c r="G26" s="64">
        <v>28.93</v>
      </c>
      <c r="H26" s="72">
        <v>1</v>
      </c>
      <c r="I26" s="79"/>
      <c r="J26">
        <v>382</v>
      </c>
      <c r="K26" s="72" t="s">
        <v>20</v>
      </c>
      <c r="L26" t="s">
        <v>22</v>
      </c>
      <c r="M26" t="s">
        <v>20</v>
      </c>
      <c r="N26" s="64">
        <v>1.06</v>
      </c>
      <c r="O26" s="73">
        <v>66</v>
      </c>
    </row>
    <row r="27" spans="1:16" x14ac:dyDescent="0.35">
      <c r="A27" s="68" t="s">
        <v>25</v>
      </c>
      <c r="B27" t="s">
        <v>26</v>
      </c>
      <c r="C27" s="72">
        <v>10</v>
      </c>
      <c r="D27" s="73"/>
      <c r="E27" s="78"/>
      <c r="F27" s="79"/>
      <c r="G27" s="64"/>
      <c r="H27" s="72"/>
      <c r="I27" s="79"/>
      <c r="K27" s="72" t="s">
        <v>20</v>
      </c>
      <c r="L27" t="s">
        <v>30</v>
      </c>
      <c r="M27" t="s">
        <v>19</v>
      </c>
      <c r="N27" s="64">
        <v>1.1200000000000001</v>
      </c>
      <c r="O27" s="73">
        <v>0</v>
      </c>
    </row>
    <row r="28" spans="1:16" x14ac:dyDescent="0.35">
      <c r="A28" s="68" t="s">
        <v>25</v>
      </c>
      <c r="B28" t="s">
        <v>26</v>
      </c>
      <c r="C28" s="72">
        <v>11</v>
      </c>
      <c r="D28" s="73" t="s">
        <v>42</v>
      </c>
      <c r="E28" s="78">
        <v>7.6</v>
      </c>
      <c r="F28" s="79">
        <f t="shared" si="0"/>
        <v>2.3164799258726423</v>
      </c>
      <c r="G28" s="64">
        <v>17.98</v>
      </c>
      <c r="H28" s="72">
        <v>2</v>
      </c>
      <c r="I28" s="79">
        <v>0.81</v>
      </c>
      <c r="K28" s="72" t="s">
        <v>20</v>
      </c>
      <c r="L28" t="s">
        <v>22</v>
      </c>
      <c r="M28" t="s">
        <v>20</v>
      </c>
      <c r="N28" s="64">
        <v>0.73</v>
      </c>
      <c r="O28" s="73">
        <v>0</v>
      </c>
      <c r="P28" t="s">
        <v>28</v>
      </c>
    </row>
    <row r="29" spans="1:16" x14ac:dyDescent="0.35">
      <c r="A29" s="68" t="s">
        <v>25</v>
      </c>
      <c r="B29" t="s">
        <v>26</v>
      </c>
      <c r="C29" s="72">
        <v>11</v>
      </c>
      <c r="D29" s="73"/>
      <c r="E29" s="78"/>
      <c r="F29" s="79" t="str">
        <f t="shared" si="0"/>
        <v xml:space="preserve"> </v>
      </c>
      <c r="G29" s="64"/>
      <c r="H29" s="72"/>
      <c r="I29" s="79"/>
      <c r="K29" s="72" t="s">
        <v>20</v>
      </c>
      <c r="L29" t="s">
        <v>22</v>
      </c>
      <c r="M29" t="s">
        <v>19</v>
      </c>
      <c r="N29" s="64">
        <v>0.65</v>
      </c>
      <c r="O29" s="73">
        <v>0</v>
      </c>
    </row>
    <row r="30" spans="1:16" x14ac:dyDescent="0.35">
      <c r="A30" s="68" t="s">
        <v>25</v>
      </c>
      <c r="B30" t="s">
        <v>26</v>
      </c>
      <c r="C30" s="72">
        <v>12</v>
      </c>
      <c r="D30" s="73" t="s">
        <v>42</v>
      </c>
      <c r="E30" s="78">
        <v>11.11</v>
      </c>
      <c r="F30" s="79">
        <f t="shared" si="0"/>
        <v>3.3863278916375075</v>
      </c>
      <c r="G30" s="64">
        <v>54.06</v>
      </c>
      <c r="H30" s="72">
        <v>1</v>
      </c>
      <c r="I30" s="79"/>
      <c r="K30" s="72" t="s">
        <v>20</v>
      </c>
      <c r="L30" t="s">
        <v>30</v>
      </c>
      <c r="M30" t="s">
        <v>19</v>
      </c>
      <c r="N30" s="64">
        <v>0.87</v>
      </c>
      <c r="O30" s="73">
        <v>0</v>
      </c>
      <c r="P30" t="s">
        <v>33</v>
      </c>
    </row>
    <row r="31" spans="1:16" x14ac:dyDescent="0.35">
      <c r="A31" s="68" t="s">
        <v>25</v>
      </c>
      <c r="B31" t="s">
        <v>26</v>
      </c>
      <c r="C31" s="72">
        <v>12</v>
      </c>
      <c r="D31" s="73"/>
      <c r="E31" s="78"/>
      <c r="F31" s="79" t="str">
        <f t="shared" si="0"/>
        <v xml:space="preserve"> </v>
      </c>
      <c r="G31" s="64"/>
      <c r="H31" s="72"/>
      <c r="I31" s="79"/>
      <c r="K31" s="72" t="s">
        <v>20</v>
      </c>
      <c r="L31" t="s">
        <v>21</v>
      </c>
      <c r="M31" t="s">
        <v>19</v>
      </c>
      <c r="N31" s="64">
        <v>0.78</v>
      </c>
      <c r="O31" s="73">
        <v>39</v>
      </c>
    </row>
    <row r="32" spans="1:16" x14ac:dyDescent="0.35">
      <c r="A32" s="68" t="s">
        <v>25</v>
      </c>
      <c r="B32" t="s">
        <v>26</v>
      </c>
      <c r="C32" s="72">
        <v>12</v>
      </c>
      <c r="D32" s="73"/>
      <c r="E32" s="78"/>
      <c r="F32" s="79" t="str">
        <f t="shared" si="0"/>
        <v xml:space="preserve"> </v>
      </c>
      <c r="G32" s="64"/>
      <c r="H32" s="72"/>
      <c r="I32" s="79"/>
      <c r="K32" s="72" t="s">
        <v>20</v>
      </c>
      <c r="L32" t="s">
        <v>21</v>
      </c>
      <c r="M32" t="s">
        <v>19</v>
      </c>
      <c r="N32" s="64">
        <v>1.19</v>
      </c>
      <c r="O32" s="73">
        <v>68</v>
      </c>
    </row>
    <row r="33" spans="1:16" x14ac:dyDescent="0.35">
      <c r="A33" s="68" t="s">
        <v>25</v>
      </c>
      <c r="B33" t="s">
        <v>26</v>
      </c>
      <c r="C33" s="72">
        <v>13</v>
      </c>
      <c r="D33" s="73" t="s">
        <v>42</v>
      </c>
      <c r="E33" s="78">
        <v>11.1</v>
      </c>
      <c r="F33" s="79">
        <f t="shared" si="0"/>
        <v>3.3832798917350435</v>
      </c>
      <c r="G33" s="64">
        <v>57.87</v>
      </c>
      <c r="H33" s="72">
        <v>1</v>
      </c>
      <c r="I33" s="79"/>
      <c r="K33" s="72" t="s">
        <v>20</v>
      </c>
      <c r="L33" t="s">
        <v>30</v>
      </c>
      <c r="M33" t="s">
        <v>19</v>
      </c>
      <c r="N33" s="64">
        <v>0.79</v>
      </c>
      <c r="O33" s="73">
        <v>0</v>
      </c>
    </row>
    <row r="34" spans="1:16" x14ac:dyDescent="0.35">
      <c r="A34" s="68" t="s">
        <v>25</v>
      </c>
      <c r="B34" t="s">
        <v>26</v>
      </c>
      <c r="C34" s="72">
        <v>13</v>
      </c>
      <c r="D34" s="73"/>
      <c r="E34" s="78"/>
      <c r="F34" s="79" t="str">
        <f t="shared" si="0"/>
        <v xml:space="preserve"> </v>
      </c>
      <c r="G34" s="64"/>
      <c r="H34" s="72"/>
      <c r="I34" s="79"/>
      <c r="K34" s="72" t="s">
        <v>20</v>
      </c>
      <c r="L34" t="s">
        <v>21</v>
      </c>
      <c r="M34" t="s">
        <v>19</v>
      </c>
      <c r="N34" s="64">
        <v>0.66</v>
      </c>
      <c r="O34" s="73">
        <v>29</v>
      </c>
    </row>
    <row r="35" spans="1:16" x14ac:dyDescent="0.35">
      <c r="A35" s="68" t="s">
        <v>25</v>
      </c>
      <c r="B35" t="s">
        <v>26</v>
      </c>
      <c r="C35" s="72">
        <v>14</v>
      </c>
      <c r="D35" s="73" t="s">
        <v>42</v>
      </c>
      <c r="E35" s="78">
        <v>7.2</v>
      </c>
      <c r="F35" s="79">
        <f t="shared" si="0"/>
        <v>2.1945599297740821</v>
      </c>
      <c r="G35" s="64">
        <v>22.22</v>
      </c>
      <c r="H35" s="72">
        <v>1</v>
      </c>
      <c r="I35" s="79"/>
      <c r="K35" s="72" t="s">
        <v>20</v>
      </c>
      <c r="L35" t="s">
        <v>30</v>
      </c>
      <c r="M35" t="s">
        <v>19</v>
      </c>
      <c r="N35" s="64">
        <v>0.85</v>
      </c>
      <c r="O35" s="73">
        <v>0</v>
      </c>
    </row>
    <row r="36" spans="1:16" x14ac:dyDescent="0.35">
      <c r="A36" s="68" t="s">
        <v>25</v>
      </c>
      <c r="B36" t="s">
        <v>26</v>
      </c>
      <c r="C36" s="72">
        <v>14</v>
      </c>
      <c r="D36" s="73"/>
      <c r="E36" s="78"/>
      <c r="F36" s="79" t="str">
        <f t="shared" si="0"/>
        <v xml:space="preserve"> </v>
      </c>
      <c r="G36" s="64"/>
      <c r="H36" s="72"/>
      <c r="I36" s="79"/>
      <c r="K36" s="72" t="s">
        <v>20</v>
      </c>
      <c r="L36" t="s">
        <v>31</v>
      </c>
      <c r="M36" t="s">
        <v>19</v>
      </c>
      <c r="N36" s="64">
        <v>0</v>
      </c>
      <c r="O36" s="73">
        <v>363</v>
      </c>
    </row>
    <row r="37" spans="1:16" x14ac:dyDescent="0.35">
      <c r="A37" s="68" t="s">
        <v>25</v>
      </c>
      <c r="B37" t="s">
        <v>26</v>
      </c>
      <c r="C37" s="72">
        <v>14</v>
      </c>
      <c r="D37" s="73"/>
      <c r="E37" s="78"/>
      <c r="F37" s="79" t="str">
        <f t="shared" si="0"/>
        <v xml:space="preserve"> </v>
      </c>
      <c r="G37" s="64"/>
      <c r="H37" s="72"/>
      <c r="I37" s="79"/>
      <c r="K37" s="72" t="s">
        <v>20</v>
      </c>
      <c r="L37" t="s">
        <v>22</v>
      </c>
      <c r="M37" t="s">
        <v>19</v>
      </c>
      <c r="N37" s="64">
        <v>1.75</v>
      </c>
      <c r="O37" s="73">
        <v>0</v>
      </c>
    </row>
    <row r="38" spans="1:16" x14ac:dyDescent="0.35">
      <c r="A38" s="68" t="s">
        <v>25</v>
      </c>
      <c r="B38" t="s">
        <v>26</v>
      </c>
      <c r="C38" s="72">
        <v>15</v>
      </c>
      <c r="D38" s="73" t="s">
        <v>42</v>
      </c>
      <c r="E38" s="78">
        <v>1.3</v>
      </c>
      <c r="F38" s="79">
        <f t="shared" si="0"/>
        <v>1.3</v>
      </c>
      <c r="G38" s="64">
        <v>5.44</v>
      </c>
      <c r="H38" s="72">
        <v>1</v>
      </c>
      <c r="I38" s="79"/>
      <c r="K38" s="72" t="s">
        <v>20</v>
      </c>
      <c r="L38" t="s">
        <v>21</v>
      </c>
      <c r="M38" t="s">
        <v>20</v>
      </c>
      <c r="N38" s="64">
        <v>0.5</v>
      </c>
      <c r="O38" s="73">
        <v>490</v>
      </c>
      <c r="P38" t="s">
        <v>33</v>
      </c>
    </row>
    <row r="39" spans="1:16" x14ac:dyDescent="0.35">
      <c r="A39" s="68" t="s">
        <v>25</v>
      </c>
      <c r="B39" t="s">
        <v>26</v>
      </c>
      <c r="C39" s="72">
        <v>16</v>
      </c>
      <c r="D39" s="73" t="s">
        <v>42</v>
      </c>
      <c r="E39" s="78">
        <v>7.4</v>
      </c>
      <c r="F39" s="79">
        <f t="shared" si="0"/>
        <v>2.2555199278233626</v>
      </c>
      <c r="G39" s="64">
        <v>22.05</v>
      </c>
      <c r="H39" s="72">
        <v>1</v>
      </c>
      <c r="I39" s="79"/>
      <c r="K39" s="72" t="s">
        <v>20</v>
      </c>
      <c r="L39" t="s">
        <v>21</v>
      </c>
      <c r="M39" t="s">
        <v>19</v>
      </c>
      <c r="N39" s="64">
        <v>0.67</v>
      </c>
      <c r="O39" s="73">
        <v>106</v>
      </c>
    </row>
    <row r="40" spans="1:16" x14ac:dyDescent="0.35">
      <c r="A40" s="68" t="s">
        <v>25</v>
      </c>
      <c r="B40" t="s">
        <v>26</v>
      </c>
      <c r="C40" s="72">
        <v>16</v>
      </c>
      <c r="D40" s="73"/>
      <c r="E40" s="78"/>
      <c r="F40" s="79" t="str">
        <f t="shared" si="0"/>
        <v xml:space="preserve"> </v>
      </c>
      <c r="G40" s="64"/>
      <c r="H40" s="72"/>
      <c r="I40" s="79"/>
      <c r="K40" s="72" t="s">
        <v>20</v>
      </c>
      <c r="L40" t="s">
        <v>29</v>
      </c>
      <c r="M40" t="s">
        <v>19</v>
      </c>
      <c r="N40" s="64">
        <v>0</v>
      </c>
      <c r="O40" s="73">
        <v>222</v>
      </c>
    </row>
    <row r="41" spans="1:16" x14ac:dyDescent="0.35">
      <c r="A41" s="68" t="s">
        <v>25</v>
      </c>
      <c r="B41" t="s">
        <v>26</v>
      </c>
      <c r="C41" s="72">
        <v>17</v>
      </c>
      <c r="D41" s="73" t="s">
        <v>42</v>
      </c>
      <c r="E41" s="78">
        <v>10.5</v>
      </c>
      <c r="F41" s="79">
        <f t="shared" si="0"/>
        <v>3.2003998975872032</v>
      </c>
      <c r="G41" s="64">
        <v>42.72</v>
      </c>
      <c r="H41" s="72">
        <v>1</v>
      </c>
      <c r="I41" s="79"/>
      <c r="K41" s="72" t="s">
        <v>20</v>
      </c>
      <c r="L41" t="s">
        <v>21</v>
      </c>
      <c r="M41" t="s">
        <v>19</v>
      </c>
      <c r="N41" s="64">
        <v>0.48</v>
      </c>
      <c r="O41" s="73">
        <v>81</v>
      </c>
    </row>
    <row r="42" spans="1:16" x14ac:dyDescent="0.35">
      <c r="A42" s="68" t="s">
        <v>25</v>
      </c>
      <c r="B42" t="s">
        <v>26</v>
      </c>
      <c r="C42" s="72">
        <v>17</v>
      </c>
      <c r="D42" s="73"/>
      <c r="E42" s="78"/>
      <c r="F42" s="79" t="str">
        <f t="shared" si="0"/>
        <v xml:space="preserve"> </v>
      </c>
      <c r="G42" s="64"/>
      <c r="H42" s="72"/>
      <c r="I42" s="79"/>
      <c r="K42" s="72" t="s">
        <v>20</v>
      </c>
      <c r="L42" t="s">
        <v>30</v>
      </c>
      <c r="M42" t="s">
        <v>19</v>
      </c>
      <c r="N42" s="64">
        <v>0.56999999999999995</v>
      </c>
      <c r="O42" s="73">
        <v>0</v>
      </c>
    </row>
    <row r="43" spans="1:16" x14ac:dyDescent="0.35">
      <c r="A43" s="68" t="s">
        <v>25</v>
      </c>
      <c r="B43" t="s">
        <v>26</v>
      </c>
      <c r="C43" s="72">
        <v>18</v>
      </c>
      <c r="D43" s="73" t="s">
        <v>42</v>
      </c>
      <c r="E43" s="78">
        <v>9.9</v>
      </c>
      <c r="F43" s="79">
        <f t="shared" si="0"/>
        <v>3.0175199034393634</v>
      </c>
      <c r="G43" s="64">
        <v>44.39</v>
      </c>
      <c r="H43" s="72">
        <v>1</v>
      </c>
      <c r="I43" s="79"/>
      <c r="K43" s="72" t="s">
        <v>20</v>
      </c>
      <c r="L43" t="s">
        <v>21</v>
      </c>
      <c r="M43" t="s">
        <v>19</v>
      </c>
      <c r="N43" s="64">
        <v>0.42</v>
      </c>
      <c r="O43" s="73">
        <v>45</v>
      </c>
    </row>
    <row r="44" spans="1:16" s="1" customFormat="1" x14ac:dyDescent="0.35">
      <c r="A44" s="69" t="s">
        <v>25</v>
      </c>
      <c r="B44" s="1" t="s">
        <v>26</v>
      </c>
      <c r="C44" s="74">
        <v>18</v>
      </c>
      <c r="D44" s="75"/>
      <c r="E44" s="80"/>
      <c r="F44" s="81" t="str">
        <f t="shared" si="0"/>
        <v xml:space="preserve"> </v>
      </c>
      <c r="G44" s="66"/>
      <c r="H44" s="74"/>
      <c r="I44" s="81"/>
      <c r="K44" s="74" t="s">
        <v>20</v>
      </c>
      <c r="L44" s="1" t="s">
        <v>30</v>
      </c>
      <c r="M44" s="1" t="s">
        <v>19</v>
      </c>
      <c r="N44" s="66">
        <v>0.61</v>
      </c>
      <c r="O44" s="75">
        <v>0</v>
      </c>
      <c r="P44"/>
    </row>
    <row r="45" spans="1:16" x14ac:dyDescent="0.35">
      <c r="A45" s="68" t="s">
        <v>110</v>
      </c>
      <c r="B45" s="68" t="s">
        <v>26</v>
      </c>
      <c r="C45" s="72">
        <v>1</v>
      </c>
      <c r="D45" s="73" t="s">
        <v>42</v>
      </c>
      <c r="E45" s="78">
        <v>12</v>
      </c>
      <c r="F45" s="79">
        <f t="shared" si="0"/>
        <v>3.6575998829568039</v>
      </c>
      <c r="G45" s="83">
        <v>73.42</v>
      </c>
      <c r="H45">
        <v>1</v>
      </c>
      <c r="I45" s="64"/>
      <c r="J45" s="68"/>
      <c r="K45" s="72" t="s">
        <v>20</v>
      </c>
      <c r="L45" t="s">
        <v>22</v>
      </c>
      <c r="M45" t="s">
        <v>19</v>
      </c>
      <c r="N45" s="64">
        <v>1.25</v>
      </c>
      <c r="O45" s="73">
        <v>0</v>
      </c>
    </row>
    <row r="46" spans="1:16" x14ac:dyDescent="0.35">
      <c r="A46" s="68" t="s">
        <v>110</v>
      </c>
      <c r="B46" s="68" t="s">
        <v>26</v>
      </c>
      <c r="C46" s="72">
        <v>1</v>
      </c>
      <c r="D46" s="73"/>
      <c r="E46" s="78"/>
      <c r="F46" s="79" t="str">
        <f t="shared" si="0"/>
        <v xml:space="preserve"> </v>
      </c>
      <c r="G46" s="83"/>
      <c r="I46" s="64"/>
      <c r="J46" s="68"/>
      <c r="K46" s="72" t="s">
        <v>20</v>
      </c>
      <c r="L46" t="s">
        <v>30</v>
      </c>
      <c r="M46" t="s">
        <v>19</v>
      </c>
      <c r="N46" s="64">
        <v>1.25</v>
      </c>
      <c r="O46" s="73">
        <v>0</v>
      </c>
    </row>
    <row r="47" spans="1:16" x14ac:dyDescent="0.35">
      <c r="A47" s="68" t="s">
        <v>110</v>
      </c>
      <c r="B47" s="68" t="s">
        <v>26</v>
      </c>
      <c r="C47" s="72">
        <v>1</v>
      </c>
      <c r="D47" s="73"/>
      <c r="E47" s="78"/>
      <c r="F47" s="79" t="str">
        <f t="shared" si="0"/>
        <v xml:space="preserve"> </v>
      </c>
      <c r="G47" s="83"/>
      <c r="I47" s="64"/>
      <c r="J47" s="68"/>
      <c r="K47" s="72" t="s">
        <v>20</v>
      </c>
      <c r="L47" t="s">
        <v>21</v>
      </c>
      <c r="M47" t="s">
        <v>19</v>
      </c>
      <c r="N47" s="64">
        <v>1.18</v>
      </c>
      <c r="O47" s="73">
        <v>60</v>
      </c>
    </row>
    <row r="48" spans="1:16" x14ac:dyDescent="0.35">
      <c r="A48" s="68" t="s">
        <v>110</v>
      </c>
      <c r="B48" s="68" t="s">
        <v>26</v>
      </c>
      <c r="C48" s="72">
        <v>2</v>
      </c>
      <c r="D48" s="73" t="s">
        <v>42</v>
      </c>
      <c r="E48" s="78">
        <v>11.9</v>
      </c>
      <c r="F48" s="79">
        <f t="shared" si="0"/>
        <v>3.6271198839321639</v>
      </c>
      <c r="G48" s="83">
        <v>56.93</v>
      </c>
      <c r="H48">
        <v>1</v>
      </c>
      <c r="I48" s="64"/>
      <c r="J48" s="68"/>
      <c r="K48" s="72" t="s">
        <v>20</v>
      </c>
      <c r="L48" t="s">
        <v>30</v>
      </c>
      <c r="M48" t="s">
        <v>19</v>
      </c>
      <c r="N48" s="64">
        <v>1.19</v>
      </c>
      <c r="O48" s="73">
        <v>0</v>
      </c>
    </row>
    <row r="49" spans="1:16" x14ac:dyDescent="0.35">
      <c r="A49" s="68" t="s">
        <v>110</v>
      </c>
      <c r="B49" s="68" t="s">
        <v>26</v>
      </c>
      <c r="C49" s="72">
        <v>3</v>
      </c>
      <c r="D49" s="73" t="s">
        <v>42</v>
      </c>
      <c r="E49" s="78">
        <v>10</v>
      </c>
      <c r="F49" s="79">
        <f t="shared" si="0"/>
        <v>3.047999902464003</v>
      </c>
      <c r="G49" s="83">
        <v>36.61</v>
      </c>
      <c r="H49">
        <v>1</v>
      </c>
      <c r="I49" s="64"/>
      <c r="J49" s="68"/>
      <c r="K49" s="72" t="s">
        <v>20</v>
      </c>
      <c r="L49" t="s">
        <v>30</v>
      </c>
      <c r="M49" t="s">
        <v>19</v>
      </c>
      <c r="N49" s="64">
        <v>0.77</v>
      </c>
      <c r="O49" s="73">
        <v>0</v>
      </c>
    </row>
    <row r="50" spans="1:16" x14ac:dyDescent="0.35">
      <c r="A50" s="68" t="s">
        <v>110</v>
      </c>
      <c r="B50" s="68" t="s">
        <v>26</v>
      </c>
      <c r="C50" s="72">
        <v>3</v>
      </c>
      <c r="D50" s="73"/>
      <c r="E50" s="78"/>
      <c r="F50" s="79" t="str">
        <f t="shared" si="0"/>
        <v xml:space="preserve"> </v>
      </c>
      <c r="G50" s="83"/>
      <c r="I50" s="64"/>
      <c r="J50" s="68"/>
      <c r="K50" s="72" t="s">
        <v>20</v>
      </c>
      <c r="L50" t="s">
        <v>22</v>
      </c>
      <c r="M50" t="s">
        <v>19</v>
      </c>
      <c r="N50" s="64">
        <v>1.48</v>
      </c>
      <c r="O50" s="73">
        <v>0</v>
      </c>
    </row>
    <row r="51" spans="1:16" x14ac:dyDescent="0.35">
      <c r="A51" s="68" t="s">
        <v>110</v>
      </c>
      <c r="B51" s="68" t="s">
        <v>26</v>
      </c>
      <c r="C51" s="72">
        <v>4</v>
      </c>
      <c r="D51" s="73" t="s">
        <v>42</v>
      </c>
      <c r="E51" s="78">
        <v>9</v>
      </c>
      <c r="F51" s="79">
        <f t="shared" si="0"/>
        <v>2.743199912217603</v>
      </c>
      <c r="G51" s="83">
        <v>30.09</v>
      </c>
      <c r="H51">
        <v>1</v>
      </c>
      <c r="I51" s="64"/>
      <c r="J51" s="68"/>
      <c r="K51" s="72" t="s">
        <v>20</v>
      </c>
      <c r="L51" t="s">
        <v>22</v>
      </c>
      <c r="M51" t="s">
        <v>19</v>
      </c>
      <c r="N51" s="64">
        <v>0.51</v>
      </c>
      <c r="O51" s="73">
        <v>0</v>
      </c>
    </row>
    <row r="52" spans="1:16" x14ac:dyDescent="0.35">
      <c r="A52" s="68" t="s">
        <v>110</v>
      </c>
      <c r="B52" s="68" t="s">
        <v>26</v>
      </c>
      <c r="C52" s="72">
        <v>4</v>
      </c>
      <c r="D52" s="73"/>
      <c r="E52" s="78"/>
      <c r="F52" s="79" t="str">
        <f t="shared" si="0"/>
        <v xml:space="preserve"> </v>
      </c>
      <c r="G52" s="83"/>
      <c r="I52" s="64"/>
      <c r="J52" s="68"/>
      <c r="K52" s="72" t="s">
        <v>20</v>
      </c>
      <c r="L52" t="s">
        <v>30</v>
      </c>
      <c r="M52" t="s">
        <v>19</v>
      </c>
      <c r="N52" s="64">
        <v>0.51</v>
      </c>
      <c r="O52" s="73">
        <v>0</v>
      </c>
    </row>
    <row r="53" spans="1:16" x14ac:dyDescent="0.35">
      <c r="A53" s="68" t="s">
        <v>110</v>
      </c>
      <c r="B53" s="68" t="s">
        <v>26</v>
      </c>
      <c r="C53" s="72">
        <v>5</v>
      </c>
      <c r="D53" s="73" t="s">
        <v>42</v>
      </c>
      <c r="E53" s="78">
        <v>10.9</v>
      </c>
      <c r="F53" s="79">
        <f t="shared" si="0"/>
        <v>3.3223198936857634</v>
      </c>
      <c r="G53" s="83">
        <v>49.81</v>
      </c>
      <c r="H53">
        <v>1</v>
      </c>
      <c r="I53" s="64"/>
      <c r="J53" s="68"/>
      <c r="K53" s="72" t="s">
        <v>19</v>
      </c>
      <c r="M53" t="s">
        <v>19</v>
      </c>
      <c r="N53" s="64"/>
      <c r="O53" s="73"/>
    </row>
    <row r="54" spans="1:16" x14ac:dyDescent="0.35">
      <c r="A54" s="68" t="s">
        <v>110</v>
      </c>
      <c r="B54" s="68" t="s">
        <v>26</v>
      </c>
      <c r="C54" s="72">
        <v>6</v>
      </c>
      <c r="D54" s="73" t="s">
        <v>42</v>
      </c>
      <c r="E54" s="78">
        <v>12</v>
      </c>
      <c r="F54" s="79">
        <f t="shared" si="0"/>
        <v>3.6575998829568039</v>
      </c>
      <c r="G54" s="83">
        <v>53.4</v>
      </c>
      <c r="H54">
        <v>1</v>
      </c>
      <c r="I54" s="64"/>
      <c r="J54" s="68">
        <v>30</v>
      </c>
      <c r="K54" s="72" t="s">
        <v>20</v>
      </c>
      <c r="L54" t="s">
        <v>30</v>
      </c>
      <c r="M54" t="s">
        <v>19</v>
      </c>
      <c r="N54" s="64">
        <v>0.6</v>
      </c>
      <c r="O54" s="73">
        <v>0</v>
      </c>
    </row>
    <row r="55" spans="1:16" x14ac:dyDescent="0.35">
      <c r="A55" s="68" t="s">
        <v>110</v>
      </c>
      <c r="B55" s="68" t="s">
        <v>26</v>
      </c>
      <c r="C55" s="72">
        <v>7</v>
      </c>
      <c r="D55" s="73" t="s">
        <v>42</v>
      </c>
      <c r="E55" s="78">
        <v>13.5</v>
      </c>
      <c r="F55" s="79">
        <f t="shared" si="0"/>
        <v>4.1147998683264042</v>
      </c>
      <c r="G55" s="83">
        <v>67.81</v>
      </c>
      <c r="H55">
        <v>1</v>
      </c>
      <c r="I55" s="64"/>
      <c r="J55" s="68"/>
      <c r="K55" s="72" t="s">
        <v>20</v>
      </c>
      <c r="L55" t="s">
        <v>22</v>
      </c>
      <c r="M55" t="s">
        <v>19</v>
      </c>
      <c r="N55" s="64">
        <v>0.68</v>
      </c>
      <c r="O55" s="73">
        <v>0</v>
      </c>
    </row>
    <row r="56" spans="1:16" x14ac:dyDescent="0.35">
      <c r="A56" s="68" t="s">
        <v>110</v>
      </c>
      <c r="B56" s="68" t="s">
        <v>26</v>
      </c>
      <c r="C56" s="72">
        <v>7</v>
      </c>
      <c r="D56" s="73"/>
      <c r="E56" s="78"/>
      <c r="F56" s="79" t="str">
        <f t="shared" si="0"/>
        <v xml:space="preserve"> </v>
      </c>
      <c r="G56" s="83"/>
      <c r="I56" s="64"/>
      <c r="J56" s="68"/>
      <c r="K56" s="72" t="s">
        <v>20</v>
      </c>
      <c r="L56" t="s">
        <v>30</v>
      </c>
      <c r="M56" t="s">
        <v>19</v>
      </c>
      <c r="N56" s="64">
        <v>0.72</v>
      </c>
      <c r="O56" s="73">
        <v>0</v>
      </c>
    </row>
    <row r="57" spans="1:16" x14ac:dyDescent="0.35">
      <c r="A57" s="68" t="s">
        <v>110</v>
      </c>
      <c r="B57" s="68" t="s">
        <v>26</v>
      </c>
      <c r="C57" s="72">
        <v>8</v>
      </c>
      <c r="D57" s="73" t="s">
        <v>42</v>
      </c>
      <c r="E57" s="78">
        <v>13.9</v>
      </c>
      <c r="F57" s="79">
        <f t="shared" si="0"/>
        <v>4.2367198644249644</v>
      </c>
      <c r="G57" s="83">
        <v>56.12</v>
      </c>
      <c r="H57">
        <v>1</v>
      </c>
      <c r="I57" s="64"/>
      <c r="J57" s="68"/>
      <c r="K57" s="72" t="s">
        <v>20</v>
      </c>
      <c r="L57" t="s">
        <v>21</v>
      </c>
      <c r="M57" t="s">
        <v>19</v>
      </c>
      <c r="N57" s="64">
        <v>0.5</v>
      </c>
      <c r="O57" s="73">
        <v>30</v>
      </c>
    </row>
    <row r="58" spans="1:16" x14ac:dyDescent="0.35">
      <c r="A58" s="68" t="s">
        <v>110</v>
      </c>
      <c r="B58" s="68" t="s">
        <v>26</v>
      </c>
      <c r="C58" s="72">
        <v>9</v>
      </c>
      <c r="D58" s="73" t="s">
        <v>42</v>
      </c>
      <c r="E58" s="78">
        <v>11.7</v>
      </c>
      <c r="F58" s="79">
        <f t="shared" si="0"/>
        <v>3.5661598858828834</v>
      </c>
      <c r="G58" s="83">
        <v>43.53</v>
      </c>
      <c r="H58">
        <v>1</v>
      </c>
      <c r="I58" s="64"/>
      <c r="J58" s="68"/>
      <c r="K58" s="72" t="s">
        <v>20</v>
      </c>
      <c r="L58" t="s">
        <v>21</v>
      </c>
      <c r="M58" t="s">
        <v>19</v>
      </c>
      <c r="N58" s="64">
        <v>0.91</v>
      </c>
      <c r="O58" s="73">
        <v>26</v>
      </c>
      <c r="P58" t="s">
        <v>112</v>
      </c>
    </row>
    <row r="59" spans="1:16" x14ac:dyDescent="0.35">
      <c r="A59" s="68" t="s">
        <v>110</v>
      </c>
      <c r="B59" s="68" t="s">
        <v>26</v>
      </c>
      <c r="C59" s="72">
        <v>9</v>
      </c>
      <c r="D59" s="73"/>
      <c r="E59" s="78"/>
      <c r="F59" s="79" t="str">
        <f t="shared" si="0"/>
        <v xml:space="preserve"> </v>
      </c>
      <c r="G59" s="83"/>
      <c r="I59" s="64"/>
      <c r="J59" s="68"/>
      <c r="K59" s="72" t="s">
        <v>20</v>
      </c>
      <c r="L59" t="s">
        <v>21</v>
      </c>
      <c r="M59" t="s">
        <v>19</v>
      </c>
      <c r="N59" s="64">
        <v>1.1299999999999999</v>
      </c>
      <c r="O59" s="73">
        <v>92</v>
      </c>
    </row>
    <row r="60" spans="1:16" x14ac:dyDescent="0.35">
      <c r="A60" s="68" t="s">
        <v>110</v>
      </c>
      <c r="B60" s="68" t="s">
        <v>26</v>
      </c>
      <c r="C60" s="72">
        <v>10</v>
      </c>
      <c r="D60" s="73" t="s">
        <v>42</v>
      </c>
      <c r="E60" s="78">
        <v>12</v>
      </c>
      <c r="F60" s="79">
        <f t="shared" si="0"/>
        <v>3.6575998829568039</v>
      </c>
      <c r="G60" s="83">
        <v>44.45</v>
      </c>
      <c r="H60">
        <v>1</v>
      </c>
      <c r="I60" s="64"/>
      <c r="J60" s="68"/>
      <c r="K60" s="72" t="s">
        <v>20</v>
      </c>
      <c r="L60" t="s">
        <v>21</v>
      </c>
      <c r="M60" t="s">
        <v>19</v>
      </c>
      <c r="N60" s="64">
        <v>1.1299999999999999</v>
      </c>
      <c r="O60" s="73">
        <v>80</v>
      </c>
    </row>
    <row r="61" spans="1:16" x14ac:dyDescent="0.35">
      <c r="A61" s="68" t="s">
        <v>110</v>
      </c>
      <c r="B61" s="68" t="s">
        <v>26</v>
      </c>
      <c r="C61" s="72">
        <v>10</v>
      </c>
      <c r="D61" s="73"/>
      <c r="E61" s="78"/>
      <c r="F61" s="79" t="str">
        <f t="shared" si="0"/>
        <v xml:space="preserve"> </v>
      </c>
      <c r="G61" s="83"/>
      <c r="I61" s="64"/>
      <c r="J61" s="68"/>
      <c r="K61" s="72" t="s">
        <v>20</v>
      </c>
      <c r="L61" t="s">
        <v>30</v>
      </c>
      <c r="M61" t="s">
        <v>19</v>
      </c>
      <c r="N61" s="64">
        <v>1.1299999999999999</v>
      </c>
      <c r="O61" s="73">
        <v>0</v>
      </c>
    </row>
    <row r="62" spans="1:16" x14ac:dyDescent="0.35">
      <c r="A62" s="68" t="s">
        <v>110</v>
      </c>
      <c r="B62" s="68" t="s">
        <v>26</v>
      </c>
      <c r="C62" s="72">
        <v>11</v>
      </c>
      <c r="D62" s="73" t="s">
        <v>42</v>
      </c>
      <c r="E62" s="78">
        <v>12.1</v>
      </c>
      <c r="F62" s="79">
        <f t="shared" si="0"/>
        <v>3.6880798819814435</v>
      </c>
      <c r="G62" s="83">
        <v>37.4</v>
      </c>
      <c r="H62">
        <v>1</v>
      </c>
      <c r="I62" s="64"/>
      <c r="J62" s="68">
        <v>10</v>
      </c>
      <c r="K62" s="72" t="s">
        <v>19</v>
      </c>
      <c r="M62" t="s">
        <v>19</v>
      </c>
      <c r="N62" s="64"/>
      <c r="O62" s="73"/>
    </row>
    <row r="63" spans="1:16" x14ac:dyDescent="0.35">
      <c r="A63" s="68" t="s">
        <v>110</v>
      </c>
      <c r="B63" s="68" t="s">
        <v>26</v>
      </c>
      <c r="C63" s="72">
        <v>12</v>
      </c>
      <c r="D63" s="73" t="s">
        <v>42</v>
      </c>
      <c r="E63" s="78">
        <v>14.1</v>
      </c>
      <c r="F63" s="79">
        <f t="shared" si="0"/>
        <v>4.2976798624742445</v>
      </c>
      <c r="G63" s="83">
        <v>50.52</v>
      </c>
      <c r="H63">
        <v>1</v>
      </c>
      <c r="I63" s="64"/>
      <c r="J63" s="68"/>
      <c r="K63" s="72" t="s">
        <v>20</v>
      </c>
      <c r="L63" t="s">
        <v>22</v>
      </c>
      <c r="M63" t="s">
        <v>19</v>
      </c>
      <c r="N63" s="64">
        <v>0.92</v>
      </c>
      <c r="O63" s="73">
        <v>0</v>
      </c>
    </row>
    <row r="64" spans="1:16" x14ac:dyDescent="0.35">
      <c r="A64" s="68" t="s">
        <v>110</v>
      </c>
      <c r="B64" s="68" t="s">
        <v>26</v>
      </c>
      <c r="C64" s="72">
        <v>12</v>
      </c>
      <c r="D64" s="73"/>
      <c r="E64" s="78"/>
      <c r="F64" s="79" t="str">
        <f t="shared" si="0"/>
        <v xml:space="preserve"> </v>
      </c>
      <c r="G64" s="83"/>
      <c r="I64" s="64"/>
      <c r="J64" s="68"/>
      <c r="K64" s="72" t="s">
        <v>20</v>
      </c>
      <c r="L64" t="s">
        <v>30</v>
      </c>
      <c r="M64" t="s">
        <v>19</v>
      </c>
      <c r="N64" s="64">
        <v>0.92</v>
      </c>
      <c r="O64" s="73">
        <v>0</v>
      </c>
    </row>
    <row r="65" spans="1:16" x14ac:dyDescent="0.35">
      <c r="A65" s="68" t="s">
        <v>110</v>
      </c>
      <c r="B65" s="68" t="s">
        <v>26</v>
      </c>
      <c r="C65" s="72">
        <v>13</v>
      </c>
      <c r="D65" s="73" t="s">
        <v>42</v>
      </c>
      <c r="E65" s="78">
        <v>10.8</v>
      </c>
      <c r="F65" s="79">
        <f t="shared" si="0"/>
        <v>3.2918398946611238</v>
      </c>
      <c r="G65" s="83">
        <v>37.520000000000003</v>
      </c>
      <c r="H65">
        <v>2</v>
      </c>
      <c r="I65" s="64">
        <v>0.35</v>
      </c>
      <c r="J65" s="68">
        <v>40</v>
      </c>
      <c r="K65" s="72" t="s">
        <v>19</v>
      </c>
      <c r="M65" t="s">
        <v>19</v>
      </c>
      <c r="N65" s="64"/>
      <c r="O65" s="73"/>
    </row>
    <row r="66" spans="1:16" x14ac:dyDescent="0.35">
      <c r="A66" s="68" t="s">
        <v>110</v>
      </c>
      <c r="B66" s="68" t="s">
        <v>26</v>
      </c>
      <c r="C66" s="72">
        <v>14</v>
      </c>
      <c r="D66" s="73" t="s">
        <v>42</v>
      </c>
      <c r="E66" s="78">
        <v>10.5</v>
      </c>
      <c r="F66" s="79">
        <f t="shared" si="0"/>
        <v>3.2003998975872032</v>
      </c>
      <c r="G66" s="83">
        <v>42.33</v>
      </c>
      <c r="H66">
        <v>1</v>
      </c>
      <c r="I66" s="64"/>
      <c r="J66" s="68"/>
      <c r="K66" s="72" t="s">
        <v>20</v>
      </c>
      <c r="L66" t="s">
        <v>22</v>
      </c>
      <c r="M66" t="s">
        <v>19</v>
      </c>
      <c r="N66" s="64">
        <v>0.52</v>
      </c>
      <c r="O66" s="73">
        <v>0</v>
      </c>
    </row>
    <row r="67" spans="1:16" x14ac:dyDescent="0.35">
      <c r="A67" s="68" t="s">
        <v>110</v>
      </c>
      <c r="B67" s="68" t="s">
        <v>26</v>
      </c>
      <c r="C67" s="72">
        <v>15</v>
      </c>
      <c r="D67" s="73" t="s">
        <v>42</v>
      </c>
      <c r="E67" s="78">
        <v>9.6999999999999993</v>
      </c>
      <c r="F67" s="79">
        <f t="shared" ref="F67:F104" si="1">IF(E67 = 0, " ", IF(E67&lt;2, E67/1, E67/3.28084))</f>
        <v>2.9565599053900828</v>
      </c>
      <c r="G67" s="83">
        <v>27.86</v>
      </c>
      <c r="H67">
        <v>1</v>
      </c>
      <c r="I67" s="64"/>
      <c r="J67" s="68"/>
      <c r="K67" s="72" t="s">
        <v>19</v>
      </c>
      <c r="M67" t="s">
        <v>19</v>
      </c>
      <c r="N67" s="64"/>
      <c r="O67" s="73"/>
    </row>
    <row r="68" spans="1:16" x14ac:dyDescent="0.35">
      <c r="A68" s="68" t="s">
        <v>110</v>
      </c>
      <c r="B68" s="68" t="s">
        <v>26</v>
      </c>
      <c r="C68" s="72">
        <v>16</v>
      </c>
      <c r="D68" s="73" t="s">
        <v>42</v>
      </c>
      <c r="E68" s="78">
        <v>1.48</v>
      </c>
      <c r="F68" s="79">
        <f t="shared" si="1"/>
        <v>1.48</v>
      </c>
      <c r="G68" s="83">
        <v>18.98</v>
      </c>
      <c r="H68">
        <v>2</v>
      </c>
      <c r="I68" s="64">
        <v>0.74</v>
      </c>
      <c r="J68" s="68"/>
      <c r="K68" s="72" t="s">
        <v>20</v>
      </c>
      <c r="L68" t="s">
        <v>21</v>
      </c>
      <c r="M68" t="s">
        <v>20</v>
      </c>
      <c r="N68" s="64">
        <v>0.27</v>
      </c>
      <c r="O68" s="73">
        <v>50</v>
      </c>
      <c r="P68" t="s">
        <v>113</v>
      </c>
    </row>
    <row r="69" spans="1:16" x14ac:dyDescent="0.35">
      <c r="A69" s="68" t="s">
        <v>110</v>
      </c>
      <c r="B69" s="68" t="s">
        <v>26</v>
      </c>
      <c r="C69" s="72">
        <v>16</v>
      </c>
      <c r="D69" s="73"/>
      <c r="E69" s="78"/>
      <c r="F69" s="79" t="str">
        <f t="shared" si="1"/>
        <v xml:space="preserve"> </v>
      </c>
      <c r="G69" s="83"/>
      <c r="I69" s="64"/>
      <c r="J69" s="68"/>
      <c r="K69" s="72" t="s">
        <v>20</v>
      </c>
      <c r="L69" t="s">
        <v>21</v>
      </c>
      <c r="M69" t="s">
        <v>20</v>
      </c>
      <c r="N69" s="64">
        <v>0.5</v>
      </c>
      <c r="O69" s="73">
        <v>45</v>
      </c>
    </row>
    <row r="70" spans="1:16" x14ac:dyDescent="0.35">
      <c r="A70" s="68" t="s">
        <v>110</v>
      </c>
      <c r="B70" s="68" t="s">
        <v>26</v>
      </c>
      <c r="C70" s="72">
        <v>17</v>
      </c>
      <c r="D70" s="73" t="s">
        <v>42</v>
      </c>
      <c r="E70" s="78">
        <v>9.1999999999999993</v>
      </c>
      <c r="F70" s="79">
        <f t="shared" si="1"/>
        <v>2.8041599102668826</v>
      </c>
      <c r="G70" s="83">
        <v>40.03</v>
      </c>
      <c r="H70">
        <v>1</v>
      </c>
      <c r="I70" s="64"/>
      <c r="J70" s="68"/>
      <c r="K70" s="72" t="s">
        <v>20</v>
      </c>
      <c r="L70" t="s">
        <v>30</v>
      </c>
      <c r="M70" t="s">
        <v>19</v>
      </c>
      <c r="N70" s="64">
        <v>1</v>
      </c>
      <c r="O70" s="73">
        <v>0</v>
      </c>
      <c r="P70" t="s">
        <v>114</v>
      </c>
    </row>
    <row r="71" spans="1:16" s="1" customFormat="1" x14ac:dyDescent="0.35">
      <c r="A71" s="69" t="s">
        <v>110</v>
      </c>
      <c r="B71" s="69" t="s">
        <v>26</v>
      </c>
      <c r="C71" s="74">
        <v>18</v>
      </c>
      <c r="D71" s="75" t="s">
        <v>42</v>
      </c>
      <c r="E71" s="80">
        <v>10.4</v>
      </c>
      <c r="F71" s="81">
        <f t="shared" si="1"/>
        <v>3.1699198985625632</v>
      </c>
      <c r="G71" s="84">
        <v>54.2</v>
      </c>
      <c r="H71" s="1">
        <v>1</v>
      </c>
      <c r="I71" s="66"/>
      <c r="J71" s="69"/>
      <c r="K71" s="74" t="s">
        <v>20</v>
      </c>
      <c r="L71" s="1" t="s">
        <v>22</v>
      </c>
      <c r="M71" s="1" t="s">
        <v>19</v>
      </c>
      <c r="N71" s="66">
        <v>0.52</v>
      </c>
      <c r="O71" s="75">
        <v>0</v>
      </c>
    </row>
    <row r="72" spans="1:16" x14ac:dyDescent="0.35">
      <c r="A72" s="68" t="s">
        <v>126</v>
      </c>
      <c r="B72" s="68" t="s">
        <v>26</v>
      </c>
      <c r="C72" s="72">
        <v>1</v>
      </c>
      <c r="D72" s="73" t="s">
        <v>42</v>
      </c>
      <c r="E72" s="78">
        <v>5.0999999999999996</v>
      </c>
      <c r="F72" s="79">
        <f t="shared" si="1"/>
        <v>1.5544799502566415</v>
      </c>
      <c r="G72" s="83">
        <v>18.190000000000001</v>
      </c>
      <c r="H72">
        <v>3</v>
      </c>
      <c r="I72" s="64">
        <v>0.8</v>
      </c>
      <c r="J72" s="68"/>
      <c r="K72" s="72" t="s">
        <v>20</v>
      </c>
      <c r="L72" t="s">
        <v>22</v>
      </c>
      <c r="M72" t="s">
        <v>20</v>
      </c>
      <c r="N72" s="64">
        <v>0.8</v>
      </c>
      <c r="O72" s="73">
        <v>0</v>
      </c>
      <c r="P72" t="s">
        <v>128</v>
      </c>
    </row>
    <row r="73" spans="1:16" x14ac:dyDescent="0.35">
      <c r="A73" s="68" t="s">
        <v>126</v>
      </c>
      <c r="B73" s="68" t="s">
        <v>26</v>
      </c>
      <c r="C73" s="72">
        <v>1</v>
      </c>
      <c r="D73" s="73"/>
      <c r="E73" s="78"/>
      <c r="F73" s="79" t="str">
        <f t="shared" si="1"/>
        <v xml:space="preserve"> </v>
      </c>
      <c r="G73" s="83"/>
      <c r="I73" s="64">
        <v>0.66</v>
      </c>
      <c r="J73" s="68"/>
      <c r="K73" s="72" t="s">
        <v>20</v>
      </c>
      <c r="L73" t="s">
        <v>22</v>
      </c>
      <c r="M73" t="s">
        <v>20</v>
      </c>
      <c r="N73" s="64">
        <v>0.8</v>
      </c>
      <c r="O73" s="73">
        <v>0</v>
      </c>
    </row>
    <row r="74" spans="1:16" x14ac:dyDescent="0.35">
      <c r="A74" s="68" t="s">
        <v>126</v>
      </c>
      <c r="B74" s="68" t="s">
        <v>26</v>
      </c>
      <c r="C74" s="72">
        <v>1</v>
      </c>
      <c r="D74" s="73"/>
      <c r="E74" s="78"/>
      <c r="F74" s="79" t="str">
        <f t="shared" si="1"/>
        <v xml:space="preserve"> </v>
      </c>
      <c r="G74" s="83"/>
      <c r="I74" s="64"/>
      <c r="J74" s="68"/>
      <c r="K74" s="72" t="s">
        <v>20</v>
      </c>
      <c r="L74" t="s">
        <v>22</v>
      </c>
      <c r="M74" t="s">
        <v>20</v>
      </c>
      <c r="N74" s="64">
        <v>0.8</v>
      </c>
      <c r="O74" s="73">
        <v>0</v>
      </c>
    </row>
    <row r="75" spans="1:16" x14ac:dyDescent="0.35">
      <c r="A75" s="68" t="s">
        <v>126</v>
      </c>
      <c r="B75" s="68" t="s">
        <v>26</v>
      </c>
      <c r="C75" s="72">
        <v>1</v>
      </c>
      <c r="D75" s="73"/>
      <c r="E75" s="78"/>
      <c r="F75" s="79" t="str">
        <f t="shared" si="1"/>
        <v xml:space="preserve"> </v>
      </c>
      <c r="G75" s="83"/>
      <c r="I75" s="64"/>
      <c r="J75" s="68"/>
      <c r="K75" s="72" t="s">
        <v>20</v>
      </c>
      <c r="L75" t="s">
        <v>22</v>
      </c>
      <c r="M75" t="s">
        <v>20</v>
      </c>
      <c r="N75" s="64">
        <v>0.6</v>
      </c>
      <c r="O75" s="73">
        <v>0</v>
      </c>
    </row>
    <row r="76" spans="1:16" x14ac:dyDescent="0.35">
      <c r="A76" s="68" t="s">
        <v>126</v>
      </c>
      <c r="B76" s="68" t="s">
        <v>26</v>
      </c>
      <c r="C76" s="72">
        <v>2</v>
      </c>
      <c r="D76" s="73" t="s">
        <v>42</v>
      </c>
      <c r="E76" s="78">
        <v>8.3000000000000007</v>
      </c>
      <c r="F76" s="79">
        <f t="shared" si="1"/>
        <v>2.5298399190451226</v>
      </c>
      <c r="G76" s="83">
        <v>31.2</v>
      </c>
      <c r="H76">
        <v>1</v>
      </c>
      <c r="I76" s="64"/>
      <c r="J76" s="68"/>
      <c r="K76" s="72" t="s">
        <v>20</v>
      </c>
      <c r="L76" t="s">
        <v>22</v>
      </c>
      <c r="M76" t="s">
        <v>19</v>
      </c>
      <c r="N76" s="64">
        <v>1.03</v>
      </c>
      <c r="O76" s="73">
        <v>0</v>
      </c>
    </row>
    <row r="77" spans="1:16" x14ac:dyDescent="0.35">
      <c r="A77" s="68" t="s">
        <v>126</v>
      </c>
      <c r="B77" s="68" t="s">
        <v>26</v>
      </c>
      <c r="C77" s="72">
        <v>3</v>
      </c>
      <c r="D77" s="73" t="s">
        <v>42</v>
      </c>
      <c r="E77" s="78">
        <v>11.9</v>
      </c>
      <c r="F77" s="79">
        <f t="shared" si="1"/>
        <v>3.6271198839321639</v>
      </c>
      <c r="G77" s="83">
        <v>63.77</v>
      </c>
      <c r="H77">
        <v>1</v>
      </c>
      <c r="I77" s="64"/>
      <c r="J77" s="68">
        <v>30</v>
      </c>
      <c r="K77" s="72" t="s">
        <v>20</v>
      </c>
      <c r="L77" t="s">
        <v>22</v>
      </c>
      <c r="M77" t="s">
        <v>19</v>
      </c>
      <c r="N77" s="64">
        <v>1.83</v>
      </c>
      <c r="O77" s="73">
        <v>0</v>
      </c>
    </row>
    <row r="78" spans="1:16" x14ac:dyDescent="0.35">
      <c r="A78" s="68" t="s">
        <v>126</v>
      </c>
      <c r="B78" s="68" t="s">
        <v>26</v>
      </c>
      <c r="C78" s="72">
        <v>4</v>
      </c>
      <c r="D78" s="73" t="s">
        <v>42</v>
      </c>
      <c r="E78" s="78">
        <v>8.6</v>
      </c>
      <c r="F78" s="79">
        <f t="shared" si="1"/>
        <v>2.6212799161190428</v>
      </c>
      <c r="G78" s="83">
        <v>39.049999999999997</v>
      </c>
      <c r="H78">
        <v>1</v>
      </c>
      <c r="I78" s="64"/>
      <c r="J78" s="68"/>
      <c r="K78" s="72" t="s">
        <v>20</v>
      </c>
      <c r="L78" t="s">
        <v>22</v>
      </c>
      <c r="M78" t="s">
        <v>19</v>
      </c>
      <c r="N78" s="64">
        <v>1.86</v>
      </c>
      <c r="O78" s="73">
        <v>0</v>
      </c>
    </row>
    <row r="79" spans="1:16" x14ac:dyDescent="0.35">
      <c r="A79" s="68" t="s">
        <v>126</v>
      </c>
      <c r="B79" s="68" t="s">
        <v>26</v>
      </c>
      <c r="C79" s="72">
        <v>5</v>
      </c>
      <c r="D79" s="73" t="s">
        <v>42</v>
      </c>
      <c r="E79" s="78">
        <v>12.8</v>
      </c>
      <c r="F79" s="79">
        <f t="shared" si="1"/>
        <v>3.9014398751539243</v>
      </c>
      <c r="G79" s="83">
        <v>73.39</v>
      </c>
      <c r="H79">
        <v>1</v>
      </c>
      <c r="I79" s="64"/>
      <c r="J79" s="68"/>
      <c r="K79" s="72" t="s">
        <v>19</v>
      </c>
      <c r="M79" t="s">
        <v>19</v>
      </c>
      <c r="N79" s="64"/>
      <c r="O79" s="73"/>
    </row>
    <row r="80" spans="1:16" x14ac:dyDescent="0.35">
      <c r="A80" s="68" t="s">
        <v>126</v>
      </c>
      <c r="B80" s="68" t="s">
        <v>26</v>
      </c>
      <c r="C80" s="72">
        <v>6</v>
      </c>
      <c r="D80" s="73" t="s">
        <v>42</v>
      </c>
      <c r="E80" s="78">
        <v>9</v>
      </c>
      <c r="F80" s="79">
        <f t="shared" si="1"/>
        <v>2.743199912217603</v>
      </c>
      <c r="G80" s="83">
        <v>34.42</v>
      </c>
      <c r="H80">
        <v>1</v>
      </c>
      <c r="I80" s="64"/>
      <c r="J80" s="68">
        <v>293</v>
      </c>
      <c r="K80" s="72" t="s">
        <v>20</v>
      </c>
      <c r="L80" t="s">
        <v>21</v>
      </c>
      <c r="M80" t="s">
        <v>19</v>
      </c>
      <c r="N80" s="64">
        <v>0.74</v>
      </c>
      <c r="O80" s="73">
        <v>63</v>
      </c>
    </row>
    <row r="81" spans="1:15" x14ac:dyDescent="0.35">
      <c r="A81" s="68" t="s">
        <v>126</v>
      </c>
      <c r="B81" s="68" t="s">
        <v>26</v>
      </c>
      <c r="C81" s="72">
        <v>6</v>
      </c>
      <c r="D81" s="73"/>
      <c r="E81" s="78"/>
      <c r="F81" s="79" t="str">
        <f t="shared" si="1"/>
        <v xml:space="preserve"> </v>
      </c>
      <c r="G81" s="83"/>
      <c r="I81" s="64"/>
      <c r="J81" s="68"/>
      <c r="K81" s="72" t="s">
        <v>20</v>
      </c>
      <c r="L81" t="s">
        <v>30</v>
      </c>
      <c r="M81" t="s">
        <v>19</v>
      </c>
      <c r="N81" s="64">
        <v>0.7</v>
      </c>
      <c r="O81" s="73">
        <v>0</v>
      </c>
    </row>
    <row r="82" spans="1:15" x14ac:dyDescent="0.35">
      <c r="A82" s="68" t="s">
        <v>126</v>
      </c>
      <c r="B82" s="68" t="s">
        <v>26</v>
      </c>
      <c r="C82" s="72">
        <v>6</v>
      </c>
      <c r="D82" s="73"/>
      <c r="E82" s="78"/>
      <c r="F82" s="79" t="str">
        <f t="shared" si="1"/>
        <v xml:space="preserve"> </v>
      </c>
      <c r="G82" s="83"/>
      <c r="I82" s="64"/>
      <c r="J82" s="68"/>
      <c r="K82" s="72" t="s">
        <v>20</v>
      </c>
      <c r="L82" t="s">
        <v>30</v>
      </c>
      <c r="M82" t="s">
        <v>19</v>
      </c>
      <c r="N82" s="64">
        <v>0.95</v>
      </c>
      <c r="O82" s="73">
        <v>0</v>
      </c>
    </row>
    <row r="83" spans="1:15" x14ac:dyDescent="0.35">
      <c r="A83" s="68" t="s">
        <v>126</v>
      </c>
      <c r="B83" s="68" t="s">
        <v>26</v>
      </c>
      <c r="C83" s="72">
        <v>7</v>
      </c>
      <c r="D83" s="73" t="s">
        <v>42</v>
      </c>
      <c r="E83" s="78">
        <v>8.1</v>
      </c>
      <c r="F83" s="79">
        <f t="shared" si="1"/>
        <v>2.4688799209958425</v>
      </c>
      <c r="G83" s="83">
        <v>29.87</v>
      </c>
      <c r="H83">
        <v>4</v>
      </c>
      <c r="I83" s="64">
        <v>0.82</v>
      </c>
      <c r="J83" s="68"/>
      <c r="K83" s="72" t="s">
        <v>20</v>
      </c>
      <c r="L83" t="s">
        <v>30</v>
      </c>
      <c r="M83" t="s">
        <v>19</v>
      </c>
      <c r="N83" s="64">
        <v>0.9</v>
      </c>
      <c r="O83" s="73">
        <v>0</v>
      </c>
    </row>
    <row r="84" spans="1:15" x14ac:dyDescent="0.35">
      <c r="A84" s="68" t="s">
        <v>126</v>
      </c>
      <c r="B84" s="68" t="s">
        <v>26</v>
      </c>
      <c r="C84" s="72">
        <v>7</v>
      </c>
      <c r="D84" s="73"/>
      <c r="E84" s="78"/>
      <c r="F84" s="79" t="str">
        <f t="shared" si="1"/>
        <v xml:space="preserve"> </v>
      </c>
      <c r="G84" s="83"/>
      <c r="I84" s="64">
        <v>1.1599999999999999</v>
      </c>
      <c r="J84" s="68"/>
      <c r="K84" s="72"/>
      <c r="N84" s="64"/>
      <c r="O84" s="73"/>
    </row>
    <row r="85" spans="1:15" x14ac:dyDescent="0.35">
      <c r="A85" s="68" t="s">
        <v>126</v>
      </c>
      <c r="B85" s="68" t="s">
        <v>26</v>
      </c>
      <c r="C85" s="72">
        <v>7</v>
      </c>
      <c r="D85" s="73"/>
      <c r="E85" s="78"/>
      <c r="F85" s="79" t="str">
        <f t="shared" si="1"/>
        <v xml:space="preserve"> </v>
      </c>
      <c r="G85" s="83"/>
      <c r="I85" s="64">
        <v>1.25</v>
      </c>
      <c r="J85" s="68"/>
      <c r="K85" s="72"/>
      <c r="N85" s="64"/>
      <c r="O85" s="73"/>
    </row>
    <row r="86" spans="1:15" x14ac:dyDescent="0.35">
      <c r="A86" s="68" t="s">
        <v>126</v>
      </c>
      <c r="B86" s="68" t="s">
        <v>26</v>
      </c>
      <c r="C86" s="72">
        <v>8</v>
      </c>
      <c r="D86" s="73" t="s">
        <v>42</v>
      </c>
      <c r="E86" s="78">
        <v>10.3</v>
      </c>
      <c r="F86" s="79">
        <f t="shared" si="1"/>
        <v>3.1394398995379236</v>
      </c>
      <c r="G86" s="83">
        <v>40.17</v>
      </c>
      <c r="H86">
        <v>2</v>
      </c>
      <c r="I86" s="64">
        <v>0.7</v>
      </c>
      <c r="J86" s="68"/>
      <c r="K86" s="72" t="s">
        <v>20</v>
      </c>
      <c r="L86" t="s">
        <v>30</v>
      </c>
      <c r="M86" t="s">
        <v>19</v>
      </c>
      <c r="N86" s="64">
        <v>0.68</v>
      </c>
      <c r="O86" s="73">
        <v>0</v>
      </c>
    </row>
    <row r="87" spans="1:15" x14ac:dyDescent="0.35">
      <c r="A87" s="68" t="s">
        <v>126</v>
      </c>
      <c r="B87" s="68" t="s">
        <v>26</v>
      </c>
      <c r="C87" s="72">
        <v>8</v>
      </c>
      <c r="D87" s="73"/>
      <c r="E87" s="78"/>
      <c r="F87" s="79" t="str">
        <f t="shared" si="1"/>
        <v xml:space="preserve"> </v>
      </c>
      <c r="G87" s="83"/>
      <c r="I87" s="64"/>
      <c r="J87" s="68"/>
      <c r="K87" s="72" t="s">
        <v>20</v>
      </c>
      <c r="L87" t="s">
        <v>30</v>
      </c>
      <c r="M87" t="s">
        <v>19</v>
      </c>
      <c r="N87" s="64">
        <v>0.91</v>
      </c>
      <c r="O87" s="73">
        <v>0</v>
      </c>
    </row>
    <row r="88" spans="1:15" x14ac:dyDescent="0.35">
      <c r="A88" s="68" t="s">
        <v>126</v>
      </c>
      <c r="B88" s="68" t="s">
        <v>26</v>
      </c>
      <c r="C88" s="72">
        <v>8</v>
      </c>
      <c r="D88" s="73"/>
      <c r="E88" s="78"/>
      <c r="F88" s="79" t="str">
        <f t="shared" si="1"/>
        <v xml:space="preserve"> </v>
      </c>
      <c r="G88" s="83"/>
      <c r="I88" s="64"/>
      <c r="J88" s="68"/>
      <c r="K88" s="72" t="s">
        <v>20</v>
      </c>
      <c r="L88" t="s">
        <v>21</v>
      </c>
      <c r="M88" t="s">
        <v>19</v>
      </c>
      <c r="N88" s="64">
        <v>0.68</v>
      </c>
      <c r="O88" s="73">
        <v>64</v>
      </c>
    </row>
    <row r="89" spans="1:15" x14ac:dyDescent="0.35">
      <c r="A89" s="68" t="s">
        <v>126</v>
      </c>
      <c r="B89" s="68" t="s">
        <v>26</v>
      </c>
      <c r="C89" s="72">
        <v>9</v>
      </c>
      <c r="D89" s="73" t="s">
        <v>42</v>
      </c>
      <c r="E89" s="78">
        <v>9.1</v>
      </c>
      <c r="F89" s="79">
        <f t="shared" si="1"/>
        <v>2.7736799112422426</v>
      </c>
      <c r="G89" s="83">
        <v>37.86</v>
      </c>
      <c r="H89">
        <v>1</v>
      </c>
      <c r="I89" s="64"/>
      <c r="J89" s="68"/>
      <c r="K89" s="72" t="s">
        <v>20</v>
      </c>
      <c r="L89" t="s">
        <v>30</v>
      </c>
      <c r="M89" t="s">
        <v>19</v>
      </c>
      <c r="N89" s="64">
        <v>0.53</v>
      </c>
      <c r="O89" s="73">
        <v>0</v>
      </c>
    </row>
    <row r="90" spans="1:15" x14ac:dyDescent="0.35">
      <c r="A90" s="68" t="s">
        <v>126</v>
      </c>
      <c r="B90" s="68" t="s">
        <v>26</v>
      </c>
      <c r="C90" s="72">
        <v>9</v>
      </c>
      <c r="D90" s="73"/>
      <c r="E90" s="78"/>
      <c r="F90" s="79" t="str">
        <f t="shared" si="1"/>
        <v xml:space="preserve"> </v>
      </c>
      <c r="G90" s="83"/>
      <c r="I90" s="64"/>
      <c r="J90" s="68"/>
      <c r="K90" s="72" t="s">
        <v>20</v>
      </c>
      <c r="L90" t="s">
        <v>30</v>
      </c>
      <c r="M90" t="s">
        <v>19</v>
      </c>
      <c r="N90" s="64">
        <v>0.67</v>
      </c>
      <c r="O90" s="73">
        <v>0</v>
      </c>
    </row>
    <row r="91" spans="1:15" x14ac:dyDescent="0.35">
      <c r="A91" s="68" t="s">
        <v>126</v>
      </c>
      <c r="B91" s="68" t="s">
        <v>26</v>
      </c>
      <c r="C91" s="72">
        <v>10</v>
      </c>
      <c r="D91" s="73" t="s">
        <v>42</v>
      </c>
      <c r="E91" s="78">
        <v>6</v>
      </c>
      <c r="F91" s="79">
        <f t="shared" si="1"/>
        <v>1.828799941478402</v>
      </c>
      <c r="G91" s="83">
        <v>10.039999999999999</v>
      </c>
      <c r="H91">
        <v>1</v>
      </c>
      <c r="I91" s="64"/>
      <c r="J91" s="68"/>
      <c r="K91" s="72" t="s">
        <v>20</v>
      </c>
      <c r="L91" t="s">
        <v>22</v>
      </c>
      <c r="M91" t="s">
        <v>19</v>
      </c>
      <c r="N91" s="64">
        <v>0.98</v>
      </c>
      <c r="O91" s="73">
        <v>0</v>
      </c>
    </row>
    <row r="92" spans="1:15" x14ac:dyDescent="0.35">
      <c r="A92" s="68" t="s">
        <v>126</v>
      </c>
      <c r="B92" s="68" t="s">
        <v>26</v>
      </c>
      <c r="C92" s="72">
        <v>10</v>
      </c>
      <c r="D92" s="73"/>
      <c r="E92" s="78"/>
      <c r="F92" s="79" t="str">
        <f t="shared" si="1"/>
        <v xml:space="preserve"> </v>
      </c>
      <c r="G92" s="83"/>
      <c r="I92" s="64"/>
      <c r="J92" s="68"/>
      <c r="K92" s="72" t="s">
        <v>20</v>
      </c>
      <c r="L92" t="s">
        <v>22</v>
      </c>
      <c r="M92" t="s">
        <v>19</v>
      </c>
      <c r="N92" s="64">
        <v>0.81</v>
      </c>
      <c r="O92" s="73">
        <v>0</v>
      </c>
    </row>
    <row r="93" spans="1:15" x14ac:dyDescent="0.35">
      <c r="A93" s="68" t="s">
        <v>126</v>
      </c>
      <c r="B93" s="68" t="s">
        <v>26</v>
      </c>
      <c r="C93" s="72">
        <v>10</v>
      </c>
      <c r="D93" s="73"/>
      <c r="E93" s="78"/>
      <c r="F93" s="79" t="str">
        <f t="shared" si="1"/>
        <v xml:space="preserve"> </v>
      </c>
      <c r="G93" s="83"/>
      <c r="I93" s="64"/>
      <c r="J93" s="68"/>
      <c r="K93" s="72" t="s">
        <v>20</v>
      </c>
      <c r="L93" t="s">
        <v>22</v>
      </c>
      <c r="M93" t="s">
        <v>19</v>
      </c>
      <c r="N93" s="64">
        <v>0.63</v>
      </c>
      <c r="O93" s="73">
        <v>0</v>
      </c>
    </row>
    <row r="94" spans="1:15" x14ac:dyDescent="0.35">
      <c r="A94" s="68" t="s">
        <v>126</v>
      </c>
      <c r="B94" s="68" t="s">
        <v>26</v>
      </c>
      <c r="C94" s="72">
        <v>10</v>
      </c>
      <c r="D94" s="73"/>
      <c r="E94" s="78"/>
      <c r="F94" s="79" t="str">
        <f t="shared" si="1"/>
        <v xml:space="preserve"> </v>
      </c>
      <c r="G94" s="83"/>
      <c r="I94" s="64"/>
      <c r="J94" s="68"/>
      <c r="K94" s="72" t="s">
        <v>20</v>
      </c>
      <c r="L94" t="s">
        <v>30</v>
      </c>
      <c r="M94" t="s">
        <v>19</v>
      </c>
      <c r="N94" s="64">
        <v>0.64</v>
      </c>
      <c r="O94" s="73">
        <v>0</v>
      </c>
    </row>
    <row r="95" spans="1:15" x14ac:dyDescent="0.35">
      <c r="A95" s="68" t="s">
        <v>126</v>
      </c>
      <c r="B95" s="68" t="s">
        <v>26</v>
      </c>
      <c r="C95" s="72">
        <v>10</v>
      </c>
      <c r="D95" s="73"/>
      <c r="E95" s="78"/>
      <c r="F95" s="79" t="str">
        <f t="shared" si="1"/>
        <v xml:space="preserve"> </v>
      </c>
      <c r="G95" s="83"/>
      <c r="I95" s="64"/>
      <c r="J95" s="68"/>
      <c r="K95" s="72" t="s">
        <v>20</v>
      </c>
      <c r="L95" t="s">
        <v>30</v>
      </c>
      <c r="M95" t="s">
        <v>19</v>
      </c>
      <c r="N95" s="64">
        <v>0.5</v>
      </c>
      <c r="O95" s="73">
        <v>0</v>
      </c>
    </row>
    <row r="96" spans="1:15" x14ac:dyDescent="0.35">
      <c r="A96" s="68" t="s">
        <v>126</v>
      </c>
      <c r="B96" s="68" t="s">
        <v>26</v>
      </c>
      <c r="C96" s="72">
        <v>10</v>
      </c>
      <c r="D96" s="73"/>
      <c r="E96" s="78"/>
      <c r="F96" s="79" t="str">
        <f t="shared" si="1"/>
        <v xml:space="preserve"> </v>
      </c>
      <c r="G96" s="83"/>
      <c r="I96" s="64"/>
      <c r="J96" s="68"/>
      <c r="K96" s="72" t="s">
        <v>20</v>
      </c>
      <c r="L96" t="s">
        <v>21</v>
      </c>
      <c r="M96" t="s">
        <v>19</v>
      </c>
      <c r="N96" s="64">
        <v>7.0000000000000007E-2</v>
      </c>
      <c r="O96" s="73">
        <v>225</v>
      </c>
    </row>
    <row r="97" spans="1:16" x14ac:dyDescent="0.35">
      <c r="A97" s="68" t="s">
        <v>126</v>
      </c>
      <c r="B97" s="68" t="s">
        <v>26</v>
      </c>
      <c r="C97" s="72">
        <v>11</v>
      </c>
      <c r="D97" s="73" t="s">
        <v>42</v>
      </c>
      <c r="E97" s="78">
        <v>0.76</v>
      </c>
      <c r="F97" s="79">
        <f t="shared" si="1"/>
        <v>0.76</v>
      </c>
      <c r="G97" s="83">
        <v>9.94</v>
      </c>
      <c r="H97">
        <v>2</v>
      </c>
      <c r="I97" s="64">
        <v>0.06</v>
      </c>
      <c r="J97" s="68"/>
      <c r="K97" s="72" t="s">
        <v>19</v>
      </c>
      <c r="M97" t="s">
        <v>19</v>
      </c>
      <c r="N97" s="64"/>
      <c r="O97" s="73"/>
      <c r="P97" t="s">
        <v>129</v>
      </c>
    </row>
    <row r="98" spans="1:16" x14ac:dyDescent="0.35">
      <c r="A98" s="68" t="s">
        <v>126</v>
      </c>
      <c r="B98" s="68" t="s">
        <v>26</v>
      </c>
      <c r="C98" s="72">
        <v>12</v>
      </c>
      <c r="D98" s="73" t="s">
        <v>42</v>
      </c>
      <c r="E98" s="78">
        <v>8.6</v>
      </c>
      <c r="F98" s="79">
        <f t="shared" si="1"/>
        <v>2.6212799161190428</v>
      </c>
      <c r="G98" s="83">
        <v>35.909999999999997</v>
      </c>
      <c r="H98">
        <v>1</v>
      </c>
      <c r="I98" s="64"/>
      <c r="J98" s="68"/>
      <c r="K98" s="72" t="s">
        <v>20</v>
      </c>
      <c r="L98" t="s">
        <v>65</v>
      </c>
      <c r="M98" t="s">
        <v>20</v>
      </c>
      <c r="N98" s="64">
        <v>0.56000000000000005</v>
      </c>
      <c r="O98" s="73">
        <v>168</v>
      </c>
      <c r="P98" t="s">
        <v>130</v>
      </c>
    </row>
    <row r="99" spans="1:16" x14ac:dyDescent="0.35">
      <c r="A99" s="68" t="s">
        <v>126</v>
      </c>
      <c r="B99" s="68" t="s">
        <v>26</v>
      </c>
      <c r="C99" s="72">
        <v>12</v>
      </c>
      <c r="D99" s="73"/>
      <c r="E99" s="78"/>
      <c r="F99" s="79" t="str">
        <f t="shared" si="1"/>
        <v xml:space="preserve"> </v>
      </c>
      <c r="G99" s="83"/>
      <c r="I99" s="64"/>
      <c r="J99" s="68"/>
      <c r="K99" s="72" t="s">
        <v>20</v>
      </c>
      <c r="L99" t="s">
        <v>30</v>
      </c>
      <c r="M99" t="s">
        <v>19</v>
      </c>
      <c r="N99" s="64">
        <v>0.63</v>
      </c>
      <c r="O99" s="73">
        <v>0</v>
      </c>
    </row>
    <row r="100" spans="1:16" x14ac:dyDescent="0.35">
      <c r="A100" s="68" t="s">
        <v>126</v>
      </c>
      <c r="B100" s="68" t="s">
        <v>26</v>
      </c>
      <c r="C100" s="72">
        <v>12</v>
      </c>
      <c r="D100" s="73"/>
      <c r="E100" s="78"/>
      <c r="F100" s="79" t="str">
        <f t="shared" si="1"/>
        <v xml:space="preserve"> </v>
      </c>
      <c r="G100" s="83"/>
      <c r="I100" s="64"/>
      <c r="J100" s="68"/>
      <c r="K100" s="72" t="s">
        <v>20</v>
      </c>
      <c r="L100" t="s">
        <v>22</v>
      </c>
      <c r="M100" t="s">
        <v>19</v>
      </c>
      <c r="N100" s="64">
        <v>0.63</v>
      </c>
      <c r="O100" s="73">
        <v>0</v>
      </c>
    </row>
    <row r="101" spans="1:16" x14ac:dyDescent="0.35">
      <c r="A101" s="68" t="s">
        <v>126</v>
      </c>
      <c r="B101" s="68" t="s">
        <v>26</v>
      </c>
      <c r="C101" s="72">
        <v>13</v>
      </c>
      <c r="D101" s="73" t="s">
        <v>42</v>
      </c>
      <c r="E101" s="78">
        <v>8.8000000000000007</v>
      </c>
      <c r="F101" s="79">
        <f t="shared" si="1"/>
        <v>2.6822399141683229</v>
      </c>
      <c r="G101" s="83">
        <v>33.72</v>
      </c>
      <c r="H101">
        <v>2</v>
      </c>
      <c r="I101" s="64">
        <v>0.54</v>
      </c>
      <c r="J101" s="68">
        <v>81</v>
      </c>
      <c r="K101" s="72" t="s">
        <v>20</v>
      </c>
      <c r="L101" t="s">
        <v>30</v>
      </c>
      <c r="M101" t="s">
        <v>19</v>
      </c>
      <c r="N101" s="64">
        <v>0.54</v>
      </c>
      <c r="O101" s="73">
        <v>0</v>
      </c>
    </row>
    <row r="102" spans="1:16" x14ac:dyDescent="0.35">
      <c r="A102" s="68" t="s">
        <v>126</v>
      </c>
      <c r="B102" s="68" t="s">
        <v>26</v>
      </c>
      <c r="C102" s="72">
        <v>13</v>
      </c>
      <c r="D102" s="73"/>
      <c r="E102" s="78"/>
      <c r="F102" s="79" t="str">
        <f t="shared" si="1"/>
        <v xml:space="preserve"> </v>
      </c>
      <c r="G102" s="83"/>
      <c r="I102" s="64"/>
      <c r="J102" s="68"/>
      <c r="K102" s="72" t="s">
        <v>20</v>
      </c>
      <c r="L102" t="s">
        <v>22</v>
      </c>
      <c r="M102" t="s">
        <v>19</v>
      </c>
      <c r="N102" s="64">
        <v>1.23</v>
      </c>
      <c r="O102" s="73">
        <v>0</v>
      </c>
    </row>
    <row r="103" spans="1:16" x14ac:dyDescent="0.35">
      <c r="A103" s="68" t="s">
        <v>126</v>
      </c>
      <c r="B103" s="68" t="s">
        <v>26</v>
      </c>
      <c r="C103" s="72">
        <v>14</v>
      </c>
      <c r="D103" s="73" t="s">
        <v>42</v>
      </c>
      <c r="E103" s="78">
        <v>10</v>
      </c>
      <c r="F103" s="79">
        <f t="shared" si="1"/>
        <v>3.047999902464003</v>
      </c>
      <c r="G103" s="83">
        <v>40.68</v>
      </c>
      <c r="H103">
        <v>1</v>
      </c>
      <c r="I103" s="64"/>
      <c r="J103" s="68"/>
      <c r="K103" s="72" t="s">
        <v>20</v>
      </c>
      <c r="L103" t="s">
        <v>30</v>
      </c>
      <c r="M103" t="s">
        <v>19</v>
      </c>
      <c r="N103" s="64">
        <v>0.75</v>
      </c>
      <c r="O103" s="73">
        <v>0</v>
      </c>
    </row>
    <row r="104" spans="1:16" x14ac:dyDescent="0.35">
      <c r="A104" s="68" t="s">
        <v>126</v>
      </c>
      <c r="B104" s="68" t="s">
        <v>26</v>
      </c>
      <c r="C104" s="72">
        <v>14</v>
      </c>
      <c r="D104" s="73"/>
      <c r="E104" s="78"/>
      <c r="F104" s="79" t="str">
        <f t="shared" si="1"/>
        <v xml:space="preserve"> </v>
      </c>
      <c r="G104" s="83"/>
      <c r="I104" s="64"/>
      <c r="J104" s="68"/>
      <c r="K104" s="72" t="s">
        <v>20</v>
      </c>
      <c r="L104" t="s">
        <v>21</v>
      </c>
      <c r="M104" t="s">
        <v>19</v>
      </c>
      <c r="N104" s="64">
        <v>0.7</v>
      </c>
      <c r="O104" s="73">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2E599-45A0-4B84-AE5B-A5CE18103DAB}">
  <dimension ref="A1:Q104"/>
  <sheetViews>
    <sheetView workbookViewId="0">
      <selection activeCell="I81" sqref="I81"/>
    </sheetView>
  </sheetViews>
  <sheetFormatPr defaultRowHeight="14.5" x14ac:dyDescent="0.35"/>
  <cols>
    <col min="1" max="1" width="10.08984375" bestFit="1" customWidth="1"/>
    <col min="2" max="2" width="9.36328125" bestFit="1" customWidth="1"/>
    <col min="3" max="3" width="5.7265625" bestFit="1" customWidth="1"/>
    <col min="4" max="4" width="7.453125" bestFit="1" customWidth="1"/>
    <col min="6" max="7" width="6.26953125" bestFit="1" customWidth="1"/>
    <col min="9" max="9" width="7" bestFit="1" customWidth="1"/>
    <col min="12" max="12" width="9.7265625" customWidth="1"/>
    <col min="13" max="13" width="10.26953125" customWidth="1"/>
    <col min="17" max="17" width="34.81640625" customWidth="1"/>
  </cols>
  <sheetData>
    <row r="1" spans="1:17" s="6" customFormat="1" ht="44" thickBot="1" x14ac:dyDescent="0.4">
      <c r="A1" s="67" t="s">
        <v>24</v>
      </c>
      <c r="B1" s="67" t="s">
        <v>2</v>
      </c>
      <c r="C1" s="70" t="s">
        <v>7</v>
      </c>
      <c r="D1" s="71" t="s">
        <v>41</v>
      </c>
      <c r="E1" s="58" t="s">
        <v>67</v>
      </c>
      <c r="F1" s="76" t="s">
        <v>8</v>
      </c>
      <c r="G1" s="77" t="s">
        <v>9</v>
      </c>
      <c r="H1" s="82" t="s">
        <v>12</v>
      </c>
      <c r="I1" s="58" t="s">
        <v>10</v>
      </c>
      <c r="J1" s="65" t="s">
        <v>11</v>
      </c>
      <c r="K1" s="85" t="s">
        <v>13</v>
      </c>
      <c r="L1" s="70" t="s">
        <v>14</v>
      </c>
      <c r="M1" s="58" t="s">
        <v>15</v>
      </c>
      <c r="N1" s="58" t="s">
        <v>16</v>
      </c>
      <c r="O1" s="65" t="s">
        <v>17</v>
      </c>
      <c r="P1" s="71" t="s">
        <v>18</v>
      </c>
      <c r="Q1" s="58" t="s">
        <v>5</v>
      </c>
    </row>
    <row r="2" spans="1:17" x14ac:dyDescent="0.35">
      <c r="A2" s="68" t="s">
        <v>25</v>
      </c>
      <c r="B2" t="s">
        <v>60</v>
      </c>
      <c r="C2" s="72">
        <v>70</v>
      </c>
      <c r="D2" s="73" t="s">
        <v>42</v>
      </c>
      <c r="F2" s="78">
        <v>13</v>
      </c>
      <c r="G2" s="79">
        <f t="shared" ref="G2:G32" si="0">IF(F2 = 0, " ", IF(F2&lt;2, F2/1, F2/3.28084))</f>
        <v>3.962399873203204</v>
      </c>
      <c r="H2" s="64">
        <v>50.02</v>
      </c>
      <c r="I2" s="72">
        <v>1</v>
      </c>
      <c r="J2" s="79"/>
      <c r="L2" s="72" t="s">
        <v>20</v>
      </c>
      <c r="M2" t="s">
        <v>22</v>
      </c>
      <c r="N2" t="s">
        <v>19</v>
      </c>
      <c r="O2" s="64">
        <v>0.68</v>
      </c>
      <c r="P2" s="73">
        <v>12</v>
      </c>
      <c r="Q2" t="s">
        <v>72</v>
      </c>
    </row>
    <row r="3" spans="1:17" x14ac:dyDescent="0.35">
      <c r="A3" s="68" t="s">
        <v>25</v>
      </c>
      <c r="B3" t="s">
        <v>60</v>
      </c>
      <c r="C3" s="72">
        <v>71</v>
      </c>
      <c r="D3" s="73" t="s">
        <v>40</v>
      </c>
      <c r="E3" t="s">
        <v>36</v>
      </c>
      <c r="F3" s="78">
        <v>13.9</v>
      </c>
      <c r="G3" s="79">
        <f t="shared" si="0"/>
        <v>4.2367198644249644</v>
      </c>
      <c r="H3" s="64">
        <v>71.56</v>
      </c>
      <c r="I3" s="72"/>
      <c r="J3" s="79"/>
      <c r="L3" s="72"/>
      <c r="O3" s="64"/>
      <c r="P3" s="73"/>
      <c r="Q3" t="s">
        <v>73</v>
      </c>
    </row>
    <row r="4" spans="1:17" x14ac:dyDescent="0.35">
      <c r="A4" s="68" t="s">
        <v>25</v>
      </c>
      <c r="B4" t="s">
        <v>60</v>
      </c>
      <c r="C4" s="72">
        <v>72</v>
      </c>
      <c r="D4" s="73" t="s">
        <v>40</v>
      </c>
      <c r="E4" t="s">
        <v>68</v>
      </c>
      <c r="F4" s="78">
        <v>17.399999999999999</v>
      </c>
      <c r="G4" s="79">
        <f t="shared" si="0"/>
        <v>5.3035198302873647</v>
      </c>
      <c r="H4" s="64">
        <v>58.56</v>
      </c>
      <c r="I4" s="72"/>
      <c r="J4" s="79"/>
      <c r="L4" s="72"/>
      <c r="O4" s="64"/>
      <c r="P4" s="73"/>
      <c r="Q4" t="s">
        <v>74</v>
      </c>
    </row>
    <row r="5" spans="1:17" x14ac:dyDescent="0.35">
      <c r="A5" s="68" t="s">
        <v>25</v>
      </c>
      <c r="B5" t="s">
        <v>60</v>
      </c>
      <c r="C5" s="72">
        <v>73</v>
      </c>
      <c r="D5" s="73" t="s">
        <v>42</v>
      </c>
      <c r="F5" s="78">
        <v>9</v>
      </c>
      <c r="G5" s="79">
        <f t="shared" si="0"/>
        <v>2.743199912217603</v>
      </c>
      <c r="H5" s="64">
        <v>19.13</v>
      </c>
      <c r="I5" s="72">
        <v>1</v>
      </c>
      <c r="J5" s="79"/>
      <c r="L5" s="72" t="s">
        <v>20</v>
      </c>
      <c r="M5" t="s">
        <v>22</v>
      </c>
      <c r="N5" t="s">
        <v>19</v>
      </c>
      <c r="O5" s="64">
        <v>0.56000000000000005</v>
      </c>
      <c r="P5" s="73">
        <v>0</v>
      </c>
      <c r="Q5" t="s">
        <v>75</v>
      </c>
    </row>
    <row r="6" spans="1:17" x14ac:dyDescent="0.35">
      <c r="A6" s="68" t="s">
        <v>25</v>
      </c>
      <c r="B6" t="s">
        <v>60</v>
      </c>
      <c r="C6" s="72">
        <v>73</v>
      </c>
      <c r="D6" s="73"/>
      <c r="F6" s="78"/>
      <c r="G6" s="79" t="str">
        <f t="shared" si="0"/>
        <v xml:space="preserve"> </v>
      </c>
      <c r="H6" s="64"/>
      <c r="I6" s="72"/>
      <c r="J6" s="79"/>
      <c r="L6" s="72" t="s">
        <v>20</v>
      </c>
      <c r="M6" t="s">
        <v>21</v>
      </c>
      <c r="N6" t="s">
        <v>19</v>
      </c>
      <c r="O6" s="64">
        <v>0.56000000000000005</v>
      </c>
      <c r="P6" s="73">
        <v>30</v>
      </c>
    </row>
    <row r="7" spans="1:17" x14ac:dyDescent="0.35">
      <c r="A7" s="68" t="s">
        <v>25</v>
      </c>
      <c r="B7" t="s">
        <v>60</v>
      </c>
      <c r="C7" s="72">
        <v>74</v>
      </c>
      <c r="D7" s="73" t="s">
        <v>40</v>
      </c>
      <c r="E7" t="s">
        <v>69</v>
      </c>
      <c r="F7" s="78">
        <v>9.4</v>
      </c>
      <c r="G7" s="79">
        <f t="shared" si="0"/>
        <v>2.8651199083161631</v>
      </c>
      <c r="H7" s="64">
        <v>33.17</v>
      </c>
      <c r="I7" s="72"/>
      <c r="J7" s="79"/>
      <c r="L7" s="72"/>
      <c r="O7" s="64"/>
      <c r="P7" s="73"/>
      <c r="Q7" t="s">
        <v>76</v>
      </c>
    </row>
    <row r="8" spans="1:17" x14ac:dyDescent="0.35">
      <c r="A8" s="68" t="s">
        <v>25</v>
      </c>
      <c r="B8" t="s">
        <v>60</v>
      </c>
      <c r="C8" s="72">
        <v>75</v>
      </c>
      <c r="D8" s="73" t="s">
        <v>42</v>
      </c>
      <c r="F8" s="78">
        <v>10.1</v>
      </c>
      <c r="G8" s="79">
        <f t="shared" si="0"/>
        <v>3.078479901488643</v>
      </c>
      <c r="H8" s="64">
        <v>32.61</v>
      </c>
      <c r="I8" s="72">
        <v>2</v>
      </c>
      <c r="J8" s="79">
        <v>0.14000000000000001</v>
      </c>
      <c r="K8">
        <v>95</v>
      </c>
      <c r="L8" s="72" t="s">
        <v>19</v>
      </c>
      <c r="N8" t="s">
        <v>19</v>
      </c>
      <c r="O8" s="64"/>
      <c r="P8" s="73"/>
      <c r="Q8" t="s">
        <v>77</v>
      </c>
    </row>
    <row r="9" spans="1:17" x14ac:dyDescent="0.35">
      <c r="A9" s="68" t="s">
        <v>25</v>
      </c>
      <c r="B9" t="s">
        <v>60</v>
      </c>
      <c r="C9" s="72">
        <v>76</v>
      </c>
      <c r="D9" s="73" t="s">
        <v>40</v>
      </c>
      <c r="F9" s="78">
        <v>11.7</v>
      </c>
      <c r="G9" s="79">
        <f t="shared" si="0"/>
        <v>3.5661598858828834</v>
      </c>
      <c r="H9" s="64">
        <v>33.92</v>
      </c>
      <c r="I9" s="72"/>
      <c r="J9" s="79"/>
      <c r="L9" s="72"/>
      <c r="O9" s="64"/>
      <c r="P9" s="73"/>
      <c r="Q9" t="s">
        <v>78</v>
      </c>
    </row>
    <row r="10" spans="1:17" x14ac:dyDescent="0.35">
      <c r="A10" s="68" t="s">
        <v>25</v>
      </c>
      <c r="B10" t="s">
        <v>60</v>
      </c>
      <c r="C10" s="72">
        <v>77</v>
      </c>
      <c r="D10" s="73" t="s">
        <v>40</v>
      </c>
      <c r="E10" t="s">
        <v>19</v>
      </c>
      <c r="F10" s="78">
        <v>9</v>
      </c>
      <c r="G10" s="79">
        <f t="shared" si="0"/>
        <v>2.743199912217603</v>
      </c>
      <c r="H10" s="64">
        <v>25.41</v>
      </c>
      <c r="I10" s="72"/>
      <c r="J10" s="79"/>
      <c r="L10" s="72"/>
      <c r="O10" s="64"/>
      <c r="P10" s="73"/>
      <c r="Q10" t="s">
        <v>79</v>
      </c>
    </row>
    <row r="11" spans="1:17" x14ac:dyDescent="0.35">
      <c r="A11" s="68" t="s">
        <v>25</v>
      </c>
      <c r="B11" t="s">
        <v>60</v>
      </c>
      <c r="C11" s="72">
        <v>78</v>
      </c>
      <c r="D11" s="73" t="s">
        <v>42</v>
      </c>
      <c r="F11" s="78">
        <v>10.8</v>
      </c>
      <c r="G11" s="79">
        <f t="shared" si="0"/>
        <v>3.2918398946611238</v>
      </c>
      <c r="H11" s="64">
        <v>35.4</v>
      </c>
      <c r="I11" s="72">
        <v>1</v>
      </c>
      <c r="J11" s="79"/>
      <c r="L11" s="72" t="s">
        <v>20</v>
      </c>
      <c r="M11" t="s">
        <v>21</v>
      </c>
      <c r="N11" t="s">
        <v>19</v>
      </c>
      <c r="O11" s="64">
        <v>0.34</v>
      </c>
      <c r="P11" s="73">
        <v>47</v>
      </c>
      <c r="Q11" t="s">
        <v>80</v>
      </c>
    </row>
    <row r="12" spans="1:17" x14ac:dyDescent="0.35">
      <c r="A12" s="68" t="s">
        <v>25</v>
      </c>
      <c r="B12" t="s">
        <v>60</v>
      </c>
      <c r="C12" s="72">
        <v>79</v>
      </c>
      <c r="D12" s="73" t="s">
        <v>40</v>
      </c>
      <c r="E12" t="s">
        <v>68</v>
      </c>
      <c r="F12" s="78">
        <v>9.1999999999999993</v>
      </c>
      <c r="G12" s="79">
        <f t="shared" si="0"/>
        <v>2.8041599102668826</v>
      </c>
      <c r="H12" s="64">
        <v>23.86</v>
      </c>
      <c r="I12" s="72"/>
      <c r="J12" s="79"/>
      <c r="L12" s="72"/>
      <c r="O12" s="64"/>
      <c r="P12" s="73"/>
      <c r="Q12" t="s">
        <v>81</v>
      </c>
    </row>
    <row r="13" spans="1:17" x14ac:dyDescent="0.35">
      <c r="A13" s="68" t="s">
        <v>25</v>
      </c>
      <c r="B13" t="s">
        <v>60</v>
      </c>
      <c r="C13" s="72">
        <v>80</v>
      </c>
      <c r="D13" s="73" t="s">
        <v>42</v>
      </c>
      <c r="F13" s="78">
        <v>7</v>
      </c>
      <c r="G13" s="79">
        <f t="shared" si="0"/>
        <v>2.133599931724802</v>
      </c>
      <c r="H13" s="64">
        <v>17.149999999999999</v>
      </c>
      <c r="I13" s="72">
        <v>1</v>
      </c>
      <c r="J13" s="79"/>
      <c r="L13" s="72" t="s">
        <v>19</v>
      </c>
      <c r="N13" t="s">
        <v>19</v>
      </c>
      <c r="O13" s="64"/>
      <c r="P13" s="73"/>
      <c r="Q13" t="s">
        <v>82</v>
      </c>
    </row>
    <row r="14" spans="1:17" x14ac:dyDescent="0.35">
      <c r="A14" s="68" t="s">
        <v>25</v>
      </c>
      <c r="B14" t="s">
        <v>60</v>
      </c>
      <c r="C14" s="72">
        <v>81</v>
      </c>
      <c r="D14" s="73" t="s">
        <v>40</v>
      </c>
      <c r="E14" t="s">
        <v>68</v>
      </c>
      <c r="F14" s="78">
        <v>12.1</v>
      </c>
      <c r="G14" s="79">
        <f t="shared" si="0"/>
        <v>3.6880798819814435</v>
      </c>
      <c r="H14" s="64">
        <v>42.02</v>
      </c>
      <c r="I14" s="72"/>
      <c r="J14" s="79"/>
      <c r="L14" s="72"/>
      <c r="O14" s="64"/>
      <c r="P14" s="73"/>
      <c r="Q14" t="s">
        <v>83</v>
      </c>
    </row>
    <row r="15" spans="1:17" x14ac:dyDescent="0.35">
      <c r="A15" s="68" t="s">
        <v>25</v>
      </c>
      <c r="B15" t="s">
        <v>60</v>
      </c>
      <c r="C15" s="72">
        <v>82</v>
      </c>
      <c r="D15" s="73" t="s">
        <v>42</v>
      </c>
      <c r="F15" s="78">
        <v>9.9</v>
      </c>
      <c r="G15" s="79">
        <f t="shared" si="0"/>
        <v>3.0175199034393634</v>
      </c>
      <c r="H15" s="64">
        <v>30.03</v>
      </c>
      <c r="I15" s="72">
        <v>1</v>
      </c>
      <c r="J15" s="79"/>
      <c r="L15" s="72" t="s">
        <v>19</v>
      </c>
      <c r="N15" t="s">
        <v>19</v>
      </c>
      <c r="O15" s="64"/>
      <c r="P15" s="73"/>
      <c r="Q15" t="s">
        <v>84</v>
      </c>
    </row>
    <row r="16" spans="1:17" x14ac:dyDescent="0.35">
      <c r="A16" s="68" t="s">
        <v>25</v>
      </c>
      <c r="B16" t="s">
        <v>60</v>
      </c>
      <c r="C16" s="72">
        <v>83</v>
      </c>
      <c r="D16" s="73" t="s">
        <v>40</v>
      </c>
      <c r="E16" t="s">
        <v>19</v>
      </c>
      <c r="F16" s="78">
        <v>10.9</v>
      </c>
      <c r="G16" s="79">
        <f t="shared" si="0"/>
        <v>3.3223198936857634</v>
      </c>
      <c r="H16" s="64">
        <v>39.090000000000003</v>
      </c>
      <c r="I16" s="72"/>
      <c r="J16" s="79"/>
      <c r="L16" s="72"/>
      <c r="O16" s="64"/>
      <c r="P16" s="73"/>
      <c r="Q16" t="s">
        <v>85</v>
      </c>
    </row>
    <row r="17" spans="1:17" x14ac:dyDescent="0.35">
      <c r="A17" s="68" t="s">
        <v>25</v>
      </c>
      <c r="B17" t="s">
        <v>60</v>
      </c>
      <c r="C17" s="72">
        <v>84</v>
      </c>
      <c r="D17" s="73" t="s">
        <v>42</v>
      </c>
      <c r="F17" s="78">
        <v>12</v>
      </c>
      <c r="G17" s="79">
        <f t="shared" si="0"/>
        <v>3.6575998829568039</v>
      </c>
      <c r="H17" s="64">
        <v>43.26</v>
      </c>
      <c r="I17" s="72">
        <v>1</v>
      </c>
      <c r="J17" s="79"/>
      <c r="L17" s="72" t="s">
        <v>20</v>
      </c>
      <c r="M17" t="s">
        <v>22</v>
      </c>
      <c r="N17" t="s">
        <v>19</v>
      </c>
      <c r="O17" s="64">
        <v>0.85</v>
      </c>
      <c r="P17" s="73">
        <v>0</v>
      </c>
      <c r="Q17" t="s">
        <v>86</v>
      </c>
    </row>
    <row r="18" spans="1:17" x14ac:dyDescent="0.35">
      <c r="A18" s="68" t="s">
        <v>25</v>
      </c>
      <c r="B18" t="s">
        <v>60</v>
      </c>
      <c r="C18" s="72">
        <v>85</v>
      </c>
      <c r="D18" s="73" t="s">
        <v>40</v>
      </c>
      <c r="E18" t="s">
        <v>70</v>
      </c>
      <c r="F18" s="78">
        <v>11.5</v>
      </c>
      <c r="G18" s="79">
        <f t="shared" si="0"/>
        <v>3.5051998878336037</v>
      </c>
      <c r="H18" s="64">
        <v>39.93</v>
      </c>
      <c r="I18" s="72"/>
      <c r="J18" s="79"/>
      <c r="L18" s="72"/>
      <c r="O18" s="64"/>
      <c r="P18" s="73"/>
      <c r="Q18" t="s">
        <v>87</v>
      </c>
    </row>
    <row r="19" spans="1:17" x14ac:dyDescent="0.35">
      <c r="A19" s="68" t="s">
        <v>25</v>
      </c>
      <c r="B19" t="s">
        <v>60</v>
      </c>
      <c r="C19" s="72">
        <v>86</v>
      </c>
      <c r="D19" s="73" t="s">
        <v>42</v>
      </c>
      <c r="F19" s="78">
        <v>11.9</v>
      </c>
      <c r="G19" s="79">
        <f t="shared" si="0"/>
        <v>3.6271198839321639</v>
      </c>
      <c r="H19" s="64">
        <v>38.85</v>
      </c>
      <c r="I19" s="72">
        <v>1</v>
      </c>
      <c r="J19" s="79"/>
      <c r="K19">
        <v>57</v>
      </c>
      <c r="L19" s="72" t="s">
        <v>20</v>
      </c>
      <c r="M19" t="s">
        <v>22</v>
      </c>
      <c r="N19" t="s">
        <v>19</v>
      </c>
      <c r="O19" s="64">
        <v>1.19</v>
      </c>
      <c r="P19" s="73">
        <v>0</v>
      </c>
      <c r="Q19" t="s">
        <v>88</v>
      </c>
    </row>
    <row r="20" spans="1:17" x14ac:dyDescent="0.35">
      <c r="A20" s="68" t="s">
        <v>25</v>
      </c>
      <c r="B20" t="s">
        <v>60</v>
      </c>
      <c r="C20" s="72">
        <v>87</v>
      </c>
      <c r="D20" s="73" t="s">
        <v>40</v>
      </c>
      <c r="E20" t="s">
        <v>19</v>
      </c>
      <c r="F20" s="78">
        <v>15.4</v>
      </c>
      <c r="G20" s="79">
        <f>IF(F20 = 0, " ", IF(F20&lt;2, F20/1, F20/3.28084))</f>
        <v>4.6939198497945647</v>
      </c>
      <c r="H20" s="64">
        <v>58.23</v>
      </c>
      <c r="I20" s="72"/>
      <c r="J20" s="79"/>
      <c r="L20" s="72"/>
      <c r="O20" s="64"/>
      <c r="P20" s="73"/>
      <c r="Q20" t="s">
        <v>89</v>
      </c>
    </row>
    <row r="21" spans="1:17" x14ac:dyDescent="0.35">
      <c r="A21" s="68" t="s">
        <v>25</v>
      </c>
      <c r="B21" t="s">
        <v>60</v>
      </c>
      <c r="C21" s="72">
        <v>88</v>
      </c>
      <c r="D21" s="73" t="s">
        <v>42</v>
      </c>
      <c r="F21" s="78">
        <v>4.2</v>
      </c>
      <c r="G21" s="79">
        <f t="shared" si="0"/>
        <v>1.2801599590348813</v>
      </c>
      <c r="H21" s="64">
        <v>4.1399999999999997</v>
      </c>
      <c r="I21" s="72">
        <v>1</v>
      </c>
      <c r="J21" s="79"/>
      <c r="L21" s="72" t="s">
        <v>19</v>
      </c>
      <c r="N21" t="s">
        <v>19</v>
      </c>
      <c r="O21" s="64"/>
      <c r="P21" s="73"/>
      <c r="Q21" t="s">
        <v>90</v>
      </c>
    </row>
    <row r="22" spans="1:17" x14ac:dyDescent="0.35">
      <c r="A22" s="68" t="s">
        <v>25</v>
      </c>
      <c r="B22" t="s">
        <v>60</v>
      </c>
      <c r="C22" s="72">
        <v>89</v>
      </c>
      <c r="D22" s="73" t="s">
        <v>40</v>
      </c>
      <c r="E22" t="s">
        <v>68</v>
      </c>
      <c r="F22" s="78">
        <v>18.5</v>
      </c>
      <c r="G22" s="79">
        <f t="shared" si="0"/>
        <v>5.6387998195584057</v>
      </c>
      <c r="H22" s="64">
        <v>59.12</v>
      </c>
      <c r="I22" s="72"/>
      <c r="J22" s="79"/>
      <c r="L22" s="72"/>
      <c r="O22" s="64"/>
      <c r="P22" s="73"/>
      <c r="Q22" t="s">
        <v>91</v>
      </c>
    </row>
    <row r="23" spans="1:17" x14ac:dyDescent="0.35">
      <c r="A23" s="68" t="s">
        <v>25</v>
      </c>
      <c r="B23" t="s">
        <v>60</v>
      </c>
      <c r="C23" s="72">
        <v>90</v>
      </c>
      <c r="D23" s="73" t="s">
        <v>42</v>
      </c>
      <c r="F23" s="78">
        <v>7.6</v>
      </c>
      <c r="G23" s="79">
        <f t="shared" si="0"/>
        <v>2.3164799258726423</v>
      </c>
      <c r="H23" s="64">
        <v>17.8</v>
      </c>
      <c r="I23" s="72">
        <v>1</v>
      </c>
      <c r="J23" s="79"/>
      <c r="L23" s="72" t="s">
        <v>20</v>
      </c>
      <c r="M23" t="s">
        <v>21</v>
      </c>
      <c r="N23" t="s">
        <v>19</v>
      </c>
      <c r="O23" s="64">
        <v>0.53</v>
      </c>
      <c r="P23" s="73">
        <v>26</v>
      </c>
      <c r="Q23" t="s">
        <v>92</v>
      </c>
    </row>
    <row r="24" spans="1:17" x14ac:dyDescent="0.35">
      <c r="A24" s="68" t="s">
        <v>25</v>
      </c>
      <c r="B24" t="s">
        <v>60</v>
      </c>
      <c r="C24" s="72">
        <v>91</v>
      </c>
      <c r="D24" s="73" t="s">
        <v>40</v>
      </c>
      <c r="E24" t="s">
        <v>36</v>
      </c>
      <c r="F24" s="78">
        <v>17.899999999999999</v>
      </c>
      <c r="G24" s="79">
        <f t="shared" si="0"/>
        <v>5.4559198254105654</v>
      </c>
      <c r="H24" s="64">
        <v>68.150000000000006</v>
      </c>
      <c r="I24" s="72"/>
      <c r="J24" s="79"/>
      <c r="L24" s="72"/>
      <c r="O24" s="64"/>
      <c r="P24" s="73"/>
      <c r="Q24" t="s">
        <v>93</v>
      </c>
    </row>
    <row r="25" spans="1:17" x14ac:dyDescent="0.35">
      <c r="A25" s="68" t="s">
        <v>25</v>
      </c>
      <c r="B25" t="s">
        <v>60</v>
      </c>
      <c r="C25" s="72">
        <v>92</v>
      </c>
      <c r="D25" s="73" t="s">
        <v>42</v>
      </c>
      <c r="F25" s="78">
        <v>0.96</v>
      </c>
      <c r="G25" s="79">
        <v>0.96</v>
      </c>
      <c r="H25" s="64">
        <v>5.72</v>
      </c>
      <c r="I25" s="72">
        <v>2</v>
      </c>
      <c r="J25" s="79">
        <v>0.68</v>
      </c>
      <c r="L25" s="72" t="s">
        <v>19</v>
      </c>
      <c r="N25" t="s">
        <v>19</v>
      </c>
      <c r="O25" s="64"/>
      <c r="P25" s="73"/>
      <c r="Q25" t="s">
        <v>94</v>
      </c>
    </row>
    <row r="26" spans="1:17" x14ac:dyDescent="0.35">
      <c r="A26" s="68" t="s">
        <v>25</v>
      </c>
      <c r="B26" t="s">
        <v>60</v>
      </c>
      <c r="C26" s="72">
        <v>93</v>
      </c>
      <c r="D26" s="73" t="s">
        <v>42</v>
      </c>
      <c r="F26" s="78">
        <v>7.3</v>
      </c>
      <c r="G26" s="79">
        <f t="shared" si="0"/>
        <v>2.2250399287987221</v>
      </c>
      <c r="H26" s="64">
        <v>24.4</v>
      </c>
      <c r="I26" s="72">
        <v>1</v>
      </c>
      <c r="J26" s="79"/>
      <c r="L26" s="72" t="s">
        <v>20</v>
      </c>
      <c r="M26" t="s">
        <v>22</v>
      </c>
      <c r="N26" t="s">
        <v>19</v>
      </c>
      <c r="O26" s="64">
        <v>1.28</v>
      </c>
      <c r="P26" s="73">
        <v>0</v>
      </c>
      <c r="Q26" t="s">
        <v>95</v>
      </c>
    </row>
    <row r="27" spans="1:17" x14ac:dyDescent="0.35">
      <c r="A27" s="68" t="s">
        <v>25</v>
      </c>
      <c r="B27" t="s">
        <v>60</v>
      </c>
      <c r="C27" s="72">
        <v>94</v>
      </c>
      <c r="D27" s="73" t="s">
        <v>40</v>
      </c>
      <c r="E27" t="s">
        <v>36</v>
      </c>
      <c r="F27" s="78">
        <v>14.6</v>
      </c>
      <c r="G27" s="79">
        <v>1.96</v>
      </c>
      <c r="H27" s="64">
        <v>67.45</v>
      </c>
      <c r="I27" s="72"/>
      <c r="J27" s="79"/>
      <c r="L27" s="72"/>
      <c r="O27" s="64"/>
      <c r="P27" s="73"/>
      <c r="Q27" t="s">
        <v>96</v>
      </c>
    </row>
    <row r="28" spans="1:17" x14ac:dyDescent="0.35">
      <c r="A28" s="68" t="s">
        <v>25</v>
      </c>
      <c r="B28" t="s">
        <v>60</v>
      </c>
      <c r="C28" s="72">
        <v>95</v>
      </c>
      <c r="D28" s="73" t="s">
        <v>40</v>
      </c>
      <c r="E28" t="s">
        <v>68</v>
      </c>
      <c r="F28" s="78">
        <v>9.6</v>
      </c>
      <c r="G28" s="79">
        <f t="shared" si="0"/>
        <v>2.9260799063654428</v>
      </c>
      <c r="H28" s="64">
        <v>23.29</v>
      </c>
      <c r="I28" s="72"/>
      <c r="J28" s="79"/>
      <c r="L28" s="72"/>
      <c r="O28" s="64"/>
      <c r="P28" s="73"/>
      <c r="Q28" t="s">
        <v>97</v>
      </c>
    </row>
    <row r="29" spans="1:17" x14ac:dyDescent="0.35">
      <c r="A29" s="68" t="s">
        <v>25</v>
      </c>
      <c r="B29" t="s">
        <v>60</v>
      </c>
      <c r="C29" s="72">
        <v>96</v>
      </c>
      <c r="D29" s="73" t="s">
        <v>42</v>
      </c>
      <c r="F29" s="78">
        <v>7</v>
      </c>
      <c r="G29" s="79">
        <f t="shared" si="0"/>
        <v>2.133599931724802</v>
      </c>
      <c r="H29" s="64">
        <v>14.17</v>
      </c>
      <c r="I29" s="72">
        <v>1</v>
      </c>
      <c r="J29" s="79"/>
      <c r="K29">
        <v>98</v>
      </c>
      <c r="L29" s="72" t="s">
        <v>20</v>
      </c>
      <c r="M29" t="s">
        <v>22</v>
      </c>
      <c r="N29" t="s">
        <v>19</v>
      </c>
      <c r="O29" s="64">
        <v>0.17</v>
      </c>
      <c r="P29" s="73">
        <v>0</v>
      </c>
      <c r="Q29" t="s">
        <v>98</v>
      </c>
    </row>
    <row r="30" spans="1:17" x14ac:dyDescent="0.35">
      <c r="A30" s="68" t="s">
        <v>25</v>
      </c>
      <c r="B30" t="s">
        <v>60</v>
      </c>
      <c r="C30" s="72">
        <v>97</v>
      </c>
      <c r="D30" s="73" t="s">
        <v>40</v>
      </c>
      <c r="E30" t="s">
        <v>36</v>
      </c>
      <c r="F30" s="78">
        <v>15.6</v>
      </c>
      <c r="G30" s="79">
        <f t="shared" si="0"/>
        <v>4.7548798478438448</v>
      </c>
      <c r="H30" s="64">
        <v>59.16</v>
      </c>
      <c r="I30" s="72"/>
      <c r="J30" s="79"/>
      <c r="L30" s="72"/>
      <c r="O30" s="64"/>
      <c r="P30" s="73"/>
      <c r="Q30" t="s">
        <v>99</v>
      </c>
    </row>
    <row r="31" spans="1:17" x14ac:dyDescent="0.35">
      <c r="A31" s="68" t="s">
        <v>25</v>
      </c>
      <c r="B31" t="s">
        <v>60</v>
      </c>
      <c r="C31" s="72">
        <v>98</v>
      </c>
      <c r="D31" s="73" t="s">
        <v>42</v>
      </c>
      <c r="F31" s="78">
        <v>7</v>
      </c>
      <c r="G31" s="79">
        <f t="shared" si="0"/>
        <v>2.133599931724802</v>
      </c>
      <c r="H31" s="64">
        <v>20.62</v>
      </c>
      <c r="I31" s="72">
        <v>1</v>
      </c>
      <c r="J31" s="79"/>
      <c r="L31" s="72" t="s">
        <v>20</v>
      </c>
      <c r="M31" t="s">
        <v>21</v>
      </c>
      <c r="N31" t="s">
        <v>19</v>
      </c>
      <c r="O31" s="64">
        <v>0.6</v>
      </c>
      <c r="P31" s="73">
        <v>72</v>
      </c>
      <c r="Q31" t="s">
        <v>100</v>
      </c>
    </row>
    <row r="32" spans="1:17" x14ac:dyDescent="0.35">
      <c r="A32" s="68" t="s">
        <v>25</v>
      </c>
      <c r="B32" t="s">
        <v>60</v>
      </c>
      <c r="C32" s="72">
        <v>99</v>
      </c>
      <c r="D32" s="73" t="s">
        <v>40</v>
      </c>
      <c r="E32" t="s">
        <v>71</v>
      </c>
      <c r="F32" s="78">
        <v>14.8</v>
      </c>
      <c r="G32" s="79">
        <f t="shared" si="0"/>
        <v>4.5110398556467253</v>
      </c>
      <c r="H32" s="64"/>
      <c r="I32" s="72"/>
      <c r="J32" s="79"/>
      <c r="L32" s="72"/>
      <c r="O32" s="64"/>
      <c r="P32" s="73"/>
      <c r="Q32" t="s">
        <v>101</v>
      </c>
    </row>
    <row r="33" spans="1:17" x14ac:dyDescent="0.35">
      <c r="A33" s="68" t="s">
        <v>25</v>
      </c>
      <c r="B33" t="s">
        <v>60</v>
      </c>
      <c r="C33" s="72">
        <v>100</v>
      </c>
      <c r="D33" s="73" t="s">
        <v>42</v>
      </c>
      <c r="F33" s="78">
        <v>1.2</v>
      </c>
      <c r="G33" s="79">
        <v>1.2</v>
      </c>
      <c r="H33" s="64">
        <v>10.26</v>
      </c>
      <c r="I33" s="72">
        <v>1</v>
      </c>
      <c r="J33" s="79"/>
      <c r="L33" s="72" t="s">
        <v>19</v>
      </c>
      <c r="N33" t="s">
        <v>19</v>
      </c>
      <c r="O33" s="64"/>
      <c r="P33" s="73"/>
      <c r="Q33" t="s">
        <v>151</v>
      </c>
    </row>
    <row r="34" spans="1:17" x14ac:dyDescent="0.35">
      <c r="A34" s="68" t="s">
        <v>25</v>
      </c>
      <c r="B34" t="s">
        <v>60</v>
      </c>
      <c r="C34" s="72">
        <v>101</v>
      </c>
      <c r="D34" s="73" t="s">
        <v>40</v>
      </c>
      <c r="E34" t="s">
        <v>36</v>
      </c>
      <c r="F34" s="78">
        <v>16.600000000000001</v>
      </c>
      <c r="G34" s="79">
        <f t="shared" ref="G34:G97" si="1">IF(F34 = 0, " ", IF(F34&lt;2, F34/1, F34/3.28084))</f>
        <v>5.0596798380902452</v>
      </c>
      <c r="H34" s="64">
        <v>52.57</v>
      </c>
      <c r="I34" s="72"/>
      <c r="J34" s="79"/>
      <c r="L34" s="72"/>
      <c r="O34" s="64"/>
      <c r="P34" s="73"/>
      <c r="Q34" t="s">
        <v>102</v>
      </c>
    </row>
    <row r="35" spans="1:17" x14ac:dyDescent="0.35">
      <c r="A35" s="68" t="s">
        <v>25</v>
      </c>
      <c r="B35" t="s">
        <v>60</v>
      </c>
      <c r="C35" s="72">
        <v>102</v>
      </c>
      <c r="D35" s="73" t="s">
        <v>42</v>
      </c>
      <c r="F35" s="78">
        <v>5.4</v>
      </c>
      <c r="G35" s="79">
        <f t="shared" si="1"/>
        <v>1.6459199473305619</v>
      </c>
      <c r="H35" s="64">
        <v>17.059999999999999</v>
      </c>
      <c r="I35" s="72">
        <v>1</v>
      </c>
      <c r="J35" s="79"/>
      <c r="L35" s="72" t="s">
        <v>19</v>
      </c>
      <c r="N35" t="s">
        <v>19</v>
      </c>
      <c r="O35" s="64"/>
      <c r="P35" s="73"/>
      <c r="Q35" t="s">
        <v>103</v>
      </c>
    </row>
    <row r="36" spans="1:17" x14ac:dyDescent="0.35">
      <c r="A36" s="68" t="s">
        <v>25</v>
      </c>
      <c r="B36" t="s">
        <v>60</v>
      </c>
      <c r="C36" s="72">
        <v>103</v>
      </c>
      <c r="D36" s="73" t="s">
        <v>40</v>
      </c>
      <c r="E36" t="s">
        <v>29</v>
      </c>
      <c r="F36" s="78">
        <v>15.3</v>
      </c>
      <c r="G36" s="79">
        <f t="shared" si="1"/>
        <v>4.6634398507699251</v>
      </c>
      <c r="H36" s="64">
        <v>47.56</v>
      </c>
      <c r="I36" s="72"/>
      <c r="J36" s="79"/>
      <c r="L36" s="72"/>
      <c r="O36" s="64"/>
      <c r="P36" s="73"/>
      <c r="Q36" t="s">
        <v>104</v>
      </c>
    </row>
    <row r="37" spans="1:17" x14ac:dyDescent="0.35">
      <c r="A37" s="68" t="s">
        <v>25</v>
      </c>
      <c r="B37" t="s">
        <v>60</v>
      </c>
      <c r="C37" s="72">
        <v>104</v>
      </c>
      <c r="D37" s="73" t="s">
        <v>42</v>
      </c>
      <c r="F37" s="78">
        <v>6.5</v>
      </c>
      <c r="G37" s="79">
        <f t="shared" si="1"/>
        <v>1.981199936601602</v>
      </c>
      <c r="H37" s="64">
        <v>16.850000000000001</v>
      </c>
      <c r="I37" s="72">
        <v>1</v>
      </c>
      <c r="J37" s="79"/>
      <c r="L37" s="72" t="s">
        <v>20</v>
      </c>
      <c r="M37" t="s">
        <v>21</v>
      </c>
      <c r="N37" t="s">
        <v>19</v>
      </c>
      <c r="O37" s="64">
        <v>0.3</v>
      </c>
      <c r="P37" s="73">
        <v>120</v>
      </c>
      <c r="Q37" t="s">
        <v>105</v>
      </c>
    </row>
    <row r="38" spans="1:17" x14ac:dyDescent="0.35">
      <c r="A38" s="68" t="s">
        <v>25</v>
      </c>
      <c r="B38" t="s">
        <v>60</v>
      </c>
      <c r="C38" s="72">
        <v>104</v>
      </c>
      <c r="D38" s="73"/>
      <c r="F38" s="78"/>
      <c r="G38" s="79" t="str">
        <f t="shared" si="1"/>
        <v xml:space="preserve"> </v>
      </c>
      <c r="H38" s="64"/>
      <c r="I38" s="72"/>
      <c r="J38" s="79"/>
      <c r="L38" s="72" t="s">
        <v>20</v>
      </c>
      <c r="M38" t="s">
        <v>22</v>
      </c>
      <c r="N38" t="s">
        <v>19</v>
      </c>
      <c r="O38" s="64">
        <v>0.85</v>
      </c>
      <c r="P38" s="73">
        <v>0</v>
      </c>
    </row>
    <row r="39" spans="1:17" x14ac:dyDescent="0.35">
      <c r="A39" s="68" t="s">
        <v>25</v>
      </c>
      <c r="B39" t="s">
        <v>60</v>
      </c>
      <c r="C39" s="72">
        <v>105</v>
      </c>
      <c r="D39" s="73" t="s">
        <v>40</v>
      </c>
      <c r="E39" t="s">
        <v>23</v>
      </c>
      <c r="F39" s="78">
        <v>16.3</v>
      </c>
      <c r="G39" s="79">
        <f t="shared" si="1"/>
        <v>4.9682398410163255</v>
      </c>
      <c r="H39" s="64">
        <v>70.56</v>
      </c>
      <c r="I39" s="72"/>
      <c r="J39" s="79"/>
      <c r="L39" s="72"/>
      <c r="O39" s="64"/>
      <c r="P39" s="73"/>
      <c r="Q39" t="s">
        <v>107</v>
      </c>
    </row>
    <row r="40" spans="1:17" s="1" customFormat="1" x14ac:dyDescent="0.35">
      <c r="A40" s="69" t="s">
        <v>25</v>
      </c>
      <c r="B40" s="1" t="s">
        <v>60</v>
      </c>
      <c r="C40" s="74">
        <v>106</v>
      </c>
      <c r="D40" s="75" t="s">
        <v>42</v>
      </c>
      <c r="F40" s="80">
        <v>7</v>
      </c>
      <c r="G40" s="81">
        <f t="shared" si="1"/>
        <v>2.133599931724802</v>
      </c>
      <c r="H40" s="66">
        <v>26.96</v>
      </c>
      <c r="I40" s="74">
        <v>1</v>
      </c>
      <c r="J40" s="81"/>
      <c r="L40" s="74" t="s">
        <v>20</v>
      </c>
      <c r="M40" s="1" t="s">
        <v>22</v>
      </c>
      <c r="N40" s="1" t="s">
        <v>19</v>
      </c>
      <c r="O40" s="66">
        <v>0.2</v>
      </c>
      <c r="P40" s="75">
        <v>0</v>
      </c>
      <c r="Q40" s="1" t="s">
        <v>106</v>
      </c>
    </row>
    <row r="41" spans="1:17" x14ac:dyDescent="0.35">
      <c r="A41" s="68" t="s">
        <v>110</v>
      </c>
      <c r="B41" s="68" t="s">
        <v>60</v>
      </c>
      <c r="C41" s="72">
        <v>68</v>
      </c>
      <c r="D41" s="73" t="s">
        <v>40</v>
      </c>
      <c r="E41" t="s">
        <v>36</v>
      </c>
      <c r="F41" s="78">
        <v>10.9</v>
      </c>
      <c r="G41" s="79">
        <f t="shared" si="1"/>
        <v>3.3223198936857634</v>
      </c>
      <c r="H41" s="83">
        <v>53.79</v>
      </c>
      <c r="J41" s="64"/>
      <c r="K41" s="68"/>
      <c r="L41" s="72"/>
      <c r="O41" s="64"/>
      <c r="P41" s="73"/>
      <c r="Q41" t="s">
        <v>115</v>
      </c>
    </row>
    <row r="42" spans="1:17" x14ac:dyDescent="0.35">
      <c r="A42" s="68" t="s">
        <v>110</v>
      </c>
      <c r="B42" s="68" t="s">
        <v>60</v>
      </c>
      <c r="C42" s="72">
        <v>69</v>
      </c>
      <c r="D42" s="73" t="s">
        <v>42</v>
      </c>
      <c r="F42" s="78">
        <v>12.5</v>
      </c>
      <c r="G42" s="79">
        <f t="shared" si="1"/>
        <v>3.8099998780800037</v>
      </c>
      <c r="H42" s="83">
        <v>45.65</v>
      </c>
      <c r="I42">
        <v>1</v>
      </c>
      <c r="J42" s="64"/>
      <c r="K42" s="68"/>
      <c r="L42" s="72" t="s">
        <v>19</v>
      </c>
      <c r="N42" t="s">
        <v>19</v>
      </c>
      <c r="O42" s="64"/>
      <c r="P42" s="73"/>
      <c r="Q42" t="s">
        <v>117</v>
      </c>
    </row>
    <row r="43" spans="1:17" x14ac:dyDescent="0.35">
      <c r="A43" s="68" t="s">
        <v>110</v>
      </c>
      <c r="B43" s="68" t="s">
        <v>60</v>
      </c>
      <c r="C43" s="72">
        <v>70</v>
      </c>
      <c r="D43" s="73" t="s">
        <v>40</v>
      </c>
      <c r="E43" t="s">
        <v>19</v>
      </c>
      <c r="F43" s="78">
        <v>13</v>
      </c>
      <c r="G43" s="79">
        <f t="shared" si="1"/>
        <v>3.962399873203204</v>
      </c>
      <c r="H43" s="83">
        <v>43.33</v>
      </c>
      <c r="J43" s="64"/>
      <c r="K43" s="68"/>
      <c r="L43" s="72"/>
      <c r="O43" s="64"/>
      <c r="P43" s="73"/>
      <c r="Q43" t="s">
        <v>72</v>
      </c>
    </row>
    <row r="44" spans="1:17" x14ac:dyDescent="0.35">
      <c r="A44" s="68" t="s">
        <v>110</v>
      </c>
      <c r="B44" s="68" t="s">
        <v>60</v>
      </c>
      <c r="C44" s="72">
        <v>71</v>
      </c>
      <c r="D44" s="73" t="s">
        <v>42</v>
      </c>
      <c r="F44" s="78">
        <v>10.199999999999999</v>
      </c>
      <c r="G44" s="79">
        <f t="shared" si="1"/>
        <v>3.1089599005132831</v>
      </c>
      <c r="H44" s="83">
        <v>22.27</v>
      </c>
      <c r="I44">
        <v>1</v>
      </c>
      <c r="J44" s="64"/>
      <c r="K44" s="68"/>
      <c r="L44" s="72" t="s">
        <v>19</v>
      </c>
      <c r="N44" t="s">
        <v>19</v>
      </c>
      <c r="O44" s="64"/>
      <c r="P44" s="73"/>
      <c r="Q44" t="s">
        <v>73</v>
      </c>
    </row>
    <row r="45" spans="1:17" x14ac:dyDescent="0.35">
      <c r="A45" s="68" t="s">
        <v>110</v>
      </c>
      <c r="B45" s="68" t="s">
        <v>60</v>
      </c>
      <c r="C45" s="72">
        <v>72</v>
      </c>
      <c r="D45" s="73" t="s">
        <v>40</v>
      </c>
      <c r="E45" t="s">
        <v>68</v>
      </c>
      <c r="F45" s="78">
        <v>12.2</v>
      </c>
      <c r="G45" s="79">
        <f t="shared" si="1"/>
        <v>3.7185598810060836</v>
      </c>
      <c r="H45" s="83">
        <v>49.87</v>
      </c>
      <c r="J45" s="64"/>
      <c r="K45" s="68"/>
      <c r="L45" s="72"/>
      <c r="O45" s="64"/>
      <c r="P45" s="73"/>
      <c r="Q45" t="s">
        <v>74</v>
      </c>
    </row>
    <row r="46" spans="1:17" x14ac:dyDescent="0.35">
      <c r="A46" s="68" t="s">
        <v>110</v>
      </c>
      <c r="B46" s="68" t="s">
        <v>60</v>
      </c>
      <c r="C46" s="72">
        <v>73</v>
      </c>
      <c r="D46" s="73" t="s">
        <v>42</v>
      </c>
      <c r="F46" s="78">
        <v>7.2</v>
      </c>
      <c r="G46" s="79">
        <f t="shared" si="1"/>
        <v>2.1945599297740821</v>
      </c>
      <c r="H46" s="83">
        <v>25.21</v>
      </c>
      <c r="I46">
        <v>2</v>
      </c>
      <c r="J46" s="64">
        <v>0.05</v>
      </c>
      <c r="K46" s="68"/>
      <c r="L46" s="72" t="s">
        <v>19</v>
      </c>
      <c r="N46" t="s">
        <v>19</v>
      </c>
      <c r="O46" s="64"/>
      <c r="P46" s="73"/>
      <c r="Q46" t="s">
        <v>75</v>
      </c>
    </row>
    <row r="47" spans="1:17" x14ac:dyDescent="0.35">
      <c r="A47" s="68" t="s">
        <v>110</v>
      </c>
      <c r="B47" s="68" t="s">
        <v>60</v>
      </c>
      <c r="C47" s="72">
        <v>74</v>
      </c>
      <c r="D47" s="73" t="s">
        <v>40</v>
      </c>
      <c r="E47" t="s">
        <v>19</v>
      </c>
      <c r="F47" s="78">
        <v>12.5</v>
      </c>
      <c r="G47" s="79">
        <f t="shared" si="1"/>
        <v>3.8099998780800037</v>
      </c>
      <c r="H47" s="83">
        <v>39.28</v>
      </c>
      <c r="J47" s="64"/>
      <c r="K47" s="68"/>
      <c r="L47" s="72"/>
      <c r="O47" s="64"/>
      <c r="P47" s="73"/>
      <c r="Q47" t="s">
        <v>76</v>
      </c>
    </row>
    <row r="48" spans="1:17" x14ac:dyDescent="0.35">
      <c r="A48" s="68" t="s">
        <v>110</v>
      </c>
      <c r="B48" s="68" t="s">
        <v>60</v>
      </c>
      <c r="C48" s="72">
        <v>75</v>
      </c>
      <c r="D48" s="73" t="s">
        <v>42</v>
      </c>
      <c r="F48" s="78">
        <v>8.8000000000000007</v>
      </c>
      <c r="G48" s="79">
        <f t="shared" si="1"/>
        <v>2.6822399141683229</v>
      </c>
      <c r="H48" s="83">
        <v>17.43</v>
      </c>
      <c r="I48">
        <v>1</v>
      </c>
      <c r="J48" s="64"/>
      <c r="K48" s="68"/>
      <c r="L48" s="72" t="s">
        <v>19</v>
      </c>
      <c r="N48" t="s">
        <v>19</v>
      </c>
      <c r="O48" s="64"/>
      <c r="P48" s="73"/>
      <c r="Q48" t="s">
        <v>77</v>
      </c>
    </row>
    <row r="49" spans="1:17" x14ac:dyDescent="0.35">
      <c r="A49" s="68" t="s">
        <v>110</v>
      </c>
      <c r="B49" s="68" t="s">
        <v>60</v>
      </c>
      <c r="C49" s="72">
        <v>76</v>
      </c>
      <c r="D49" s="73" t="s">
        <v>40</v>
      </c>
      <c r="E49" t="s">
        <v>36</v>
      </c>
      <c r="F49" s="78">
        <v>11.8</v>
      </c>
      <c r="G49" s="79">
        <f t="shared" si="1"/>
        <v>3.5966398849075238</v>
      </c>
      <c r="H49" s="83">
        <v>37.700000000000003</v>
      </c>
      <c r="J49" s="64"/>
      <c r="K49" s="68"/>
      <c r="L49" s="72"/>
      <c r="O49" s="64"/>
      <c r="P49" s="73"/>
      <c r="Q49" t="s">
        <v>80</v>
      </c>
    </row>
    <row r="50" spans="1:17" x14ac:dyDescent="0.35">
      <c r="A50" s="68" t="s">
        <v>110</v>
      </c>
      <c r="B50" s="68" t="s">
        <v>60</v>
      </c>
      <c r="C50" s="72">
        <v>77</v>
      </c>
      <c r="D50" s="73" t="s">
        <v>42</v>
      </c>
      <c r="F50" s="78">
        <v>11.7</v>
      </c>
      <c r="G50" s="79">
        <f t="shared" si="1"/>
        <v>3.5661598858828834</v>
      </c>
      <c r="H50" s="83">
        <v>41.64</v>
      </c>
      <c r="I50">
        <v>1</v>
      </c>
      <c r="J50" s="64"/>
      <c r="K50" s="68"/>
      <c r="L50" s="72" t="s">
        <v>19</v>
      </c>
      <c r="N50" t="s">
        <v>19</v>
      </c>
      <c r="O50" s="64"/>
      <c r="P50" s="73"/>
      <c r="Q50" t="s">
        <v>118</v>
      </c>
    </row>
    <row r="51" spans="1:17" x14ac:dyDescent="0.35">
      <c r="A51" s="68" t="s">
        <v>110</v>
      </c>
      <c r="B51" s="68" t="s">
        <v>60</v>
      </c>
      <c r="C51" s="72">
        <v>78</v>
      </c>
      <c r="D51" s="73" t="s">
        <v>40</v>
      </c>
      <c r="E51" t="s">
        <v>69</v>
      </c>
      <c r="F51" s="78">
        <v>10.9</v>
      </c>
      <c r="G51" s="79">
        <f t="shared" si="1"/>
        <v>3.3223198936857634</v>
      </c>
      <c r="H51" s="83">
        <v>36.31</v>
      </c>
      <c r="J51" s="64"/>
      <c r="K51" s="68"/>
      <c r="L51" s="72"/>
      <c r="O51" s="64"/>
      <c r="P51" s="73"/>
      <c r="Q51" t="s">
        <v>82</v>
      </c>
    </row>
    <row r="52" spans="1:17" x14ac:dyDescent="0.35">
      <c r="A52" s="68" t="s">
        <v>110</v>
      </c>
      <c r="B52" s="68" t="s">
        <v>60</v>
      </c>
      <c r="C52" s="72">
        <v>79</v>
      </c>
      <c r="D52" s="73" t="s">
        <v>42</v>
      </c>
      <c r="F52" s="78">
        <v>8.1999999999999993</v>
      </c>
      <c r="G52" s="79">
        <f t="shared" si="1"/>
        <v>2.4993599200204826</v>
      </c>
      <c r="H52" s="83">
        <v>18.940000000000001</v>
      </c>
      <c r="I52">
        <v>1</v>
      </c>
      <c r="J52" s="64"/>
      <c r="K52" s="68"/>
      <c r="L52" s="72" t="s">
        <v>19</v>
      </c>
      <c r="N52" t="s">
        <v>19</v>
      </c>
      <c r="O52" s="64"/>
      <c r="P52" s="73"/>
      <c r="Q52" t="s">
        <v>116</v>
      </c>
    </row>
    <row r="53" spans="1:17" x14ac:dyDescent="0.35">
      <c r="A53" s="68" t="s">
        <v>110</v>
      </c>
      <c r="B53" s="68" t="s">
        <v>60</v>
      </c>
      <c r="C53" s="72">
        <v>80</v>
      </c>
      <c r="D53" s="73" t="s">
        <v>40</v>
      </c>
      <c r="E53" t="s">
        <v>69</v>
      </c>
      <c r="F53" s="78">
        <v>12</v>
      </c>
      <c r="G53" s="79">
        <f t="shared" si="1"/>
        <v>3.6575998829568039</v>
      </c>
      <c r="H53" s="83">
        <v>46.8</v>
      </c>
      <c r="J53" s="64"/>
      <c r="K53" s="68"/>
      <c r="L53" s="72"/>
      <c r="O53" s="64"/>
      <c r="P53" s="73"/>
      <c r="Q53" t="s">
        <v>84</v>
      </c>
    </row>
    <row r="54" spans="1:17" x14ac:dyDescent="0.35">
      <c r="A54" s="68" t="s">
        <v>110</v>
      </c>
      <c r="B54" s="68" t="s">
        <v>60</v>
      </c>
      <c r="C54" s="72">
        <v>81</v>
      </c>
      <c r="D54" s="73" t="s">
        <v>42</v>
      </c>
      <c r="F54" s="78">
        <v>9.8000000000000007</v>
      </c>
      <c r="G54" s="79">
        <f t="shared" si="1"/>
        <v>2.9870399044147233</v>
      </c>
      <c r="H54" s="83">
        <v>29.26</v>
      </c>
      <c r="I54">
        <v>1</v>
      </c>
      <c r="J54" s="64"/>
      <c r="K54" s="68"/>
      <c r="L54" s="72" t="s">
        <v>19</v>
      </c>
      <c r="N54" t="s">
        <v>19</v>
      </c>
      <c r="O54" s="64"/>
      <c r="P54" s="73"/>
      <c r="Q54" t="s">
        <v>81</v>
      </c>
    </row>
    <row r="55" spans="1:17" x14ac:dyDescent="0.35">
      <c r="A55" s="68" t="s">
        <v>110</v>
      </c>
      <c r="B55" s="68" t="s">
        <v>60</v>
      </c>
      <c r="C55" s="72">
        <v>82</v>
      </c>
      <c r="D55" s="73" t="s">
        <v>40</v>
      </c>
      <c r="E55" t="s">
        <v>69</v>
      </c>
      <c r="F55" s="78">
        <v>11.9</v>
      </c>
      <c r="G55" s="79">
        <f t="shared" si="1"/>
        <v>3.6271198839321639</v>
      </c>
      <c r="H55" s="83">
        <v>48.9</v>
      </c>
      <c r="J55" s="64"/>
      <c r="K55" s="68"/>
      <c r="L55" s="72"/>
      <c r="O55" s="64"/>
      <c r="P55" s="73"/>
      <c r="Q55" t="s">
        <v>86</v>
      </c>
    </row>
    <row r="56" spans="1:17" x14ac:dyDescent="0.35">
      <c r="A56" s="68" t="s">
        <v>110</v>
      </c>
      <c r="B56" s="68" t="s">
        <v>60</v>
      </c>
      <c r="C56" s="72">
        <v>83</v>
      </c>
      <c r="D56" s="73" t="s">
        <v>42</v>
      </c>
      <c r="F56" s="78">
        <v>10.5</v>
      </c>
      <c r="G56" s="79">
        <f t="shared" si="1"/>
        <v>3.2003998975872032</v>
      </c>
      <c r="H56" s="83">
        <v>27.93</v>
      </c>
      <c r="I56">
        <v>1</v>
      </c>
      <c r="J56" s="64"/>
      <c r="K56" s="68"/>
      <c r="L56" s="72" t="s">
        <v>20</v>
      </c>
      <c r="M56" t="s">
        <v>29</v>
      </c>
      <c r="N56" t="s">
        <v>19</v>
      </c>
      <c r="O56" s="64">
        <v>0</v>
      </c>
      <c r="P56" s="73">
        <v>132</v>
      </c>
      <c r="Q56" t="s">
        <v>119</v>
      </c>
    </row>
    <row r="57" spans="1:17" x14ac:dyDescent="0.35">
      <c r="A57" s="68" t="s">
        <v>110</v>
      </c>
      <c r="B57" s="68" t="s">
        <v>60</v>
      </c>
      <c r="C57" s="72">
        <v>84</v>
      </c>
      <c r="D57" s="73" t="s">
        <v>40</v>
      </c>
      <c r="E57" t="s">
        <v>23</v>
      </c>
      <c r="F57" s="78">
        <v>9.1</v>
      </c>
      <c r="G57" s="79">
        <f t="shared" si="1"/>
        <v>2.7736799112422426</v>
      </c>
      <c r="H57" s="83">
        <v>30.27</v>
      </c>
      <c r="J57" s="64"/>
      <c r="K57" s="68"/>
      <c r="L57" s="72"/>
      <c r="O57" s="64"/>
      <c r="P57" s="73"/>
      <c r="Q57" t="s">
        <v>88</v>
      </c>
    </row>
    <row r="58" spans="1:17" x14ac:dyDescent="0.35">
      <c r="A58" s="68" t="s">
        <v>110</v>
      </c>
      <c r="B58" s="68" t="s">
        <v>60</v>
      </c>
      <c r="C58" s="72">
        <v>85</v>
      </c>
      <c r="D58" s="73" t="s">
        <v>42</v>
      </c>
      <c r="F58" s="78">
        <v>8.8000000000000007</v>
      </c>
      <c r="G58" s="79">
        <f t="shared" si="1"/>
        <v>2.6822399141683229</v>
      </c>
      <c r="H58" s="83">
        <v>24.68</v>
      </c>
      <c r="I58">
        <v>1</v>
      </c>
      <c r="J58" s="64"/>
      <c r="K58" s="68"/>
      <c r="L58" s="72" t="s">
        <v>19</v>
      </c>
      <c r="N58" t="s">
        <v>19</v>
      </c>
      <c r="O58" s="64"/>
      <c r="P58" s="73"/>
      <c r="Q58" t="s">
        <v>85</v>
      </c>
    </row>
    <row r="59" spans="1:17" x14ac:dyDescent="0.35">
      <c r="A59" s="68" t="s">
        <v>110</v>
      </c>
      <c r="B59" s="68" t="s">
        <v>60</v>
      </c>
      <c r="C59" s="72">
        <v>86</v>
      </c>
      <c r="D59" s="73" t="s">
        <v>40</v>
      </c>
      <c r="E59" t="s">
        <v>71</v>
      </c>
      <c r="F59" s="78">
        <v>10.3</v>
      </c>
      <c r="G59" s="79">
        <f t="shared" si="1"/>
        <v>3.1394398995379236</v>
      </c>
      <c r="H59" s="83">
        <v>39.799999999999997</v>
      </c>
      <c r="J59" s="64"/>
      <c r="K59" s="68"/>
      <c r="L59" s="72"/>
      <c r="O59" s="64"/>
      <c r="P59" s="73"/>
      <c r="Q59" t="s">
        <v>90</v>
      </c>
    </row>
    <row r="60" spans="1:17" x14ac:dyDescent="0.35">
      <c r="A60" s="68" t="s">
        <v>110</v>
      </c>
      <c r="B60" s="68" t="s">
        <v>60</v>
      </c>
      <c r="C60" s="72">
        <v>87</v>
      </c>
      <c r="D60" s="73" t="s">
        <v>42</v>
      </c>
      <c r="F60" s="78">
        <v>8.3000000000000007</v>
      </c>
      <c r="G60" s="79">
        <f t="shared" si="1"/>
        <v>2.5298399190451226</v>
      </c>
      <c r="H60" s="83">
        <v>24.73</v>
      </c>
      <c r="I60">
        <v>1</v>
      </c>
      <c r="J60" s="64"/>
      <c r="K60" s="68"/>
      <c r="L60" s="72" t="s">
        <v>20</v>
      </c>
      <c r="M60" t="s">
        <v>66</v>
      </c>
      <c r="N60" t="s">
        <v>19</v>
      </c>
      <c r="O60" s="64">
        <v>0</v>
      </c>
      <c r="P60" s="73">
        <v>125</v>
      </c>
      <c r="Q60" t="s">
        <v>87</v>
      </c>
    </row>
    <row r="61" spans="1:17" x14ac:dyDescent="0.35">
      <c r="A61" s="68" t="s">
        <v>110</v>
      </c>
      <c r="B61" s="68" t="s">
        <v>60</v>
      </c>
      <c r="C61" s="72">
        <v>88</v>
      </c>
      <c r="D61" s="73" t="s">
        <v>40</v>
      </c>
      <c r="E61" t="s">
        <v>69</v>
      </c>
      <c r="F61" s="78">
        <v>9</v>
      </c>
      <c r="G61" s="79">
        <f t="shared" si="1"/>
        <v>2.743199912217603</v>
      </c>
      <c r="H61" s="83">
        <v>40.869999999999997</v>
      </c>
      <c r="J61" s="64"/>
      <c r="K61" s="68"/>
      <c r="L61" s="72"/>
      <c r="O61" s="64"/>
      <c r="P61" s="73"/>
      <c r="Q61" t="s">
        <v>92</v>
      </c>
    </row>
    <row r="62" spans="1:17" x14ac:dyDescent="0.35">
      <c r="A62" s="68" t="s">
        <v>110</v>
      </c>
      <c r="B62" s="68" t="s">
        <v>60</v>
      </c>
      <c r="C62" s="72">
        <v>89</v>
      </c>
      <c r="D62" s="73" t="s">
        <v>42</v>
      </c>
      <c r="F62" s="78">
        <v>8.6999999999999993</v>
      </c>
      <c r="G62" s="79">
        <f t="shared" si="1"/>
        <v>2.6517599151436824</v>
      </c>
      <c r="H62" s="83">
        <v>24.89</v>
      </c>
      <c r="I62">
        <v>1</v>
      </c>
      <c r="J62" s="64"/>
      <c r="K62" s="68"/>
      <c r="L62" s="72" t="s">
        <v>20</v>
      </c>
      <c r="M62" t="s">
        <v>66</v>
      </c>
      <c r="N62" t="s">
        <v>19</v>
      </c>
      <c r="O62" s="64">
        <v>0</v>
      </c>
      <c r="P62" s="73">
        <v>160</v>
      </c>
      <c r="Q62" t="s">
        <v>89</v>
      </c>
    </row>
    <row r="63" spans="1:17" x14ac:dyDescent="0.35">
      <c r="A63" s="68" t="s">
        <v>110</v>
      </c>
      <c r="B63" s="68" t="s">
        <v>60</v>
      </c>
      <c r="C63" s="72">
        <v>90</v>
      </c>
      <c r="D63" s="73" t="s">
        <v>42</v>
      </c>
      <c r="F63" s="78">
        <v>8.1999999999999993</v>
      </c>
      <c r="G63" s="79">
        <f t="shared" si="1"/>
        <v>2.4993599200204826</v>
      </c>
      <c r="H63" s="83">
        <v>25.69</v>
      </c>
      <c r="I63">
        <v>1</v>
      </c>
      <c r="J63" s="64"/>
      <c r="K63" s="68"/>
      <c r="L63" s="72" t="s">
        <v>19</v>
      </c>
      <c r="N63" t="s">
        <v>19</v>
      </c>
      <c r="O63" s="64"/>
      <c r="P63" s="73"/>
      <c r="Q63" t="s">
        <v>120</v>
      </c>
    </row>
    <row r="64" spans="1:17" x14ac:dyDescent="0.35">
      <c r="A64" s="68" t="s">
        <v>110</v>
      </c>
      <c r="B64" s="68" t="s">
        <v>60</v>
      </c>
      <c r="C64" s="72">
        <v>91</v>
      </c>
      <c r="D64" s="73" t="s">
        <v>40</v>
      </c>
      <c r="E64" t="s">
        <v>29</v>
      </c>
      <c r="F64" s="78">
        <v>11.2</v>
      </c>
      <c r="G64" s="79">
        <f t="shared" si="1"/>
        <v>3.4137598907596831</v>
      </c>
      <c r="H64" s="83">
        <v>45.59</v>
      </c>
      <c r="J64" s="64"/>
      <c r="K64" s="68"/>
      <c r="L64" s="72"/>
      <c r="O64" s="64"/>
      <c r="P64" s="73"/>
      <c r="Q64" t="s">
        <v>91</v>
      </c>
    </row>
    <row r="65" spans="1:17" x14ac:dyDescent="0.35">
      <c r="A65" s="68" t="s">
        <v>110</v>
      </c>
      <c r="B65" s="68" t="s">
        <v>60</v>
      </c>
      <c r="C65" s="72">
        <v>92</v>
      </c>
      <c r="D65" s="73" t="s">
        <v>40</v>
      </c>
      <c r="E65" t="s">
        <v>70</v>
      </c>
      <c r="F65" s="78">
        <v>9.6999999999999993</v>
      </c>
      <c r="G65" s="79">
        <f t="shared" si="1"/>
        <v>2.9565599053900828</v>
      </c>
      <c r="H65" s="83">
        <v>31.6</v>
      </c>
      <c r="J65" s="64"/>
      <c r="K65" s="68"/>
      <c r="L65" s="72"/>
      <c r="O65" s="64"/>
      <c r="P65" s="73"/>
      <c r="Q65" t="s">
        <v>120</v>
      </c>
    </row>
    <row r="66" spans="1:17" x14ac:dyDescent="0.35">
      <c r="A66" s="68" t="s">
        <v>110</v>
      </c>
      <c r="B66" s="68" t="s">
        <v>60</v>
      </c>
      <c r="C66" s="72">
        <v>93</v>
      </c>
      <c r="D66" s="73" t="s">
        <v>42</v>
      </c>
      <c r="F66" s="78">
        <v>10.4</v>
      </c>
      <c r="G66" s="79">
        <f t="shared" si="1"/>
        <v>3.1699198985625632</v>
      </c>
      <c r="H66" s="83">
        <v>30.57</v>
      </c>
      <c r="I66">
        <v>1</v>
      </c>
      <c r="J66" s="64"/>
      <c r="K66" s="68"/>
      <c r="L66" s="72" t="s">
        <v>19</v>
      </c>
      <c r="N66" t="s">
        <v>19</v>
      </c>
      <c r="O66" s="64"/>
      <c r="P66" s="73"/>
      <c r="Q66" t="s">
        <v>96</v>
      </c>
    </row>
    <row r="67" spans="1:17" x14ac:dyDescent="0.35">
      <c r="A67" s="68" t="s">
        <v>110</v>
      </c>
      <c r="B67" s="68" t="s">
        <v>60</v>
      </c>
      <c r="C67" s="72">
        <v>94</v>
      </c>
      <c r="D67" s="73" t="s">
        <v>40</v>
      </c>
      <c r="E67" t="s">
        <v>23</v>
      </c>
      <c r="F67" s="78">
        <v>9.6</v>
      </c>
      <c r="G67" s="79">
        <f t="shared" si="1"/>
        <v>2.9260799063654428</v>
      </c>
      <c r="H67" s="83">
        <v>33</v>
      </c>
      <c r="J67" s="64"/>
      <c r="K67" s="68"/>
      <c r="L67" s="72"/>
      <c r="O67" s="64"/>
      <c r="P67" s="73"/>
      <c r="Q67" t="s">
        <v>98</v>
      </c>
    </row>
    <row r="68" spans="1:17" x14ac:dyDescent="0.35">
      <c r="A68" s="68" t="s">
        <v>110</v>
      </c>
      <c r="B68" s="68" t="s">
        <v>60</v>
      </c>
      <c r="C68" s="72">
        <v>95</v>
      </c>
      <c r="D68" s="73" t="s">
        <v>42</v>
      </c>
      <c r="F68" s="78">
        <v>6.6</v>
      </c>
      <c r="G68" s="79">
        <f t="shared" si="1"/>
        <v>2.0116799356262418</v>
      </c>
      <c r="H68" s="83">
        <v>11.07</v>
      </c>
      <c r="I68">
        <v>2</v>
      </c>
      <c r="J68" s="64">
        <v>0.41</v>
      </c>
      <c r="K68" s="68">
        <v>158</v>
      </c>
      <c r="L68" s="72" t="s">
        <v>20</v>
      </c>
      <c r="M68" t="s">
        <v>21</v>
      </c>
      <c r="N68" t="s">
        <v>20</v>
      </c>
      <c r="O68" s="64">
        <v>0.49</v>
      </c>
      <c r="P68" s="73">
        <v>178</v>
      </c>
      <c r="Q68" t="s">
        <v>95</v>
      </c>
    </row>
    <row r="69" spans="1:17" x14ac:dyDescent="0.35">
      <c r="A69" s="68" t="s">
        <v>110</v>
      </c>
      <c r="B69" s="68" t="s">
        <v>60</v>
      </c>
      <c r="C69" s="72">
        <v>96</v>
      </c>
      <c r="D69" s="73" t="s">
        <v>42</v>
      </c>
      <c r="F69" s="78">
        <v>11.7</v>
      </c>
      <c r="G69" s="79">
        <f t="shared" si="1"/>
        <v>3.5661598858828834</v>
      </c>
      <c r="H69" s="83">
        <v>44.03</v>
      </c>
      <c r="I69">
        <v>1</v>
      </c>
      <c r="J69" s="64"/>
      <c r="K69" s="68"/>
      <c r="L69" s="72" t="s">
        <v>19</v>
      </c>
      <c r="N69" t="s">
        <v>19</v>
      </c>
      <c r="O69" s="64"/>
      <c r="P69" s="73"/>
      <c r="Q69" t="s">
        <v>100</v>
      </c>
    </row>
    <row r="70" spans="1:17" x14ac:dyDescent="0.35">
      <c r="A70" s="68" t="s">
        <v>110</v>
      </c>
      <c r="B70" s="68" t="s">
        <v>60</v>
      </c>
      <c r="C70" s="72">
        <v>97</v>
      </c>
      <c r="D70" s="73" t="s">
        <v>40</v>
      </c>
      <c r="E70" t="s">
        <v>29</v>
      </c>
      <c r="F70" s="78">
        <v>11</v>
      </c>
      <c r="G70" s="79">
        <f t="shared" si="1"/>
        <v>3.3527998927104035</v>
      </c>
      <c r="H70" s="83">
        <v>30.21</v>
      </c>
      <c r="J70" s="64"/>
      <c r="K70" s="68"/>
      <c r="L70" s="72"/>
      <c r="O70" s="64"/>
      <c r="P70" s="73"/>
      <c r="Q70" t="s">
        <v>97</v>
      </c>
    </row>
    <row r="71" spans="1:17" x14ac:dyDescent="0.35">
      <c r="A71" s="68" t="s">
        <v>110</v>
      </c>
      <c r="B71" s="68" t="s">
        <v>60</v>
      </c>
      <c r="C71" s="72">
        <v>98</v>
      </c>
      <c r="D71" s="73" t="s">
        <v>42</v>
      </c>
      <c r="F71" s="78">
        <v>7.9</v>
      </c>
      <c r="G71" s="79">
        <f t="shared" si="1"/>
        <v>2.4079199229465624</v>
      </c>
      <c r="H71" s="83">
        <v>18.57</v>
      </c>
      <c r="I71">
        <v>1</v>
      </c>
      <c r="J71" s="64"/>
      <c r="K71" s="68">
        <v>96</v>
      </c>
      <c r="L71" s="72" t="s">
        <v>19</v>
      </c>
      <c r="N71" t="s">
        <v>19</v>
      </c>
      <c r="O71" s="64"/>
      <c r="P71" s="73"/>
      <c r="Q71" t="s">
        <v>121</v>
      </c>
    </row>
    <row r="72" spans="1:17" x14ac:dyDescent="0.35">
      <c r="A72" s="68" t="s">
        <v>110</v>
      </c>
      <c r="B72" s="68" t="s">
        <v>60</v>
      </c>
      <c r="C72" s="72">
        <v>99</v>
      </c>
      <c r="D72" s="73" t="s">
        <v>40</v>
      </c>
      <c r="E72" t="s">
        <v>29</v>
      </c>
      <c r="F72" s="78">
        <v>8.3000000000000007</v>
      </c>
      <c r="G72" s="79">
        <f t="shared" si="1"/>
        <v>2.5298399190451226</v>
      </c>
      <c r="H72" s="83">
        <v>22.22</v>
      </c>
      <c r="J72" s="64"/>
      <c r="K72" s="68"/>
      <c r="L72" s="72"/>
      <c r="O72" s="64"/>
      <c r="P72" s="73"/>
      <c r="Q72" t="s">
        <v>99</v>
      </c>
    </row>
    <row r="73" spans="1:17" x14ac:dyDescent="0.35">
      <c r="A73" s="68" t="s">
        <v>110</v>
      </c>
      <c r="B73" s="68" t="s">
        <v>60</v>
      </c>
      <c r="C73" s="72">
        <v>100</v>
      </c>
      <c r="D73" s="73" t="s">
        <v>40</v>
      </c>
      <c r="E73" t="s">
        <v>19</v>
      </c>
      <c r="F73" s="78">
        <v>8.5</v>
      </c>
      <c r="G73" s="79">
        <f t="shared" si="1"/>
        <v>2.5907999170944027</v>
      </c>
      <c r="H73" s="83">
        <v>30.59</v>
      </c>
      <c r="J73" s="64"/>
      <c r="K73" s="68"/>
      <c r="L73" s="72"/>
      <c r="O73" s="64"/>
      <c r="P73" s="73"/>
      <c r="Q73" t="s">
        <v>103</v>
      </c>
    </row>
    <row r="74" spans="1:17" x14ac:dyDescent="0.35">
      <c r="A74" s="68" t="s">
        <v>110</v>
      </c>
      <c r="B74" s="68" t="s">
        <v>60</v>
      </c>
      <c r="C74" s="72">
        <v>101</v>
      </c>
      <c r="D74" s="73" t="s">
        <v>42</v>
      </c>
      <c r="F74" s="78">
        <v>10.3</v>
      </c>
      <c r="G74" s="79">
        <f t="shared" si="1"/>
        <v>3.1394398995379236</v>
      </c>
      <c r="H74" s="83">
        <v>38.229999999999997</v>
      </c>
      <c r="I74">
        <v>1</v>
      </c>
      <c r="J74" s="64"/>
      <c r="K74" s="68"/>
      <c r="L74" s="72" t="s">
        <v>19</v>
      </c>
      <c r="N74" t="s">
        <v>19</v>
      </c>
      <c r="O74" s="64"/>
      <c r="P74" s="73"/>
      <c r="Q74" t="s">
        <v>152</v>
      </c>
    </row>
    <row r="75" spans="1:17" x14ac:dyDescent="0.35">
      <c r="A75" s="68" t="s">
        <v>110</v>
      </c>
      <c r="B75" s="68" t="s">
        <v>60</v>
      </c>
      <c r="C75" s="72">
        <v>102</v>
      </c>
      <c r="D75" s="73" t="s">
        <v>40</v>
      </c>
      <c r="E75" t="s">
        <v>71</v>
      </c>
      <c r="F75" s="78">
        <v>6.2</v>
      </c>
      <c r="G75" s="79">
        <f t="shared" si="1"/>
        <v>1.8897599395276821</v>
      </c>
      <c r="H75" s="83">
        <v>20.149999999999999</v>
      </c>
      <c r="J75" s="64"/>
      <c r="K75" s="68"/>
      <c r="L75" s="72"/>
      <c r="O75" s="64"/>
      <c r="P75" s="73"/>
      <c r="Q75" t="s">
        <v>105</v>
      </c>
    </row>
    <row r="76" spans="1:17" x14ac:dyDescent="0.35">
      <c r="A76" s="68" t="s">
        <v>110</v>
      </c>
      <c r="B76" s="68" t="s">
        <v>60</v>
      </c>
      <c r="C76" s="72">
        <v>103</v>
      </c>
      <c r="D76" s="73" t="s">
        <v>42</v>
      </c>
      <c r="F76" s="78">
        <v>5.0999999999999996</v>
      </c>
      <c r="G76" s="79">
        <f t="shared" si="1"/>
        <v>1.5544799502566415</v>
      </c>
      <c r="H76" s="83">
        <v>10.14</v>
      </c>
      <c r="I76">
        <v>1</v>
      </c>
      <c r="J76" s="64"/>
      <c r="K76" s="68">
        <v>149</v>
      </c>
      <c r="L76" s="72" t="s">
        <v>19</v>
      </c>
      <c r="N76" t="s">
        <v>19</v>
      </c>
      <c r="O76" s="64"/>
      <c r="P76" s="73"/>
      <c r="Q76" t="s">
        <v>102</v>
      </c>
    </row>
    <row r="77" spans="1:17" x14ac:dyDescent="0.35">
      <c r="A77" s="68" t="s">
        <v>110</v>
      </c>
      <c r="B77" s="68" t="s">
        <v>60</v>
      </c>
      <c r="C77" s="72">
        <v>104</v>
      </c>
      <c r="D77" s="73" t="s">
        <v>42</v>
      </c>
      <c r="F77" s="78">
        <v>7.3</v>
      </c>
      <c r="G77" s="79">
        <f t="shared" si="1"/>
        <v>2.2250399287987221</v>
      </c>
      <c r="H77" s="83">
        <v>17.87</v>
      </c>
      <c r="I77">
        <v>1</v>
      </c>
      <c r="J77" s="64"/>
      <c r="K77" s="68"/>
      <c r="L77" s="72" t="s">
        <v>19</v>
      </c>
      <c r="N77" t="s">
        <v>19</v>
      </c>
      <c r="O77" s="64"/>
      <c r="P77" s="73"/>
      <c r="Q77" t="s">
        <v>106</v>
      </c>
    </row>
    <row r="78" spans="1:17" s="1" customFormat="1" x14ac:dyDescent="0.35">
      <c r="A78" s="69" t="s">
        <v>110</v>
      </c>
      <c r="B78" s="69" t="s">
        <v>60</v>
      </c>
      <c r="C78" s="74">
        <v>105</v>
      </c>
      <c r="D78" s="75" t="s">
        <v>40</v>
      </c>
      <c r="E78" s="1" t="s">
        <v>29</v>
      </c>
      <c r="F78" s="80">
        <v>7.9</v>
      </c>
      <c r="G78" s="81">
        <f t="shared" si="1"/>
        <v>2.4079199229465624</v>
      </c>
      <c r="H78" s="84">
        <v>32.130000000000003</v>
      </c>
      <c r="J78" s="66"/>
      <c r="K78" s="69"/>
      <c r="L78" s="74"/>
      <c r="O78" s="66"/>
      <c r="P78" s="75"/>
      <c r="Q78" s="1" t="s">
        <v>104</v>
      </c>
    </row>
    <row r="79" spans="1:17" x14ac:dyDescent="0.35">
      <c r="A79" s="68" t="s">
        <v>126</v>
      </c>
      <c r="B79" s="68" t="s">
        <v>60</v>
      </c>
      <c r="C79" s="72">
        <v>23</v>
      </c>
      <c r="D79" s="73" t="s">
        <v>40</v>
      </c>
      <c r="F79" s="78">
        <v>16.600000000000001</v>
      </c>
      <c r="G79" s="79">
        <f t="shared" si="1"/>
        <v>5.0596798380902452</v>
      </c>
      <c r="H79" s="83">
        <v>118.54</v>
      </c>
      <c r="J79" s="64"/>
      <c r="K79" s="68"/>
      <c r="L79" s="72"/>
      <c r="O79" s="64"/>
      <c r="P79" s="73"/>
      <c r="Q79" t="s">
        <v>131</v>
      </c>
    </row>
    <row r="80" spans="1:17" x14ac:dyDescent="0.35">
      <c r="A80" s="68" t="s">
        <v>126</v>
      </c>
      <c r="B80" s="68" t="s">
        <v>60</v>
      </c>
      <c r="C80" s="72">
        <v>24</v>
      </c>
      <c r="D80" s="73" t="s">
        <v>42</v>
      </c>
      <c r="F80" s="78">
        <v>11.3</v>
      </c>
      <c r="G80" s="79">
        <f t="shared" si="1"/>
        <v>3.4442398897843236</v>
      </c>
      <c r="H80" s="83">
        <v>36.770000000000003</v>
      </c>
      <c r="I80">
        <v>1</v>
      </c>
      <c r="J80" s="64"/>
      <c r="K80" s="68">
        <v>70</v>
      </c>
      <c r="L80" s="72" t="s">
        <v>19</v>
      </c>
      <c r="N80" t="s">
        <v>19</v>
      </c>
      <c r="O80" s="64"/>
      <c r="P80" s="73"/>
      <c r="Q80" t="s">
        <v>131</v>
      </c>
    </row>
    <row r="81" spans="1:17" x14ac:dyDescent="0.35">
      <c r="A81" s="68" t="s">
        <v>126</v>
      </c>
      <c r="B81" s="68" t="s">
        <v>60</v>
      </c>
      <c r="C81" s="72">
        <v>25</v>
      </c>
      <c r="D81" s="73" t="s">
        <v>40</v>
      </c>
      <c r="F81" s="78">
        <v>14</v>
      </c>
      <c r="G81" s="79">
        <f t="shared" si="1"/>
        <v>4.267199863449604</v>
      </c>
      <c r="H81" s="83">
        <v>66.67</v>
      </c>
      <c r="J81" s="64"/>
      <c r="K81" s="68"/>
      <c r="L81" s="72"/>
      <c r="O81" s="64"/>
      <c r="P81" s="73"/>
      <c r="Q81" t="s">
        <v>131</v>
      </c>
    </row>
    <row r="82" spans="1:17" x14ac:dyDescent="0.35">
      <c r="A82" s="68" t="s">
        <v>126</v>
      </c>
      <c r="B82" s="68" t="s">
        <v>60</v>
      </c>
      <c r="C82" s="72">
        <v>26</v>
      </c>
      <c r="D82" s="73" t="s">
        <v>40</v>
      </c>
      <c r="F82" s="78">
        <v>8.4</v>
      </c>
      <c r="G82" s="79">
        <f t="shared" si="1"/>
        <v>2.5603199180697627</v>
      </c>
      <c r="H82" s="83">
        <v>31.93</v>
      </c>
      <c r="J82" s="64"/>
      <c r="K82" s="68"/>
      <c r="L82" s="72"/>
      <c r="O82" s="64"/>
      <c r="P82" s="73"/>
      <c r="Q82" t="s">
        <v>131</v>
      </c>
    </row>
    <row r="83" spans="1:17" x14ac:dyDescent="0.35">
      <c r="A83" s="68" t="s">
        <v>126</v>
      </c>
      <c r="B83" s="68" t="s">
        <v>60</v>
      </c>
      <c r="C83" s="72">
        <v>27</v>
      </c>
      <c r="D83" s="73" t="s">
        <v>40</v>
      </c>
      <c r="F83" s="78">
        <v>16.2</v>
      </c>
      <c r="G83" s="79">
        <f t="shared" si="1"/>
        <v>4.9377598419916851</v>
      </c>
      <c r="H83" s="83">
        <v>64.61</v>
      </c>
      <c r="J83" s="64"/>
      <c r="K83" s="68"/>
      <c r="L83" s="72"/>
      <c r="O83" s="64"/>
      <c r="P83" s="73"/>
      <c r="Q83" t="s">
        <v>131</v>
      </c>
    </row>
    <row r="84" spans="1:17" x14ac:dyDescent="0.35">
      <c r="A84" s="68" t="s">
        <v>126</v>
      </c>
      <c r="B84" s="68" t="s">
        <v>60</v>
      </c>
      <c r="C84" s="72">
        <v>28</v>
      </c>
      <c r="D84" s="73" t="s">
        <v>40</v>
      </c>
      <c r="F84" s="78">
        <v>11.1</v>
      </c>
      <c r="G84" s="79">
        <f t="shared" si="1"/>
        <v>3.3832798917350435</v>
      </c>
      <c r="H84" s="83">
        <v>48.32</v>
      </c>
      <c r="J84" s="64"/>
      <c r="K84" s="68"/>
      <c r="L84" s="72"/>
      <c r="O84" s="64"/>
      <c r="P84" s="73"/>
      <c r="Q84" t="s">
        <v>131</v>
      </c>
    </row>
    <row r="85" spans="1:17" x14ac:dyDescent="0.35">
      <c r="A85" s="68" t="s">
        <v>126</v>
      </c>
      <c r="B85" s="68" t="s">
        <v>60</v>
      </c>
      <c r="C85" s="72">
        <v>29</v>
      </c>
      <c r="D85" s="73" t="s">
        <v>42</v>
      </c>
      <c r="F85" s="78">
        <v>10.7</v>
      </c>
      <c r="G85" s="79">
        <f t="shared" si="1"/>
        <v>3.2613598956364833</v>
      </c>
      <c r="H85" s="83">
        <v>47.87</v>
      </c>
      <c r="I85">
        <v>1</v>
      </c>
      <c r="J85" s="64"/>
      <c r="K85" s="68"/>
      <c r="L85" s="72" t="s">
        <v>20</v>
      </c>
      <c r="M85" t="s">
        <v>22</v>
      </c>
      <c r="N85" t="s">
        <v>19</v>
      </c>
      <c r="O85" s="64">
        <v>1.06</v>
      </c>
      <c r="P85" s="73">
        <v>28</v>
      </c>
      <c r="Q85" t="s">
        <v>153</v>
      </c>
    </row>
    <row r="86" spans="1:17" x14ac:dyDescent="0.35">
      <c r="A86" s="68" t="s">
        <v>126</v>
      </c>
      <c r="B86" s="68" t="s">
        <v>60</v>
      </c>
      <c r="C86" s="72">
        <v>29</v>
      </c>
      <c r="D86" s="73"/>
      <c r="F86" s="78"/>
      <c r="G86" s="79" t="str">
        <f t="shared" si="1"/>
        <v xml:space="preserve"> </v>
      </c>
      <c r="H86" s="83"/>
      <c r="J86" s="64"/>
      <c r="K86" s="68"/>
      <c r="L86" s="72" t="s">
        <v>20</v>
      </c>
      <c r="M86" t="s">
        <v>22</v>
      </c>
      <c r="N86" t="s">
        <v>19</v>
      </c>
      <c r="O86" s="64">
        <v>1.0900000000000001</v>
      </c>
      <c r="P86" s="73">
        <v>0</v>
      </c>
    </row>
    <row r="87" spans="1:17" x14ac:dyDescent="0.35">
      <c r="A87" s="68" t="s">
        <v>126</v>
      </c>
      <c r="B87" s="68" t="s">
        <v>60</v>
      </c>
      <c r="C87" s="72">
        <v>29</v>
      </c>
      <c r="D87" s="73"/>
      <c r="F87" s="78"/>
      <c r="G87" s="79" t="str">
        <f t="shared" si="1"/>
        <v xml:space="preserve"> </v>
      </c>
      <c r="H87" s="83"/>
      <c r="J87" s="64"/>
      <c r="K87" s="68"/>
      <c r="L87" s="72" t="s">
        <v>20</v>
      </c>
      <c r="M87" t="s">
        <v>132</v>
      </c>
      <c r="N87" t="s">
        <v>19</v>
      </c>
      <c r="O87" s="64">
        <v>1.3</v>
      </c>
      <c r="P87" s="73">
        <v>0</v>
      </c>
      <c r="Q87" t="s">
        <v>130</v>
      </c>
    </row>
    <row r="88" spans="1:17" x14ac:dyDescent="0.35">
      <c r="A88" s="68" t="s">
        <v>126</v>
      </c>
      <c r="B88" s="68" t="s">
        <v>60</v>
      </c>
      <c r="C88" s="72">
        <v>30</v>
      </c>
      <c r="D88" s="73" t="s">
        <v>40</v>
      </c>
      <c r="E88" t="s">
        <v>69</v>
      </c>
      <c r="F88" s="78">
        <v>10.9</v>
      </c>
      <c r="G88" s="79">
        <f t="shared" si="1"/>
        <v>3.3223198936857634</v>
      </c>
      <c r="H88" s="83">
        <v>53.81</v>
      </c>
      <c r="J88" s="64"/>
      <c r="K88" s="68"/>
      <c r="L88" s="72"/>
      <c r="O88" s="64"/>
      <c r="P88" s="73"/>
      <c r="Q88" t="s">
        <v>133</v>
      </c>
    </row>
    <row r="89" spans="1:17" x14ac:dyDescent="0.35">
      <c r="A89" s="68" t="s">
        <v>126</v>
      </c>
      <c r="B89" s="68" t="s">
        <v>60</v>
      </c>
      <c r="C89" s="72">
        <v>31</v>
      </c>
      <c r="D89" s="73" t="s">
        <v>42</v>
      </c>
      <c r="F89" s="78">
        <v>10.199999999999999</v>
      </c>
      <c r="G89" s="79">
        <f t="shared" si="1"/>
        <v>3.1089599005132831</v>
      </c>
      <c r="H89" s="83">
        <v>24.9</v>
      </c>
      <c r="I89">
        <v>1</v>
      </c>
      <c r="J89" s="64"/>
      <c r="K89" s="68">
        <v>98</v>
      </c>
      <c r="L89" s="72" t="s">
        <v>19</v>
      </c>
      <c r="N89" t="s">
        <v>19</v>
      </c>
      <c r="O89" s="64"/>
      <c r="P89" s="73"/>
      <c r="Q89" t="s">
        <v>134</v>
      </c>
    </row>
    <row r="90" spans="1:17" x14ac:dyDescent="0.35">
      <c r="A90" s="68" t="s">
        <v>126</v>
      </c>
      <c r="B90" s="68" t="s">
        <v>60</v>
      </c>
      <c r="C90" s="72">
        <v>32</v>
      </c>
      <c r="D90" s="73" t="s">
        <v>42</v>
      </c>
      <c r="F90" s="78">
        <v>10.5</v>
      </c>
      <c r="G90" s="79">
        <f t="shared" si="1"/>
        <v>3.2003998975872032</v>
      </c>
      <c r="H90" s="83">
        <v>30.05</v>
      </c>
      <c r="I90">
        <v>1</v>
      </c>
      <c r="J90" s="64"/>
      <c r="K90" s="68"/>
      <c r="L90" s="72" t="s">
        <v>19</v>
      </c>
      <c r="N90" t="s">
        <v>19</v>
      </c>
      <c r="O90" s="64"/>
      <c r="P90" s="73"/>
      <c r="Q90" t="s">
        <v>135</v>
      </c>
    </row>
    <row r="91" spans="1:17" x14ac:dyDescent="0.35">
      <c r="A91" s="68" t="s">
        <v>126</v>
      </c>
      <c r="B91" s="68" t="s">
        <v>60</v>
      </c>
      <c r="C91" s="72">
        <v>33</v>
      </c>
      <c r="D91" s="73" t="s">
        <v>40</v>
      </c>
      <c r="E91" t="s">
        <v>19</v>
      </c>
      <c r="F91" s="78">
        <v>14.5</v>
      </c>
      <c r="G91" s="79">
        <f t="shared" si="1"/>
        <v>4.4195998585728047</v>
      </c>
      <c r="H91" s="83">
        <v>57.17</v>
      </c>
      <c r="J91" s="64"/>
      <c r="K91" s="68"/>
      <c r="L91" s="72"/>
      <c r="O91" s="64"/>
      <c r="P91" s="73"/>
      <c r="Q91" t="s">
        <v>136</v>
      </c>
    </row>
    <row r="92" spans="1:17" x14ac:dyDescent="0.35">
      <c r="A92" s="68" t="s">
        <v>126</v>
      </c>
      <c r="B92" s="68" t="s">
        <v>60</v>
      </c>
      <c r="C92" s="72">
        <v>34</v>
      </c>
      <c r="D92" s="73" t="s">
        <v>42</v>
      </c>
      <c r="F92" s="78">
        <v>10.3</v>
      </c>
      <c r="G92" s="79">
        <f t="shared" si="1"/>
        <v>3.1394398995379236</v>
      </c>
      <c r="H92" s="83">
        <v>34.94</v>
      </c>
      <c r="I92">
        <v>1</v>
      </c>
      <c r="J92" s="64"/>
      <c r="K92" s="68"/>
      <c r="L92" s="72" t="s">
        <v>19</v>
      </c>
      <c r="N92" t="s">
        <v>19</v>
      </c>
      <c r="O92" s="64"/>
      <c r="P92" s="73"/>
      <c r="Q92" t="s">
        <v>137</v>
      </c>
    </row>
    <row r="93" spans="1:17" x14ac:dyDescent="0.35">
      <c r="A93" s="68" t="s">
        <v>126</v>
      </c>
      <c r="B93" s="68" t="s">
        <v>60</v>
      </c>
      <c r="C93" s="72">
        <v>35</v>
      </c>
      <c r="D93" s="73" t="s">
        <v>40</v>
      </c>
      <c r="E93" t="s">
        <v>68</v>
      </c>
      <c r="F93" s="78">
        <v>10.1</v>
      </c>
      <c r="G93" s="79">
        <f t="shared" si="1"/>
        <v>3.078479901488643</v>
      </c>
      <c r="H93" s="83">
        <v>37.840000000000003</v>
      </c>
      <c r="J93" s="64"/>
      <c r="K93" s="68"/>
      <c r="L93" s="72"/>
      <c r="O93" s="64"/>
      <c r="P93" s="73"/>
      <c r="Q93" t="s">
        <v>138</v>
      </c>
    </row>
    <row r="94" spans="1:17" x14ac:dyDescent="0.35">
      <c r="A94" s="68" t="s">
        <v>126</v>
      </c>
      <c r="B94" s="68" t="s">
        <v>60</v>
      </c>
      <c r="C94" s="72">
        <v>36</v>
      </c>
      <c r="D94" s="73" t="s">
        <v>40</v>
      </c>
      <c r="E94" t="s">
        <v>29</v>
      </c>
      <c r="F94" s="78">
        <v>12</v>
      </c>
      <c r="G94" s="79">
        <f t="shared" si="1"/>
        <v>3.6575998829568039</v>
      </c>
      <c r="H94" s="83">
        <v>51.52</v>
      </c>
      <c r="J94" s="64"/>
      <c r="K94" s="68"/>
      <c r="L94" s="72"/>
      <c r="O94" s="64"/>
      <c r="P94" s="73"/>
      <c r="Q94" t="s">
        <v>139</v>
      </c>
    </row>
    <row r="95" spans="1:17" x14ac:dyDescent="0.35">
      <c r="A95" s="68" t="s">
        <v>126</v>
      </c>
      <c r="B95" s="68" t="s">
        <v>60</v>
      </c>
      <c r="C95" s="72">
        <v>37</v>
      </c>
      <c r="D95" s="73" t="s">
        <v>42</v>
      </c>
      <c r="F95" s="78">
        <v>8.1999999999999993</v>
      </c>
      <c r="G95" s="79">
        <f t="shared" si="1"/>
        <v>2.4993599200204826</v>
      </c>
      <c r="H95" s="83">
        <v>20.69</v>
      </c>
      <c r="I95">
        <v>2</v>
      </c>
      <c r="J95" s="64">
        <v>1.83</v>
      </c>
      <c r="K95" s="68"/>
      <c r="L95" s="72" t="s">
        <v>20</v>
      </c>
      <c r="M95" t="s">
        <v>23</v>
      </c>
      <c r="N95" t="s">
        <v>19</v>
      </c>
      <c r="O95" s="64">
        <v>0</v>
      </c>
      <c r="P95" s="73">
        <v>170</v>
      </c>
      <c r="Q95" t="s">
        <v>140</v>
      </c>
    </row>
    <row r="96" spans="1:17" x14ac:dyDescent="0.35">
      <c r="A96" s="68" t="s">
        <v>126</v>
      </c>
      <c r="B96" s="68" t="s">
        <v>60</v>
      </c>
      <c r="C96" s="72">
        <v>38</v>
      </c>
      <c r="D96" s="73" t="s">
        <v>42</v>
      </c>
      <c r="F96" s="78">
        <v>11.6</v>
      </c>
      <c r="G96" s="79">
        <f t="shared" si="1"/>
        <v>3.5356798868582437</v>
      </c>
      <c r="H96" s="83">
        <v>32.840000000000003</v>
      </c>
      <c r="I96">
        <v>1</v>
      </c>
      <c r="J96" s="64"/>
      <c r="K96" s="68"/>
      <c r="L96" s="72" t="s">
        <v>19</v>
      </c>
      <c r="N96" t="s">
        <v>19</v>
      </c>
      <c r="O96" s="64"/>
      <c r="P96" s="73"/>
      <c r="Q96" t="s">
        <v>141</v>
      </c>
    </row>
    <row r="97" spans="1:17" x14ac:dyDescent="0.35">
      <c r="A97" s="68" t="s">
        <v>126</v>
      </c>
      <c r="B97" s="68" t="s">
        <v>60</v>
      </c>
      <c r="C97" s="72">
        <v>39</v>
      </c>
      <c r="D97" s="73" t="s">
        <v>40</v>
      </c>
      <c r="E97" t="s">
        <v>19</v>
      </c>
      <c r="F97" s="78">
        <v>18.8</v>
      </c>
      <c r="G97" s="79">
        <f t="shared" si="1"/>
        <v>5.7302398166323263</v>
      </c>
      <c r="H97" s="83">
        <v>73.069999999999993</v>
      </c>
      <c r="J97" s="64"/>
      <c r="K97" s="68"/>
      <c r="L97" s="72"/>
      <c r="O97" s="64"/>
      <c r="P97" s="73"/>
      <c r="Q97" t="s">
        <v>142</v>
      </c>
    </row>
    <row r="98" spans="1:17" x14ac:dyDescent="0.35">
      <c r="A98" s="68" t="s">
        <v>126</v>
      </c>
      <c r="B98" s="68" t="s">
        <v>60</v>
      </c>
      <c r="C98" s="72">
        <v>40</v>
      </c>
      <c r="D98" s="73" t="s">
        <v>42</v>
      </c>
      <c r="F98" s="78">
        <v>6.4</v>
      </c>
      <c r="G98" s="79">
        <f>IF(F98 = 0, " ", IF(F98&lt;2, F98/1, F98/3.28084))</f>
        <v>1.9507199375769622</v>
      </c>
      <c r="H98" s="83">
        <v>10.73</v>
      </c>
      <c r="I98">
        <v>1</v>
      </c>
      <c r="J98" s="64"/>
      <c r="K98" s="68"/>
      <c r="L98" s="72" t="s">
        <v>20</v>
      </c>
      <c r="M98" t="s">
        <v>22</v>
      </c>
      <c r="N98" t="s">
        <v>19</v>
      </c>
      <c r="O98" s="64">
        <v>0.22</v>
      </c>
      <c r="P98" s="73">
        <v>0</v>
      </c>
      <c r="Q98" t="s">
        <v>131</v>
      </c>
    </row>
    <row r="99" spans="1:17" x14ac:dyDescent="0.35">
      <c r="A99" s="68" t="s">
        <v>126</v>
      </c>
      <c r="B99" s="68" t="s">
        <v>60</v>
      </c>
      <c r="C99" s="72">
        <v>40</v>
      </c>
      <c r="D99" s="73"/>
      <c r="F99" s="78"/>
      <c r="G99" s="79" t="str">
        <f t="shared" ref="G99:G104" si="2">IF(F99 = 0, " ", IF(F99&lt;2, F99/1, F99/3.28084))</f>
        <v xml:space="preserve"> </v>
      </c>
      <c r="H99" s="83"/>
      <c r="J99" s="64"/>
      <c r="K99" s="68"/>
      <c r="L99" s="72" t="s">
        <v>20</v>
      </c>
      <c r="M99" t="s">
        <v>22</v>
      </c>
      <c r="N99" t="s">
        <v>19</v>
      </c>
      <c r="O99" s="64">
        <v>0.72</v>
      </c>
      <c r="P99" s="73">
        <v>0</v>
      </c>
    </row>
    <row r="100" spans="1:17" x14ac:dyDescent="0.35">
      <c r="A100" s="68" t="s">
        <v>126</v>
      </c>
      <c r="B100" s="68" t="s">
        <v>60</v>
      </c>
      <c r="C100" s="72">
        <v>41</v>
      </c>
      <c r="D100" s="73" t="s">
        <v>40</v>
      </c>
      <c r="E100" t="s">
        <v>36</v>
      </c>
      <c r="F100" s="78">
        <v>11.6</v>
      </c>
      <c r="G100" s="79">
        <f t="shared" si="2"/>
        <v>3.5356798868582437</v>
      </c>
      <c r="H100" s="83">
        <v>57.38</v>
      </c>
      <c r="J100" s="64"/>
      <c r="K100" s="68"/>
      <c r="L100" s="72"/>
      <c r="O100" s="64"/>
      <c r="P100" s="73"/>
      <c r="Q100" t="s">
        <v>143</v>
      </c>
    </row>
    <row r="101" spans="1:17" x14ac:dyDescent="0.35">
      <c r="A101" s="68" t="s">
        <v>126</v>
      </c>
      <c r="B101" s="68" t="s">
        <v>60</v>
      </c>
      <c r="C101" s="72">
        <v>42</v>
      </c>
      <c r="D101" s="73" t="s">
        <v>42</v>
      </c>
      <c r="F101" s="78">
        <v>9.6</v>
      </c>
      <c r="G101" s="79">
        <f t="shared" si="2"/>
        <v>2.9260799063654428</v>
      </c>
      <c r="H101" s="83">
        <v>29.99</v>
      </c>
      <c r="I101">
        <v>1</v>
      </c>
      <c r="J101" s="64"/>
      <c r="K101" s="68">
        <v>75</v>
      </c>
      <c r="L101" s="72" t="s">
        <v>19</v>
      </c>
      <c r="N101" t="s">
        <v>19</v>
      </c>
      <c r="O101" s="64"/>
      <c r="P101" s="73"/>
      <c r="Q101" t="s">
        <v>144</v>
      </c>
    </row>
    <row r="102" spans="1:17" x14ac:dyDescent="0.35">
      <c r="A102" s="68" t="s">
        <v>126</v>
      </c>
      <c r="B102" s="68" t="s">
        <v>60</v>
      </c>
      <c r="C102" s="72">
        <v>43</v>
      </c>
      <c r="D102" s="73" t="s">
        <v>40</v>
      </c>
      <c r="E102" t="s">
        <v>36</v>
      </c>
      <c r="F102" s="78">
        <v>11.5</v>
      </c>
      <c r="G102" s="79">
        <f t="shared" si="2"/>
        <v>3.5051998878336037</v>
      </c>
      <c r="H102" s="83">
        <v>48.02</v>
      </c>
      <c r="J102" s="64"/>
      <c r="K102" s="68"/>
      <c r="L102" s="72"/>
      <c r="O102" s="64"/>
      <c r="P102" s="73"/>
      <c r="Q102" t="s">
        <v>145</v>
      </c>
    </row>
    <row r="103" spans="1:17" x14ac:dyDescent="0.35">
      <c r="A103" s="68" t="s">
        <v>126</v>
      </c>
      <c r="B103" s="68" t="s">
        <v>60</v>
      </c>
      <c r="C103" s="72">
        <v>44</v>
      </c>
      <c r="D103" s="73" t="s">
        <v>42</v>
      </c>
      <c r="F103" s="78">
        <v>7.8</v>
      </c>
      <c r="G103" s="79">
        <f t="shared" si="2"/>
        <v>2.3774399239219224</v>
      </c>
      <c r="H103" s="83">
        <v>17.260000000000002</v>
      </c>
      <c r="I103">
        <v>1</v>
      </c>
      <c r="J103" s="64"/>
      <c r="K103" s="68"/>
      <c r="L103" s="72" t="s">
        <v>20</v>
      </c>
      <c r="M103" t="s">
        <v>22</v>
      </c>
      <c r="N103" t="s">
        <v>19</v>
      </c>
      <c r="O103" s="64">
        <v>0.33</v>
      </c>
      <c r="P103" s="73">
        <v>0</v>
      </c>
      <c r="Q103" t="s">
        <v>146</v>
      </c>
    </row>
    <row r="104" spans="1:17" x14ac:dyDescent="0.35">
      <c r="A104" s="68" t="s">
        <v>126</v>
      </c>
      <c r="B104" s="68" t="s">
        <v>60</v>
      </c>
      <c r="C104" s="72">
        <v>44</v>
      </c>
      <c r="D104" s="73"/>
      <c r="F104" s="78"/>
      <c r="G104" s="79" t="str">
        <f t="shared" si="2"/>
        <v xml:space="preserve"> </v>
      </c>
      <c r="H104" s="83"/>
      <c r="J104" s="64"/>
      <c r="K104" s="68"/>
      <c r="L104" s="72" t="s">
        <v>20</v>
      </c>
      <c r="M104" t="s">
        <v>22</v>
      </c>
      <c r="N104" t="s">
        <v>19</v>
      </c>
      <c r="O104" s="64">
        <v>0.47</v>
      </c>
      <c r="P104" s="73">
        <v>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ACE9B-D8A7-4E5C-943C-50101E7813E9}">
  <dimension ref="A1:P103"/>
  <sheetViews>
    <sheetView workbookViewId="0">
      <selection activeCell="I58" sqref="I58"/>
    </sheetView>
  </sheetViews>
  <sheetFormatPr defaultRowHeight="14.5" x14ac:dyDescent="0.35"/>
  <cols>
    <col min="1" max="1" width="10.08984375" bestFit="1" customWidth="1"/>
    <col min="2" max="2" width="9.36328125" bestFit="1" customWidth="1"/>
    <col min="3" max="3" width="5.7265625" bestFit="1" customWidth="1"/>
    <col min="4" max="4" width="7.453125" bestFit="1" customWidth="1"/>
    <col min="5" max="6" width="6.26953125" bestFit="1" customWidth="1"/>
    <col min="8" max="8" width="7" bestFit="1" customWidth="1"/>
    <col min="11" max="11" width="9.6328125" customWidth="1"/>
    <col min="12" max="12" width="10.453125" customWidth="1"/>
    <col min="16" max="16" width="34.08984375" customWidth="1"/>
  </cols>
  <sheetData>
    <row r="1" spans="1:16" s="6" customFormat="1" ht="44" thickBot="1" x14ac:dyDescent="0.4">
      <c r="A1" s="67" t="s">
        <v>24</v>
      </c>
      <c r="B1" s="67" t="s">
        <v>2</v>
      </c>
      <c r="C1" s="70" t="s">
        <v>7</v>
      </c>
      <c r="D1" s="87" t="s">
        <v>41</v>
      </c>
      <c r="E1" s="76" t="s">
        <v>8</v>
      </c>
      <c r="F1" s="77" t="s">
        <v>9</v>
      </c>
      <c r="G1" s="82" t="s">
        <v>12</v>
      </c>
      <c r="H1" s="58" t="s">
        <v>10</v>
      </c>
      <c r="I1" s="65" t="s">
        <v>11</v>
      </c>
      <c r="J1" s="85" t="s">
        <v>13</v>
      </c>
      <c r="K1" s="70" t="s">
        <v>14</v>
      </c>
      <c r="L1" s="58" t="s">
        <v>15</v>
      </c>
      <c r="M1" s="58" t="s">
        <v>16</v>
      </c>
      <c r="N1" s="65" t="s">
        <v>17</v>
      </c>
      <c r="O1" s="71" t="s">
        <v>18</v>
      </c>
      <c r="P1" s="58" t="s">
        <v>5</v>
      </c>
    </row>
    <row r="2" spans="1:16" x14ac:dyDescent="0.35">
      <c r="A2" s="68" t="s">
        <v>25</v>
      </c>
      <c r="B2" t="s">
        <v>44</v>
      </c>
      <c r="C2" s="72">
        <v>38</v>
      </c>
      <c r="D2" s="73" t="s">
        <v>42</v>
      </c>
      <c r="E2" s="78">
        <v>11.7</v>
      </c>
      <c r="F2" s="79">
        <f t="shared" ref="F2:F48" si="0">IF(E2 = 0, " ", IF(E2&lt;2, E2/1, E2/3.28084))</f>
        <v>3.5661598858828834</v>
      </c>
      <c r="G2" s="64">
        <v>54.83</v>
      </c>
      <c r="H2" s="72">
        <v>1</v>
      </c>
      <c r="I2" s="79"/>
      <c r="K2" s="72" t="s">
        <v>20</v>
      </c>
      <c r="L2" t="s">
        <v>22</v>
      </c>
      <c r="M2" t="s">
        <v>19</v>
      </c>
      <c r="N2" s="64">
        <v>0.97</v>
      </c>
      <c r="O2" s="73">
        <v>0</v>
      </c>
    </row>
    <row r="3" spans="1:16" x14ac:dyDescent="0.35">
      <c r="A3" s="68" t="s">
        <v>25</v>
      </c>
      <c r="B3" t="s">
        <v>44</v>
      </c>
      <c r="C3" s="72">
        <v>39</v>
      </c>
      <c r="D3" s="73" t="s">
        <v>42</v>
      </c>
      <c r="E3" s="78">
        <v>10.8</v>
      </c>
      <c r="F3" s="79">
        <f t="shared" si="0"/>
        <v>3.2918398946611238</v>
      </c>
      <c r="G3" s="64">
        <v>43.67</v>
      </c>
      <c r="H3" s="72">
        <v>1</v>
      </c>
      <c r="I3" s="79"/>
      <c r="K3" s="72" t="s">
        <v>20</v>
      </c>
      <c r="L3" t="s">
        <v>22</v>
      </c>
      <c r="M3" t="s">
        <v>19</v>
      </c>
      <c r="N3" s="64">
        <v>0.9</v>
      </c>
      <c r="O3" s="73">
        <v>7</v>
      </c>
    </row>
    <row r="4" spans="1:16" x14ac:dyDescent="0.35">
      <c r="A4" s="68" t="s">
        <v>25</v>
      </c>
      <c r="B4" t="s">
        <v>44</v>
      </c>
      <c r="C4" s="72">
        <v>39</v>
      </c>
      <c r="D4" s="73"/>
      <c r="E4" s="78"/>
      <c r="F4" s="79" t="str">
        <f t="shared" si="0"/>
        <v xml:space="preserve"> </v>
      </c>
      <c r="G4" s="64"/>
      <c r="H4" s="72"/>
      <c r="I4" s="79"/>
      <c r="K4" s="72" t="s">
        <v>20</v>
      </c>
      <c r="L4" t="s">
        <v>22</v>
      </c>
      <c r="M4" t="s">
        <v>19</v>
      </c>
      <c r="N4" s="64">
        <v>1.38</v>
      </c>
      <c r="O4" s="73">
        <v>0</v>
      </c>
    </row>
    <row r="5" spans="1:16" x14ac:dyDescent="0.35">
      <c r="A5" s="68" t="s">
        <v>25</v>
      </c>
      <c r="B5" t="s">
        <v>44</v>
      </c>
      <c r="C5" s="72">
        <v>39</v>
      </c>
      <c r="D5" s="73"/>
      <c r="E5" s="78"/>
      <c r="F5" s="79" t="str">
        <f t="shared" si="0"/>
        <v xml:space="preserve"> </v>
      </c>
      <c r="G5" s="64"/>
      <c r="H5" s="72"/>
      <c r="I5" s="79"/>
      <c r="K5" s="72" t="s">
        <v>20</v>
      </c>
      <c r="L5" t="s">
        <v>22</v>
      </c>
      <c r="M5" t="s">
        <v>19</v>
      </c>
      <c r="N5" s="64">
        <v>0.36</v>
      </c>
      <c r="O5" s="73">
        <v>0</v>
      </c>
    </row>
    <row r="6" spans="1:16" x14ac:dyDescent="0.35">
      <c r="A6" s="68" t="s">
        <v>25</v>
      </c>
      <c r="B6" t="s">
        <v>44</v>
      </c>
      <c r="C6" s="72">
        <v>40</v>
      </c>
      <c r="D6" s="73" t="s">
        <v>42</v>
      </c>
      <c r="E6" s="78">
        <v>11.8</v>
      </c>
      <c r="F6" s="79">
        <f t="shared" si="0"/>
        <v>3.5966398849075238</v>
      </c>
      <c r="G6" s="64">
        <v>52.57</v>
      </c>
      <c r="H6" s="72">
        <v>1</v>
      </c>
      <c r="I6" s="79"/>
      <c r="K6" s="72" t="s">
        <v>19</v>
      </c>
      <c r="M6" t="s">
        <v>43</v>
      </c>
      <c r="N6" s="64"/>
      <c r="O6" s="73"/>
    </row>
    <row r="7" spans="1:16" x14ac:dyDescent="0.35">
      <c r="A7" s="68" t="s">
        <v>25</v>
      </c>
      <c r="B7" t="s">
        <v>44</v>
      </c>
      <c r="C7" s="72">
        <v>41</v>
      </c>
      <c r="D7" s="73" t="s">
        <v>42</v>
      </c>
      <c r="E7" s="78">
        <v>7.9</v>
      </c>
      <c r="F7" s="79">
        <f t="shared" si="0"/>
        <v>2.4079199229465624</v>
      </c>
      <c r="G7" s="64">
        <v>20.96</v>
      </c>
      <c r="H7" s="72">
        <v>2</v>
      </c>
      <c r="I7" s="79">
        <v>0.2</v>
      </c>
      <c r="K7" s="72" t="s">
        <v>19</v>
      </c>
      <c r="M7" t="s">
        <v>20</v>
      </c>
      <c r="N7" s="64"/>
      <c r="O7" s="73"/>
      <c r="P7" t="s">
        <v>28</v>
      </c>
    </row>
    <row r="8" spans="1:16" x14ac:dyDescent="0.35">
      <c r="A8" s="68" t="s">
        <v>25</v>
      </c>
      <c r="B8" t="s">
        <v>44</v>
      </c>
      <c r="C8" s="72">
        <v>42</v>
      </c>
      <c r="D8" s="73" t="s">
        <v>42</v>
      </c>
      <c r="E8" s="78">
        <v>10.5</v>
      </c>
      <c r="F8" s="79">
        <f t="shared" si="0"/>
        <v>3.2003998975872032</v>
      </c>
      <c r="G8" s="64">
        <v>40.86</v>
      </c>
      <c r="H8" s="72">
        <v>1</v>
      </c>
      <c r="I8" s="79"/>
      <c r="K8" s="72" t="s">
        <v>20</v>
      </c>
      <c r="L8" t="s">
        <v>22</v>
      </c>
      <c r="M8" t="s">
        <v>19</v>
      </c>
      <c r="N8" s="64">
        <v>0.81</v>
      </c>
      <c r="O8" s="73">
        <v>0</v>
      </c>
    </row>
    <row r="9" spans="1:16" x14ac:dyDescent="0.35">
      <c r="A9" s="68" t="s">
        <v>25</v>
      </c>
      <c r="B9" t="s">
        <v>44</v>
      </c>
      <c r="C9" s="72">
        <v>43</v>
      </c>
      <c r="D9" s="73" t="s">
        <v>42</v>
      </c>
      <c r="E9" s="78">
        <v>12.4</v>
      </c>
      <c r="F9" s="79">
        <f t="shared" si="0"/>
        <v>3.7795198790553641</v>
      </c>
      <c r="G9" s="64">
        <v>62.86</v>
      </c>
      <c r="H9" s="72">
        <v>1</v>
      </c>
      <c r="I9" s="79"/>
      <c r="K9" s="72" t="s">
        <v>19</v>
      </c>
      <c r="M9" t="s">
        <v>19</v>
      </c>
      <c r="N9" s="64"/>
      <c r="O9" s="73"/>
    </row>
    <row r="10" spans="1:16" x14ac:dyDescent="0.35">
      <c r="A10" s="68" t="s">
        <v>25</v>
      </c>
      <c r="B10" t="s">
        <v>44</v>
      </c>
      <c r="C10" s="72">
        <v>44</v>
      </c>
      <c r="D10" s="73" t="s">
        <v>42</v>
      </c>
      <c r="E10" s="78">
        <v>6.4</v>
      </c>
      <c r="F10" s="79">
        <f t="shared" si="0"/>
        <v>1.9507199375769622</v>
      </c>
      <c r="G10" s="64">
        <v>14.51</v>
      </c>
      <c r="H10" s="72">
        <v>1</v>
      </c>
      <c r="I10" s="79"/>
      <c r="K10" s="72" t="s">
        <v>20</v>
      </c>
      <c r="L10" t="s">
        <v>22</v>
      </c>
      <c r="M10" t="s">
        <v>19</v>
      </c>
      <c r="N10" s="64">
        <v>0.88</v>
      </c>
      <c r="O10" s="73">
        <v>0</v>
      </c>
    </row>
    <row r="11" spans="1:16" x14ac:dyDescent="0.35">
      <c r="A11" s="68" t="s">
        <v>25</v>
      </c>
      <c r="B11" t="s">
        <v>44</v>
      </c>
      <c r="C11" s="72">
        <v>44</v>
      </c>
      <c r="D11" s="73"/>
      <c r="E11" s="78"/>
      <c r="F11" s="79" t="str">
        <f t="shared" si="0"/>
        <v xml:space="preserve"> </v>
      </c>
      <c r="G11" s="64"/>
      <c r="H11" s="72"/>
      <c r="I11" s="79"/>
      <c r="K11" s="72" t="s">
        <v>20</v>
      </c>
      <c r="L11" t="s">
        <v>22</v>
      </c>
      <c r="M11" t="s">
        <v>19</v>
      </c>
      <c r="N11" s="64">
        <v>0.7</v>
      </c>
      <c r="O11" s="73">
        <v>0</v>
      </c>
    </row>
    <row r="12" spans="1:16" x14ac:dyDescent="0.35">
      <c r="A12" s="68" t="s">
        <v>25</v>
      </c>
      <c r="B12" t="s">
        <v>44</v>
      </c>
      <c r="C12" s="72">
        <v>45</v>
      </c>
      <c r="D12" s="73" t="s">
        <v>42</v>
      </c>
      <c r="E12" s="78">
        <v>8.1</v>
      </c>
      <c r="F12" s="79">
        <f t="shared" si="0"/>
        <v>2.4688799209958425</v>
      </c>
      <c r="G12" s="64">
        <v>20.5</v>
      </c>
      <c r="H12" s="72">
        <v>1</v>
      </c>
      <c r="I12" s="79"/>
      <c r="K12" s="72" t="s">
        <v>20</v>
      </c>
      <c r="L12" t="s">
        <v>22</v>
      </c>
      <c r="M12" t="s">
        <v>19</v>
      </c>
      <c r="N12" s="64">
        <v>0.96</v>
      </c>
      <c r="O12" s="73">
        <v>9</v>
      </c>
    </row>
    <row r="13" spans="1:16" x14ac:dyDescent="0.35">
      <c r="A13" s="68" t="s">
        <v>25</v>
      </c>
      <c r="B13" t="s">
        <v>44</v>
      </c>
      <c r="C13" s="72">
        <v>45</v>
      </c>
      <c r="D13" s="73"/>
      <c r="E13" s="78"/>
      <c r="F13" s="79" t="str">
        <f t="shared" si="0"/>
        <v xml:space="preserve"> </v>
      </c>
      <c r="G13" s="64"/>
      <c r="H13" s="72"/>
      <c r="I13" s="79"/>
      <c r="K13" s="72" t="s">
        <v>20</v>
      </c>
      <c r="L13" t="s">
        <v>22</v>
      </c>
      <c r="M13" t="s">
        <v>19</v>
      </c>
      <c r="N13" s="64">
        <v>0.63</v>
      </c>
      <c r="O13" s="73">
        <v>0</v>
      </c>
    </row>
    <row r="14" spans="1:16" x14ac:dyDescent="0.35">
      <c r="A14" s="68" t="s">
        <v>25</v>
      </c>
      <c r="B14" t="s">
        <v>44</v>
      </c>
      <c r="C14" s="72">
        <v>45</v>
      </c>
      <c r="D14" s="73"/>
      <c r="E14" s="78"/>
      <c r="F14" s="79" t="str">
        <f t="shared" si="0"/>
        <v xml:space="preserve"> </v>
      </c>
      <c r="G14" s="64"/>
      <c r="H14" s="72"/>
      <c r="I14" s="79"/>
      <c r="K14" s="72" t="s">
        <v>20</v>
      </c>
      <c r="L14" t="s">
        <v>22</v>
      </c>
      <c r="M14" t="s">
        <v>19</v>
      </c>
      <c r="N14" s="64">
        <v>1.35</v>
      </c>
      <c r="O14" s="73">
        <v>0</v>
      </c>
    </row>
    <row r="15" spans="1:16" x14ac:dyDescent="0.35">
      <c r="A15" s="68" t="s">
        <v>25</v>
      </c>
      <c r="B15" t="s">
        <v>44</v>
      </c>
      <c r="C15" s="72">
        <v>46</v>
      </c>
      <c r="D15" s="73" t="s">
        <v>42</v>
      </c>
      <c r="E15" s="78">
        <v>9.1</v>
      </c>
      <c r="F15" s="79">
        <f t="shared" si="0"/>
        <v>2.7736799112422426</v>
      </c>
      <c r="G15" s="64">
        <v>36.47</v>
      </c>
      <c r="H15" s="72">
        <v>1</v>
      </c>
      <c r="I15" s="79"/>
      <c r="K15" s="72" t="s">
        <v>20</v>
      </c>
      <c r="L15" t="s">
        <v>22</v>
      </c>
      <c r="M15" t="s">
        <v>19</v>
      </c>
      <c r="N15" s="64">
        <v>0.95</v>
      </c>
      <c r="O15" s="73">
        <v>6</v>
      </c>
    </row>
    <row r="16" spans="1:16" x14ac:dyDescent="0.35">
      <c r="A16" s="68" t="s">
        <v>25</v>
      </c>
      <c r="B16" t="s">
        <v>44</v>
      </c>
      <c r="C16" s="72">
        <v>46</v>
      </c>
      <c r="D16" s="73"/>
      <c r="E16" s="78"/>
      <c r="F16" s="79" t="str">
        <f t="shared" si="0"/>
        <v xml:space="preserve"> </v>
      </c>
      <c r="G16" s="64"/>
      <c r="H16" s="72"/>
      <c r="I16" s="79"/>
      <c r="K16" s="72" t="s">
        <v>20</v>
      </c>
      <c r="L16" t="s">
        <v>22</v>
      </c>
      <c r="M16" t="s">
        <v>19</v>
      </c>
      <c r="N16" s="64">
        <v>1.29</v>
      </c>
      <c r="O16" s="73">
        <v>0</v>
      </c>
    </row>
    <row r="17" spans="1:15" x14ac:dyDescent="0.35">
      <c r="A17" s="68" t="s">
        <v>25</v>
      </c>
      <c r="B17" t="s">
        <v>44</v>
      </c>
      <c r="C17" s="72">
        <v>47</v>
      </c>
      <c r="D17" s="73" t="s">
        <v>42</v>
      </c>
      <c r="E17" s="78">
        <v>10</v>
      </c>
      <c r="F17" s="79">
        <f t="shared" si="0"/>
        <v>3.047999902464003</v>
      </c>
      <c r="G17" s="64">
        <v>31.62</v>
      </c>
      <c r="H17" s="72">
        <v>1</v>
      </c>
      <c r="I17" s="79"/>
      <c r="K17" s="72" t="s">
        <v>20</v>
      </c>
      <c r="L17" t="s">
        <v>22</v>
      </c>
      <c r="M17" t="s">
        <v>19</v>
      </c>
      <c r="N17" s="64">
        <v>1.17</v>
      </c>
      <c r="O17" s="73">
        <v>0</v>
      </c>
    </row>
    <row r="18" spans="1:15" x14ac:dyDescent="0.35">
      <c r="A18" s="68" t="s">
        <v>25</v>
      </c>
      <c r="B18" t="s">
        <v>44</v>
      </c>
      <c r="C18" s="72">
        <v>48</v>
      </c>
      <c r="D18" s="73" t="s">
        <v>42</v>
      </c>
      <c r="E18" s="78">
        <v>8.6999999999999993</v>
      </c>
      <c r="F18" s="79">
        <f t="shared" si="0"/>
        <v>2.6517599151436824</v>
      </c>
      <c r="G18" s="64">
        <v>22.07</v>
      </c>
      <c r="H18" s="72">
        <v>1</v>
      </c>
      <c r="I18" s="79"/>
      <c r="J18">
        <v>34</v>
      </c>
      <c r="K18" s="72" t="s">
        <v>20</v>
      </c>
      <c r="L18" t="s">
        <v>22</v>
      </c>
      <c r="M18" t="s">
        <v>19</v>
      </c>
      <c r="N18" s="64">
        <v>0</v>
      </c>
      <c r="O18" s="73">
        <v>0</v>
      </c>
    </row>
    <row r="19" spans="1:15" x14ac:dyDescent="0.35">
      <c r="A19" s="68" t="s">
        <v>25</v>
      </c>
      <c r="B19" t="s">
        <v>44</v>
      </c>
      <c r="C19" s="72">
        <v>49</v>
      </c>
      <c r="D19" s="73" t="s">
        <v>42</v>
      </c>
      <c r="E19" s="78">
        <v>9.1</v>
      </c>
      <c r="F19" s="79">
        <f t="shared" si="0"/>
        <v>2.7736799112422426</v>
      </c>
      <c r="G19" s="64">
        <v>31.37</v>
      </c>
      <c r="H19" s="72">
        <v>1</v>
      </c>
      <c r="I19" s="79"/>
      <c r="K19" s="72" t="s">
        <v>20</v>
      </c>
      <c r="L19" t="s">
        <v>22</v>
      </c>
      <c r="M19" t="s">
        <v>19</v>
      </c>
      <c r="N19" s="64">
        <v>1.18</v>
      </c>
      <c r="O19" s="73">
        <v>0</v>
      </c>
    </row>
    <row r="20" spans="1:15" x14ac:dyDescent="0.35">
      <c r="A20" s="68" t="s">
        <v>25</v>
      </c>
      <c r="B20" t="s">
        <v>44</v>
      </c>
      <c r="C20" s="72">
        <v>50</v>
      </c>
      <c r="D20" s="73" t="s">
        <v>42</v>
      </c>
      <c r="E20" s="78">
        <v>6.5</v>
      </c>
      <c r="F20" s="79">
        <f t="shared" si="0"/>
        <v>1.981199936601602</v>
      </c>
      <c r="G20" s="64">
        <v>17.38</v>
      </c>
      <c r="H20" s="72">
        <v>1</v>
      </c>
      <c r="I20" s="79"/>
      <c r="J20">
        <v>173</v>
      </c>
      <c r="K20" s="72" t="s">
        <v>20</v>
      </c>
      <c r="L20" t="s">
        <v>22</v>
      </c>
      <c r="M20" t="s">
        <v>19</v>
      </c>
      <c r="N20" s="64">
        <v>0.95</v>
      </c>
      <c r="O20" s="73">
        <v>0</v>
      </c>
    </row>
    <row r="21" spans="1:15" x14ac:dyDescent="0.35">
      <c r="A21" s="68" t="s">
        <v>25</v>
      </c>
      <c r="B21" t="s">
        <v>44</v>
      </c>
      <c r="C21" s="72">
        <v>50</v>
      </c>
      <c r="D21" s="73"/>
      <c r="E21" s="78"/>
      <c r="F21" s="79" t="str">
        <f t="shared" si="0"/>
        <v xml:space="preserve"> </v>
      </c>
      <c r="G21" s="64"/>
      <c r="H21" s="72"/>
      <c r="I21" s="79"/>
      <c r="K21" s="72" t="s">
        <v>20</v>
      </c>
      <c r="L21" t="s">
        <v>22</v>
      </c>
      <c r="M21" t="s">
        <v>19</v>
      </c>
      <c r="N21" s="64">
        <v>0.59</v>
      </c>
      <c r="O21" s="73">
        <v>0</v>
      </c>
    </row>
    <row r="22" spans="1:15" x14ac:dyDescent="0.35">
      <c r="A22" s="68" t="s">
        <v>25</v>
      </c>
      <c r="B22" t="s">
        <v>44</v>
      </c>
      <c r="C22" s="72">
        <v>50</v>
      </c>
      <c r="D22" s="73"/>
      <c r="E22" s="78"/>
      <c r="F22" s="79" t="str">
        <f t="shared" si="0"/>
        <v xml:space="preserve"> </v>
      </c>
      <c r="G22" s="64"/>
      <c r="H22" s="72"/>
      <c r="I22" s="79"/>
      <c r="K22" s="72" t="s">
        <v>20</v>
      </c>
      <c r="L22" t="s">
        <v>22</v>
      </c>
      <c r="M22" t="s">
        <v>19</v>
      </c>
      <c r="N22" s="64">
        <v>0.16</v>
      </c>
      <c r="O22" s="73">
        <v>0</v>
      </c>
    </row>
    <row r="23" spans="1:15" x14ac:dyDescent="0.35">
      <c r="A23" s="68" t="s">
        <v>25</v>
      </c>
      <c r="B23" t="s">
        <v>44</v>
      </c>
      <c r="C23" s="72">
        <v>51</v>
      </c>
      <c r="D23" s="73" t="s">
        <v>42</v>
      </c>
      <c r="E23" s="78">
        <v>7.8</v>
      </c>
      <c r="F23" s="79">
        <f t="shared" si="0"/>
        <v>2.3774399239219224</v>
      </c>
      <c r="G23" s="64">
        <v>23.35</v>
      </c>
      <c r="H23" s="72">
        <v>1</v>
      </c>
      <c r="I23" s="79"/>
      <c r="J23">
        <v>106</v>
      </c>
      <c r="K23" s="72" t="s">
        <v>20</v>
      </c>
      <c r="L23" t="s">
        <v>22</v>
      </c>
      <c r="M23" t="s">
        <v>19</v>
      </c>
      <c r="N23" s="64">
        <v>0.6</v>
      </c>
      <c r="O23" s="73">
        <v>0</v>
      </c>
    </row>
    <row r="24" spans="1:15" x14ac:dyDescent="0.35">
      <c r="A24" s="68" t="s">
        <v>25</v>
      </c>
      <c r="B24" t="s">
        <v>44</v>
      </c>
      <c r="C24" s="72">
        <v>52</v>
      </c>
      <c r="D24" s="73" t="s">
        <v>42</v>
      </c>
      <c r="E24" s="78">
        <v>5.7</v>
      </c>
      <c r="F24" s="79">
        <f t="shared" si="0"/>
        <v>1.7373599444044818</v>
      </c>
      <c r="G24" s="64">
        <v>12.44</v>
      </c>
      <c r="H24" s="72">
        <v>1</v>
      </c>
      <c r="I24" s="79"/>
      <c r="K24" s="72" t="s">
        <v>20</v>
      </c>
      <c r="L24" t="s">
        <v>22</v>
      </c>
      <c r="M24" t="s">
        <v>19</v>
      </c>
      <c r="N24" s="64">
        <v>0.56999999999999995</v>
      </c>
      <c r="O24" s="73">
        <v>14</v>
      </c>
    </row>
    <row r="25" spans="1:15" x14ac:dyDescent="0.35">
      <c r="A25" s="68" t="s">
        <v>25</v>
      </c>
      <c r="B25" t="s">
        <v>44</v>
      </c>
      <c r="C25" s="72">
        <v>52</v>
      </c>
      <c r="D25" s="73"/>
      <c r="E25" s="78"/>
      <c r="F25" s="79" t="str">
        <f t="shared" si="0"/>
        <v xml:space="preserve"> </v>
      </c>
      <c r="G25" s="64"/>
      <c r="H25" s="72"/>
      <c r="I25" s="79"/>
      <c r="K25" s="72" t="s">
        <v>20</v>
      </c>
      <c r="L25" t="s">
        <v>22</v>
      </c>
      <c r="M25" t="s">
        <v>19</v>
      </c>
      <c r="N25" s="64">
        <v>0.7</v>
      </c>
      <c r="O25" s="73">
        <v>0</v>
      </c>
    </row>
    <row r="26" spans="1:15" x14ac:dyDescent="0.35">
      <c r="A26" s="68" t="s">
        <v>25</v>
      </c>
      <c r="B26" t="s">
        <v>44</v>
      </c>
      <c r="C26" s="72">
        <v>52</v>
      </c>
      <c r="D26" s="73"/>
      <c r="E26" s="78"/>
      <c r="F26" s="79" t="str">
        <f t="shared" si="0"/>
        <v xml:space="preserve"> </v>
      </c>
      <c r="G26" s="64"/>
      <c r="H26" s="72"/>
      <c r="I26" s="79"/>
      <c r="K26" s="72" t="s">
        <v>20</v>
      </c>
      <c r="L26" t="s">
        <v>21</v>
      </c>
      <c r="M26" t="s">
        <v>19</v>
      </c>
      <c r="N26" s="64">
        <v>1.05</v>
      </c>
      <c r="O26" s="73">
        <v>42</v>
      </c>
    </row>
    <row r="27" spans="1:15" x14ac:dyDescent="0.35">
      <c r="A27" s="68" t="s">
        <v>25</v>
      </c>
      <c r="B27" t="s">
        <v>44</v>
      </c>
      <c r="C27" s="72">
        <v>53</v>
      </c>
      <c r="D27" s="73" t="s">
        <v>42</v>
      </c>
      <c r="E27" s="78">
        <v>8</v>
      </c>
      <c r="F27" s="79">
        <f t="shared" si="0"/>
        <v>2.4383999219712025</v>
      </c>
      <c r="G27" s="64">
        <v>20.76</v>
      </c>
      <c r="H27" s="72">
        <v>2</v>
      </c>
      <c r="I27" s="79">
        <v>0.15</v>
      </c>
      <c r="K27" s="72" t="s">
        <v>20</v>
      </c>
      <c r="L27" t="s">
        <v>22</v>
      </c>
      <c r="M27" t="s">
        <v>19</v>
      </c>
      <c r="N27" s="64">
        <v>0.48</v>
      </c>
      <c r="O27" s="73">
        <v>0</v>
      </c>
    </row>
    <row r="28" spans="1:15" x14ac:dyDescent="0.35">
      <c r="A28" s="68" t="s">
        <v>110</v>
      </c>
      <c r="B28" s="68" t="s">
        <v>44</v>
      </c>
      <c r="C28" s="72">
        <v>34</v>
      </c>
      <c r="D28" s="73" t="s">
        <v>42</v>
      </c>
      <c r="E28" s="78">
        <v>5.8</v>
      </c>
      <c r="F28" s="79">
        <f t="shared" si="0"/>
        <v>1.7678399434291219</v>
      </c>
      <c r="G28" s="83">
        <v>12.51</v>
      </c>
      <c r="H28">
        <v>2</v>
      </c>
      <c r="I28" s="64">
        <v>0.23</v>
      </c>
      <c r="J28" s="68"/>
      <c r="K28" s="72" t="s">
        <v>19</v>
      </c>
      <c r="M28" t="s">
        <v>19</v>
      </c>
      <c r="N28" s="64"/>
      <c r="O28" s="73"/>
    </row>
    <row r="29" spans="1:15" x14ac:dyDescent="0.35">
      <c r="A29" s="68" t="s">
        <v>110</v>
      </c>
      <c r="B29" s="68" t="s">
        <v>44</v>
      </c>
      <c r="C29" s="72">
        <v>35</v>
      </c>
      <c r="D29" s="73" t="s">
        <v>42</v>
      </c>
      <c r="E29" s="78">
        <v>11.2</v>
      </c>
      <c r="F29" s="79">
        <f t="shared" si="0"/>
        <v>3.4137598907596831</v>
      </c>
      <c r="G29" s="83">
        <v>4.5</v>
      </c>
      <c r="H29">
        <v>1</v>
      </c>
      <c r="I29" s="64"/>
      <c r="J29" s="68"/>
      <c r="K29" s="72" t="s">
        <v>19</v>
      </c>
      <c r="M29" t="s">
        <v>19</v>
      </c>
      <c r="N29" s="64"/>
      <c r="O29" s="73"/>
    </row>
    <row r="30" spans="1:15" x14ac:dyDescent="0.35">
      <c r="A30" s="68" t="s">
        <v>110</v>
      </c>
      <c r="B30" s="68" t="s">
        <v>44</v>
      </c>
      <c r="C30" s="72">
        <v>36</v>
      </c>
      <c r="D30" s="73" t="s">
        <v>42</v>
      </c>
      <c r="E30" s="78">
        <v>9.1999999999999993</v>
      </c>
      <c r="F30" s="79">
        <f t="shared" si="0"/>
        <v>2.8041599102668826</v>
      </c>
      <c r="G30" s="83">
        <v>31.77</v>
      </c>
      <c r="H30">
        <v>1</v>
      </c>
      <c r="I30" s="64"/>
      <c r="J30" s="68"/>
      <c r="K30" s="72" t="s">
        <v>20</v>
      </c>
      <c r="L30" t="s">
        <v>22</v>
      </c>
      <c r="M30" t="s">
        <v>19</v>
      </c>
      <c r="N30" s="64">
        <v>0.35</v>
      </c>
      <c r="O30" s="73">
        <v>30</v>
      </c>
    </row>
    <row r="31" spans="1:15" x14ac:dyDescent="0.35">
      <c r="A31" s="68" t="s">
        <v>110</v>
      </c>
      <c r="B31" s="68" t="s">
        <v>44</v>
      </c>
      <c r="C31" s="72">
        <v>36</v>
      </c>
      <c r="D31" s="73"/>
      <c r="E31" s="78"/>
      <c r="F31" s="79" t="str">
        <f t="shared" si="0"/>
        <v xml:space="preserve"> </v>
      </c>
      <c r="G31" s="83"/>
      <c r="I31" s="64"/>
      <c r="J31" s="68"/>
      <c r="K31" s="72" t="s">
        <v>20</v>
      </c>
      <c r="L31" t="s">
        <v>22</v>
      </c>
      <c r="M31" t="s">
        <v>19</v>
      </c>
      <c r="N31" s="64">
        <v>0.33</v>
      </c>
      <c r="O31" s="73">
        <v>0</v>
      </c>
    </row>
    <row r="32" spans="1:15" x14ac:dyDescent="0.35">
      <c r="A32" s="68" t="s">
        <v>110</v>
      </c>
      <c r="B32" s="68" t="s">
        <v>44</v>
      </c>
      <c r="C32" s="72">
        <v>37</v>
      </c>
      <c r="D32" s="73" t="s">
        <v>42</v>
      </c>
      <c r="E32" s="78">
        <v>11.9</v>
      </c>
      <c r="F32" s="79">
        <f t="shared" si="0"/>
        <v>3.6271198839321639</v>
      </c>
      <c r="G32" s="83">
        <v>74.180000000000007</v>
      </c>
      <c r="H32">
        <v>1</v>
      </c>
      <c r="I32" s="64"/>
      <c r="J32" s="68">
        <v>19</v>
      </c>
      <c r="K32" s="72" t="s">
        <v>19</v>
      </c>
      <c r="M32" t="s">
        <v>19</v>
      </c>
      <c r="N32" s="64"/>
      <c r="O32" s="73"/>
    </row>
    <row r="33" spans="1:16" x14ac:dyDescent="0.35">
      <c r="A33" s="68" t="s">
        <v>110</v>
      </c>
      <c r="B33" s="68" t="s">
        <v>44</v>
      </c>
      <c r="C33" s="72">
        <v>38</v>
      </c>
      <c r="D33" s="73" t="s">
        <v>42</v>
      </c>
      <c r="E33" s="78">
        <v>7.9</v>
      </c>
      <c r="F33" s="79">
        <f t="shared" si="0"/>
        <v>2.4079199229465624</v>
      </c>
      <c r="G33" s="83">
        <v>11.14</v>
      </c>
      <c r="H33">
        <v>1</v>
      </c>
      <c r="I33" s="64"/>
      <c r="J33" s="68"/>
      <c r="K33" s="72" t="s">
        <v>19</v>
      </c>
      <c r="M33" t="s">
        <v>19</v>
      </c>
      <c r="N33" s="64"/>
      <c r="O33" s="73"/>
    </row>
    <row r="34" spans="1:16" x14ac:dyDescent="0.35">
      <c r="A34" s="68" t="s">
        <v>110</v>
      </c>
      <c r="B34" s="68" t="s">
        <v>44</v>
      </c>
      <c r="C34" s="72">
        <v>39</v>
      </c>
      <c r="D34" s="73" t="s">
        <v>42</v>
      </c>
      <c r="E34" s="78">
        <v>9.6999999999999993</v>
      </c>
      <c r="F34" s="79">
        <f t="shared" si="0"/>
        <v>2.9565599053900828</v>
      </c>
      <c r="G34" s="83">
        <v>46.75</v>
      </c>
      <c r="H34">
        <v>1</v>
      </c>
      <c r="I34" s="64"/>
      <c r="J34" s="68"/>
      <c r="K34" s="72" t="s">
        <v>19</v>
      </c>
      <c r="M34" t="s">
        <v>19</v>
      </c>
      <c r="N34" s="64"/>
      <c r="O34" s="73"/>
    </row>
    <row r="35" spans="1:16" x14ac:dyDescent="0.35">
      <c r="A35" s="68" t="s">
        <v>110</v>
      </c>
      <c r="B35" s="68" t="s">
        <v>44</v>
      </c>
      <c r="C35" s="72">
        <v>40</v>
      </c>
      <c r="D35" s="73" t="s">
        <v>42</v>
      </c>
      <c r="E35" s="78">
        <v>11.6</v>
      </c>
      <c r="F35" s="79">
        <f t="shared" si="0"/>
        <v>3.5356798868582437</v>
      </c>
      <c r="G35" s="83">
        <v>47.13</v>
      </c>
      <c r="H35">
        <v>1</v>
      </c>
      <c r="I35" s="64"/>
      <c r="J35" s="68">
        <v>97</v>
      </c>
      <c r="K35" s="72" t="s">
        <v>19</v>
      </c>
      <c r="M35" t="s">
        <v>19</v>
      </c>
      <c r="N35" s="64"/>
      <c r="O35" s="73"/>
    </row>
    <row r="36" spans="1:16" x14ac:dyDescent="0.35">
      <c r="A36" s="68" t="s">
        <v>110</v>
      </c>
      <c r="B36" s="68" t="s">
        <v>44</v>
      </c>
      <c r="C36" s="72">
        <v>41</v>
      </c>
      <c r="D36" s="73" t="s">
        <v>42</v>
      </c>
      <c r="E36" s="78">
        <v>10.7</v>
      </c>
      <c r="F36" s="79">
        <f t="shared" si="0"/>
        <v>3.2613598956364833</v>
      </c>
      <c r="G36" s="83">
        <v>39.86</v>
      </c>
      <c r="H36">
        <v>1</v>
      </c>
      <c r="I36" s="64"/>
      <c r="J36" s="68"/>
      <c r="K36" s="72" t="s">
        <v>20</v>
      </c>
      <c r="L36" t="s">
        <v>22</v>
      </c>
      <c r="M36" t="s">
        <v>19</v>
      </c>
      <c r="N36" s="64">
        <v>0.4</v>
      </c>
      <c r="O36" s="73">
        <v>0</v>
      </c>
    </row>
    <row r="37" spans="1:16" x14ac:dyDescent="0.35">
      <c r="A37" s="68" t="s">
        <v>110</v>
      </c>
      <c r="B37" s="68" t="s">
        <v>44</v>
      </c>
      <c r="C37" s="72">
        <v>42</v>
      </c>
      <c r="D37" s="73" t="s">
        <v>42</v>
      </c>
      <c r="E37" s="78">
        <v>11.1</v>
      </c>
      <c r="F37" s="79">
        <f t="shared" si="0"/>
        <v>3.3832798917350435</v>
      </c>
      <c r="G37" s="83">
        <v>43.18</v>
      </c>
      <c r="H37">
        <v>1</v>
      </c>
      <c r="I37" s="64"/>
      <c r="J37" s="68"/>
      <c r="K37" s="72" t="s">
        <v>19</v>
      </c>
      <c r="M37" t="s">
        <v>19</v>
      </c>
      <c r="N37" s="64"/>
      <c r="O37" s="73"/>
    </row>
    <row r="38" spans="1:16" x14ac:dyDescent="0.35">
      <c r="A38" s="68" t="s">
        <v>110</v>
      </c>
      <c r="B38" s="68" t="s">
        <v>44</v>
      </c>
      <c r="C38" s="72">
        <v>43</v>
      </c>
      <c r="D38" s="73" t="s">
        <v>42</v>
      </c>
      <c r="E38" s="78">
        <v>12.1</v>
      </c>
      <c r="F38" s="79">
        <f t="shared" si="0"/>
        <v>3.6880798819814435</v>
      </c>
      <c r="G38" s="83">
        <v>42.96</v>
      </c>
      <c r="H38">
        <v>1</v>
      </c>
      <c r="I38" s="64"/>
      <c r="J38" s="68"/>
      <c r="K38" s="72" t="s">
        <v>19</v>
      </c>
      <c r="M38" t="s">
        <v>19</v>
      </c>
      <c r="N38" s="64"/>
      <c r="O38" s="73"/>
    </row>
    <row r="39" spans="1:16" x14ac:dyDescent="0.35">
      <c r="A39" s="68" t="s">
        <v>110</v>
      </c>
      <c r="B39" s="68" t="s">
        <v>44</v>
      </c>
      <c r="C39" s="72">
        <v>44</v>
      </c>
      <c r="D39" s="73" t="s">
        <v>42</v>
      </c>
      <c r="E39" s="78">
        <v>12</v>
      </c>
      <c r="F39" s="79">
        <f t="shared" si="0"/>
        <v>3.6575998829568039</v>
      </c>
      <c r="G39" s="83">
        <v>33.28</v>
      </c>
      <c r="H39">
        <v>1</v>
      </c>
      <c r="I39" s="64"/>
      <c r="J39" s="68"/>
      <c r="K39" s="72" t="s">
        <v>20</v>
      </c>
      <c r="L39" t="s">
        <v>66</v>
      </c>
      <c r="M39" t="s">
        <v>19</v>
      </c>
      <c r="N39" s="64">
        <v>0</v>
      </c>
      <c r="O39" s="73">
        <v>30</v>
      </c>
    </row>
    <row r="40" spans="1:16" x14ac:dyDescent="0.35">
      <c r="A40" s="68" t="s">
        <v>110</v>
      </c>
      <c r="B40" s="68" t="s">
        <v>44</v>
      </c>
      <c r="C40" s="72">
        <v>45</v>
      </c>
      <c r="D40" s="73" t="s">
        <v>42</v>
      </c>
      <c r="E40" s="78">
        <v>9.6</v>
      </c>
      <c r="F40" s="79">
        <f t="shared" si="0"/>
        <v>2.9260799063654428</v>
      </c>
      <c r="G40" s="83">
        <v>32.78</v>
      </c>
      <c r="H40">
        <v>1</v>
      </c>
      <c r="I40" s="64"/>
      <c r="J40" s="68"/>
      <c r="K40" s="72" t="s">
        <v>20</v>
      </c>
      <c r="L40" t="s">
        <v>21</v>
      </c>
      <c r="M40" t="s">
        <v>19</v>
      </c>
      <c r="N40" s="64">
        <v>0.28999999999999998</v>
      </c>
      <c r="O40" s="73">
        <v>15</v>
      </c>
    </row>
    <row r="41" spans="1:16" x14ac:dyDescent="0.35">
      <c r="A41" s="68" t="s">
        <v>110</v>
      </c>
      <c r="B41" s="68" t="s">
        <v>44</v>
      </c>
      <c r="C41" s="72">
        <v>46</v>
      </c>
      <c r="D41" s="73" t="s">
        <v>42</v>
      </c>
      <c r="E41" s="78">
        <v>11.3</v>
      </c>
      <c r="F41" s="79">
        <f t="shared" si="0"/>
        <v>3.4442398897843236</v>
      </c>
      <c r="G41" s="83">
        <v>41.5</v>
      </c>
      <c r="H41">
        <v>1</v>
      </c>
      <c r="I41" s="64"/>
      <c r="J41" s="68"/>
      <c r="K41" s="72" t="s">
        <v>19</v>
      </c>
      <c r="M41" t="s">
        <v>19</v>
      </c>
      <c r="N41" s="64"/>
      <c r="O41" s="73"/>
    </row>
    <row r="42" spans="1:16" x14ac:dyDescent="0.35">
      <c r="A42" s="68" t="s">
        <v>110</v>
      </c>
      <c r="B42" s="68" t="s">
        <v>44</v>
      </c>
      <c r="C42" s="72">
        <v>47</v>
      </c>
      <c r="D42" s="73" t="s">
        <v>42</v>
      </c>
      <c r="E42" s="78">
        <v>9.1999999999999993</v>
      </c>
      <c r="F42" s="79">
        <f t="shared" si="0"/>
        <v>2.8041599102668826</v>
      </c>
      <c r="G42" s="83">
        <v>26.62</v>
      </c>
      <c r="H42">
        <v>1</v>
      </c>
      <c r="I42" s="64"/>
      <c r="J42" s="68"/>
      <c r="K42" s="72" t="s">
        <v>20</v>
      </c>
      <c r="L42" t="s">
        <v>22</v>
      </c>
      <c r="M42" t="s">
        <v>19</v>
      </c>
      <c r="N42" s="64">
        <v>0.7</v>
      </c>
      <c r="O42" s="73">
        <v>0</v>
      </c>
    </row>
    <row r="43" spans="1:16" x14ac:dyDescent="0.35">
      <c r="A43" s="68" t="s">
        <v>110</v>
      </c>
      <c r="B43" s="68" t="s">
        <v>44</v>
      </c>
      <c r="C43" s="72">
        <v>48</v>
      </c>
      <c r="D43" s="73" t="s">
        <v>42</v>
      </c>
      <c r="E43" s="78">
        <v>9.4</v>
      </c>
      <c r="F43" s="79">
        <f t="shared" si="0"/>
        <v>2.8651199083161631</v>
      </c>
      <c r="G43" s="83">
        <v>36.82</v>
      </c>
      <c r="H43">
        <v>1</v>
      </c>
      <c r="I43" s="64"/>
      <c r="J43" s="68">
        <v>20</v>
      </c>
      <c r="K43" s="72" t="s">
        <v>19</v>
      </c>
      <c r="M43" t="s">
        <v>19</v>
      </c>
      <c r="N43" s="64"/>
      <c r="O43" s="73"/>
    </row>
    <row r="44" spans="1:16" s="1" customFormat="1" x14ac:dyDescent="0.35">
      <c r="A44" s="69" t="s">
        <v>110</v>
      </c>
      <c r="B44" s="69" t="s">
        <v>44</v>
      </c>
      <c r="C44" s="74">
        <v>49</v>
      </c>
      <c r="D44" s="75" t="s">
        <v>42</v>
      </c>
      <c r="E44" s="80">
        <v>13</v>
      </c>
      <c r="F44" s="81">
        <f t="shared" si="0"/>
        <v>3.962399873203204</v>
      </c>
      <c r="G44" s="84">
        <v>54.99</v>
      </c>
      <c r="H44" s="1">
        <v>1</v>
      </c>
      <c r="I44" s="66"/>
      <c r="J44" s="69"/>
      <c r="K44" s="74" t="s">
        <v>19</v>
      </c>
      <c r="M44" s="1" t="s">
        <v>19</v>
      </c>
      <c r="N44" s="66"/>
      <c r="O44" s="75"/>
    </row>
    <row r="45" spans="1:16" x14ac:dyDescent="0.35">
      <c r="A45" s="68" t="s">
        <v>126</v>
      </c>
      <c r="B45" s="68" t="s">
        <v>44</v>
      </c>
      <c r="C45" s="72">
        <v>45</v>
      </c>
      <c r="D45" s="73" t="s">
        <v>42</v>
      </c>
      <c r="E45" s="78">
        <v>9.3000000000000007</v>
      </c>
      <c r="F45" s="79">
        <f t="shared" si="0"/>
        <v>2.8346399092915231</v>
      </c>
      <c r="G45" s="83">
        <v>31.27</v>
      </c>
      <c r="H45">
        <v>1</v>
      </c>
      <c r="I45" s="64"/>
      <c r="J45" s="68"/>
      <c r="K45" s="72" t="s">
        <v>19</v>
      </c>
      <c r="M45" t="s">
        <v>19</v>
      </c>
      <c r="N45" s="64"/>
      <c r="O45" s="73"/>
    </row>
    <row r="46" spans="1:16" x14ac:dyDescent="0.35">
      <c r="A46" s="68" t="s">
        <v>126</v>
      </c>
      <c r="B46" s="68" t="s">
        <v>44</v>
      </c>
      <c r="C46" s="72">
        <v>46</v>
      </c>
      <c r="D46" s="73" t="s">
        <v>42</v>
      </c>
      <c r="E46" s="78">
        <v>9.1999999999999993</v>
      </c>
      <c r="F46" s="79">
        <f t="shared" si="0"/>
        <v>2.8041599102668826</v>
      </c>
      <c r="G46" s="83">
        <v>43.09</v>
      </c>
      <c r="H46">
        <v>2</v>
      </c>
      <c r="I46" s="64">
        <v>1.43</v>
      </c>
      <c r="J46" s="68"/>
      <c r="K46" s="72" t="s">
        <v>20</v>
      </c>
      <c r="L46" t="s">
        <v>22</v>
      </c>
      <c r="M46" t="s">
        <v>19</v>
      </c>
      <c r="N46" s="64">
        <v>1.43</v>
      </c>
      <c r="O46" s="73">
        <v>0</v>
      </c>
      <c r="P46" t="s">
        <v>147</v>
      </c>
    </row>
    <row r="47" spans="1:16" x14ac:dyDescent="0.35">
      <c r="A47" s="68" t="s">
        <v>126</v>
      </c>
      <c r="B47" s="68" t="s">
        <v>44</v>
      </c>
      <c r="C47" s="72">
        <v>46</v>
      </c>
      <c r="D47" s="73"/>
      <c r="E47" s="78"/>
      <c r="F47" s="79" t="str">
        <f t="shared" si="0"/>
        <v xml:space="preserve"> </v>
      </c>
      <c r="G47" s="83"/>
      <c r="I47" s="64"/>
      <c r="J47" s="68"/>
      <c r="K47" s="72" t="s">
        <v>20</v>
      </c>
      <c r="L47" t="s">
        <v>22</v>
      </c>
      <c r="M47" t="s">
        <v>19</v>
      </c>
      <c r="N47" s="64">
        <v>1.37</v>
      </c>
      <c r="O47" s="73">
        <v>0</v>
      </c>
    </row>
    <row r="48" spans="1:16" x14ac:dyDescent="0.35">
      <c r="A48" s="68" t="s">
        <v>126</v>
      </c>
      <c r="B48" s="68" t="s">
        <v>44</v>
      </c>
      <c r="C48" s="72">
        <v>47</v>
      </c>
      <c r="D48" s="73" t="s">
        <v>42</v>
      </c>
      <c r="E48" s="78">
        <v>6.8</v>
      </c>
      <c r="F48" s="79">
        <f t="shared" si="0"/>
        <v>2.0726399336755219</v>
      </c>
      <c r="G48" s="83">
        <v>17.3</v>
      </c>
      <c r="H48">
        <v>1</v>
      </c>
      <c r="I48" s="64"/>
      <c r="J48" s="68">
        <v>40</v>
      </c>
      <c r="K48" s="72" t="s">
        <v>19</v>
      </c>
      <c r="M48" t="s">
        <v>19</v>
      </c>
      <c r="N48" s="64"/>
      <c r="O48" s="73"/>
    </row>
    <row r="49" spans="1:16" x14ac:dyDescent="0.35">
      <c r="A49" s="68" t="s">
        <v>126</v>
      </c>
      <c r="B49" s="68" t="s">
        <v>44</v>
      </c>
      <c r="C49" s="72">
        <v>48</v>
      </c>
      <c r="D49" s="73" t="s">
        <v>42</v>
      </c>
      <c r="E49" s="78">
        <v>9.5</v>
      </c>
      <c r="F49" s="79">
        <f t="shared" ref="F49:F52" si="1">IF(E49 = 0, " ", IF(E49&lt;2, E49/1, E49/3.28084))</f>
        <v>2.8955999073408032</v>
      </c>
      <c r="G49" s="83">
        <v>26.17</v>
      </c>
      <c r="H49">
        <v>1</v>
      </c>
      <c r="I49" s="64"/>
      <c r="J49" s="68">
        <v>60</v>
      </c>
      <c r="K49" s="72" t="s">
        <v>19</v>
      </c>
      <c r="M49" t="s">
        <v>19</v>
      </c>
      <c r="N49" s="64"/>
      <c r="O49" s="73"/>
    </row>
    <row r="50" spans="1:16" x14ac:dyDescent="0.35">
      <c r="A50" s="68" t="s">
        <v>126</v>
      </c>
      <c r="B50" s="68" t="s">
        <v>44</v>
      </c>
      <c r="C50" s="72">
        <v>49</v>
      </c>
      <c r="D50" s="73" t="s">
        <v>42</v>
      </c>
      <c r="E50" s="78">
        <v>9.6</v>
      </c>
      <c r="F50" s="79">
        <f t="shared" si="1"/>
        <v>2.9260799063654428</v>
      </c>
      <c r="G50" s="83">
        <v>43.79</v>
      </c>
      <c r="H50">
        <v>1</v>
      </c>
      <c r="I50" s="64"/>
      <c r="J50" s="68"/>
      <c r="K50" s="72" t="s">
        <v>20</v>
      </c>
      <c r="L50" t="s">
        <v>22</v>
      </c>
      <c r="M50" t="s">
        <v>19</v>
      </c>
      <c r="N50" s="64">
        <v>1.18</v>
      </c>
      <c r="O50" s="73">
        <v>30</v>
      </c>
    </row>
    <row r="51" spans="1:16" x14ac:dyDescent="0.35">
      <c r="A51" s="68" t="s">
        <v>126</v>
      </c>
      <c r="B51" s="68" t="s">
        <v>44</v>
      </c>
      <c r="C51" s="72">
        <v>50</v>
      </c>
      <c r="D51" s="73" t="s">
        <v>42</v>
      </c>
      <c r="E51" s="78">
        <v>9.8000000000000007</v>
      </c>
      <c r="F51" s="79">
        <f t="shared" si="1"/>
        <v>2.9870399044147233</v>
      </c>
      <c r="G51" s="83">
        <v>45.28</v>
      </c>
      <c r="H51">
        <v>1</v>
      </c>
      <c r="I51" s="64"/>
      <c r="J51" s="68">
        <v>80</v>
      </c>
      <c r="K51" s="72" t="s">
        <v>20</v>
      </c>
      <c r="L51" t="s">
        <v>22</v>
      </c>
      <c r="M51" t="s">
        <v>19</v>
      </c>
      <c r="N51" s="64">
        <v>1.34</v>
      </c>
      <c r="O51" s="73">
        <v>10</v>
      </c>
    </row>
    <row r="52" spans="1:16" s="1" customFormat="1" x14ac:dyDescent="0.35">
      <c r="A52" s="69" t="s">
        <v>126</v>
      </c>
      <c r="B52" s="69" t="s">
        <v>44</v>
      </c>
      <c r="C52" s="74">
        <v>50</v>
      </c>
      <c r="D52" s="75"/>
      <c r="E52" s="80"/>
      <c r="F52" s="81" t="str">
        <f t="shared" si="1"/>
        <v xml:space="preserve"> </v>
      </c>
      <c r="G52" s="84"/>
      <c r="I52" s="66"/>
      <c r="J52" s="69"/>
      <c r="K52" s="74" t="s">
        <v>20</v>
      </c>
      <c r="L52" s="1" t="s">
        <v>22</v>
      </c>
      <c r="M52" s="1" t="s">
        <v>19</v>
      </c>
      <c r="N52" s="66">
        <v>1.31</v>
      </c>
      <c r="O52" s="75">
        <v>0</v>
      </c>
    </row>
    <row r="53" spans="1:16" x14ac:dyDescent="0.35">
      <c r="A53" s="68" t="s">
        <v>25</v>
      </c>
      <c r="B53" t="s">
        <v>45</v>
      </c>
      <c r="C53" s="72">
        <v>54</v>
      </c>
      <c r="D53" s="73" t="s">
        <v>42</v>
      </c>
      <c r="E53" s="78">
        <v>10.5</v>
      </c>
      <c r="F53" s="79">
        <f t="shared" ref="F53:F84" si="2">IF(E53 = 0, " ", IF(E53&lt;2, E53/1, E53/3.28084))</f>
        <v>3.2003998975872032</v>
      </c>
      <c r="G53" s="64">
        <v>44.98</v>
      </c>
      <c r="H53" s="72">
        <v>1</v>
      </c>
      <c r="I53" s="79"/>
      <c r="K53" s="72" t="s">
        <v>20</v>
      </c>
      <c r="L53" t="s">
        <v>22</v>
      </c>
      <c r="M53" t="s">
        <v>19</v>
      </c>
      <c r="N53" s="64">
        <v>1.35</v>
      </c>
      <c r="O53" s="73">
        <v>0</v>
      </c>
    </row>
    <row r="54" spans="1:16" x14ac:dyDescent="0.35">
      <c r="A54" s="68" t="s">
        <v>25</v>
      </c>
      <c r="B54" t="s">
        <v>45</v>
      </c>
      <c r="C54" s="72">
        <v>55</v>
      </c>
      <c r="D54" s="73" t="s">
        <v>42</v>
      </c>
      <c r="E54" s="78">
        <v>8.1</v>
      </c>
      <c r="F54" s="79">
        <f t="shared" si="2"/>
        <v>2.4688799209958425</v>
      </c>
      <c r="G54" s="64">
        <v>27.34</v>
      </c>
      <c r="H54" s="72">
        <v>1</v>
      </c>
      <c r="I54" s="79"/>
      <c r="K54" s="72" t="s">
        <v>19</v>
      </c>
      <c r="M54" t="s">
        <v>19</v>
      </c>
      <c r="N54" s="64"/>
      <c r="O54" s="73"/>
    </row>
    <row r="55" spans="1:16" x14ac:dyDescent="0.35">
      <c r="A55" s="68" t="s">
        <v>25</v>
      </c>
      <c r="B55" t="s">
        <v>45</v>
      </c>
      <c r="C55" s="72">
        <v>56</v>
      </c>
      <c r="D55" s="73" t="s">
        <v>42</v>
      </c>
      <c r="E55" s="78">
        <v>10</v>
      </c>
      <c r="F55" s="79">
        <f t="shared" si="2"/>
        <v>3.047999902464003</v>
      </c>
      <c r="G55" s="64">
        <v>43.17</v>
      </c>
      <c r="H55" s="72">
        <v>1</v>
      </c>
      <c r="I55" s="79"/>
      <c r="J55">
        <v>55</v>
      </c>
      <c r="K55" s="72" t="s">
        <v>20</v>
      </c>
      <c r="L55" t="s">
        <v>22</v>
      </c>
      <c r="M55" t="s">
        <v>19</v>
      </c>
      <c r="N55" s="64">
        <v>1.04</v>
      </c>
      <c r="O55" s="73">
        <v>27</v>
      </c>
    </row>
    <row r="56" spans="1:16" x14ac:dyDescent="0.35">
      <c r="A56" s="68" t="s">
        <v>25</v>
      </c>
      <c r="B56" t="s">
        <v>45</v>
      </c>
      <c r="C56" s="72">
        <v>57</v>
      </c>
      <c r="D56" s="73" t="s">
        <v>42</v>
      </c>
      <c r="E56" s="78">
        <v>11.5</v>
      </c>
      <c r="F56" s="79">
        <f t="shared" si="2"/>
        <v>3.5051998878336037</v>
      </c>
      <c r="G56" s="64">
        <v>44.04</v>
      </c>
      <c r="H56" s="72">
        <v>2</v>
      </c>
      <c r="I56" s="79">
        <v>0.41</v>
      </c>
      <c r="K56" s="72" t="s">
        <v>19</v>
      </c>
      <c r="M56" t="s">
        <v>19</v>
      </c>
      <c r="N56" s="64"/>
      <c r="O56" s="73"/>
    </row>
    <row r="57" spans="1:16" x14ac:dyDescent="0.35">
      <c r="A57" s="68" t="s">
        <v>25</v>
      </c>
      <c r="B57" t="s">
        <v>45</v>
      </c>
      <c r="C57" s="72">
        <v>58</v>
      </c>
      <c r="D57" s="73" t="s">
        <v>42</v>
      </c>
      <c r="E57" s="78">
        <v>4.4000000000000004</v>
      </c>
      <c r="F57" s="79">
        <f t="shared" si="2"/>
        <v>1.3411199570841614</v>
      </c>
      <c r="G57" s="64">
        <v>9.42</v>
      </c>
      <c r="H57" s="72">
        <v>1</v>
      </c>
      <c r="I57" s="79"/>
      <c r="J57">
        <v>90</v>
      </c>
      <c r="K57" s="72" t="s">
        <v>19</v>
      </c>
      <c r="M57" t="s">
        <v>19</v>
      </c>
      <c r="N57" s="64"/>
      <c r="O57" s="73"/>
      <c r="P57" t="s">
        <v>46</v>
      </c>
    </row>
    <row r="58" spans="1:16" x14ac:dyDescent="0.35">
      <c r="A58" s="68" t="s">
        <v>25</v>
      </c>
      <c r="B58" t="s">
        <v>45</v>
      </c>
      <c r="C58" s="72">
        <v>59</v>
      </c>
      <c r="D58" s="73" t="s">
        <v>42</v>
      </c>
      <c r="E58" s="78">
        <v>5.5</v>
      </c>
      <c r="F58" s="79">
        <f t="shared" si="2"/>
        <v>1.6763999463552017</v>
      </c>
      <c r="G58" s="64">
        <v>13.03</v>
      </c>
      <c r="H58" s="72">
        <v>1</v>
      </c>
      <c r="I58" s="79"/>
      <c r="J58">
        <v>115</v>
      </c>
      <c r="K58" s="72" t="s">
        <v>20</v>
      </c>
      <c r="L58" t="s">
        <v>22</v>
      </c>
      <c r="M58" t="s">
        <v>19</v>
      </c>
      <c r="N58" s="64">
        <v>0.6</v>
      </c>
      <c r="O58" s="73">
        <v>0</v>
      </c>
    </row>
    <row r="59" spans="1:16" x14ac:dyDescent="0.35">
      <c r="A59" s="68" t="s">
        <v>25</v>
      </c>
      <c r="B59" t="s">
        <v>45</v>
      </c>
      <c r="C59" s="72">
        <v>60</v>
      </c>
      <c r="D59" s="73" t="s">
        <v>42</v>
      </c>
      <c r="E59" s="78">
        <v>14.8</v>
      </c>
      <c r="F59" s="79">
        <f t="shared" si="2"/>
        <v>4.5110398556467253</v>
      </c>
      <c r="G59" s="64">
        <v>72.45</v>
      </c>
      <c r="H59" s="72">
        <v>1</v>
      </c>
      <c r="I59" s="79"/>
      <c r="K59" s="72" t="s">
        <v>20</v>
      </c>
      <c r="L59" t="s">
        <v>22</v>
      </c>
      <c r="M59" t="s">
        <v>19</v>
      </c>
      <c r="N59" s="64">
        <v>1.1000000000000001</v>
      </c>
      <c r="O59" s="73">
        <v>0</v>
      </c>
    </row>
    <row r="60" spans="1:16" x14ac:dyDescent="0.35">
      <c r="A60" s="68" t="s">
        <v>25</v>
      </c>
      <c r="B60" t="s">
        <v>45</v>
      </c>
      <c r="C60" s="72">
        <v>61</v>
      </c>
      <c r="D60" s="73" t="s">
        <v>42</v>
      </c>
      <c r="E60" s="78">
        <v>12.3</v>
      </c>
      <c r="F60" s="79">
        <f t="shared" si="2"/>
        <v>3.7490398800307241</v>
      </c>
      <c r="G60" s="64">
        <v>49.92</v>
      </c>
      <c r="H60" s="72">
        <v>1</v>
      </c>
      <c r="I60" s="79"/>
      <c r="K60" s="72" t="s">
        <v>20</v>
      </c>
      <c r="L60" t="s">
        <v>22</v>
      </c>
      <c r="M60" t="s">
        <v>19</v>
      </c>
      <c r="N60" s="64">
        <v>1.3</v>
      </c>
      <c r="O60" s="73">
        <v>20</v>
      </c>
    </row>
    <row r="61" spans="1:16" x14ac:dyDescent="0.35">
      <c r="A61" s="68" t="s">
        <v>25</v>
      </c>
      <c r="B61" t="s">
        <v>45</v>
      </c>
      <c r="C61" s="72">
        <v>62</v>
      </c>
      <c r="D61" s="73" t="s">
        <v>42</v>
      </c>
      <c r="E61" s="78">
        <v>16.100000000000001</v>
      </c>
      <c r="F61" s="79">
        <f t="shared" si="2"/>
        <v>4.9072798429670454</v>
      </c>
      <c r="G61" s="64">
        <v>87.28</v>
      </c>
      <c r="H61" s="72">
        <v>1</v>
      </c>
      <c r="I61" s="79"/>
      <c r="K61" s="72" t="s">
        <v>20</v>
      </c>
      <c r="L61" t="s">
        <v>22</v>
      </c>
      <c r="M61" t="s">
        <v>19</v>
      </c>
      <c r="N61" s="64">
        <v>1.41</v>
      </c>
      <c r="O61" s="73">
        <v>0</v>
      </c>
    </row>
    <row r="62" spans="1:16" x14ac:dyDescent="0.35">
      <c r="A62" s="68" t="s">
        <v>25</v>
      </c>
      <c r="B62" t="s">
        <v>45</v>
      </c>
      <c r="C62" s="72">
        <v>63</v>
      </c>
      <c r="D62" s="73" t="s">
        <v>42</v>
      </c>
      <c r="E62" s="78">
        <v>11</v>
      </c>
      <c r="F62" s="79">
        <f t="shared" si="2"/>
        <v>3.3527998927104035</v>
      </c>
      <c r="G62" s="64">
        <v>34.47</v>
      </c>
      <c r="H62" s="72">
        <v>1</v>
      </c>
      <c r="I62" s="79"/>
      <c r="K62" s="72" t="s">
        <v>19</v>
      </c>
      <c r="M62" t="s">
        <v>19</v>
      </c>
      <c r="N62" s="64"/>
      <c r="O62" s="73"/>
    </row>
    <row r="63" spans="1:16" x14ac:dyDescent="0.35">
      <c r="A63" s="68" t="s">
        <v>25</v>
      </c>
      <c r="B63" t="s">
        <v>45</v>
      </c>
      <c r="C63" s="72">
        <v>64</v>
      </c>
      <c r="D63" s="73" t="s">
        <v>42</v>
      </c>
      <c r="E63" s="78">
        <v>4.8</v>
      </c>
      <c r="F63" s="79">
        <f t="shared" si="2"/>
        <v>1.4630399531827214</v>
      </c>
      <c r="G63" s="64">
        <v>12.05</v>
      </c>
      <c r="H63" s="72">
        <v>1</v>
      </c>
      <c r="I63" s="79"/>
      <c r="K63" s="72" t="s">
        <v>20</v>
      </c>
      <c r="L63" t="s">
        <v>22</v>
      </c>
      <c r="M63" t="s">
        <v>19</v>
      </c>
      <c r="N63" s="64">
        <v>0.54</v>
      </c>
      <c r="O63" s="73">
        <v>30</v>
      </c>
      <c r="P63" t="s">
        <v>47</v>
      </c>
    </row>
    <row r="64" spans="1:16" x14ac:dyDescent="0.35">
      <c r="A64" s="68" t="s">
        <v>25</v>
      </c>
      <c r="B64" t="s">
        <v>45</v>
      </c>
      <c r="C64" s="72">
        <v>64</v>
      </c>
      <c r="D64" s="73"/>
      <c r="E64" s="78"/>
      <c r="F64" s="79" t="str">
        <f t="shared" si="2"/>
        <v xml:space="preserve"> </v>
      </c>
      <c r="G64" s="64"/>
      <c r="H64" s="72"/>
      <c r="I64" s="79"/>
      <c r="K64" s="72" t="s">
        <v>20</v>
      </c>
      <c r="L64" t="s">
        <v>22</v>
      </c>
      <c r="M64" t="s">
        <v>19</v>
      </c>
      <c r="N64" s="64">
        <v>0.57999999999999996</v>
      </c>
      <c r="O64" s="73">
        <v>30</v>
      </c>
    </row>
    <row r="65" spans="1:16" x14ac:dyDescent="0.35">
      <c r="A65" s="68" t="s">
        <v>25</v>
      </c>
      <c r="B65" t="s">
        <v>45</v>
      </c>
      <c r="C65" s="72">
        <v>65</v>
      </c>
      <c r="D65" s="73" t="s">
        <v>42</v>
      </c>
      <c r="E65" s="78">
        <v>10.4</v>
      </c>
      <c r="F65" s="79">
        <f t="shared" si="2"/>
        <v>3.1699198985625632</v>
      </c>
      <c r="G65" s="64">
        <v>40.93</v>
      </c>
      <c r="H65" s="72">
        <v>1</v>
      </c>
      <c r="I65" s="79"/>
      <c r="K65" s="72" t="s">
        <v>20</v>
      </c>
      <c r="L65" t="s">
        <v>22</v>
      </c>
      <c r="M65" t="s">
        <v>19</v>
      </c>
      <c r="N65" s="64">
        <v>1.0900000000000001</v>
      </c>
      <c r="O65" s="73">
        <v>0</v>
      </c>
    </row>
    <row r="66" spans="1:16" x14ac:dyDescent="0.35">
      <c r="A66" s="68" t="s">
        <v>25</v>
      </c>
      <c r="B66" t="s">
        <v>45</v>
      </c>
      <c r="C66" s="72">
        <v>66</v>
      </c>
      <c r="D66" s="73" t="s">
        <v>42</v>
      </c>
      <c r="E66" s="78">
        <v>8</v>
      </c>
      <c r="F66" s="79">
        <f t="shared" si="2"/>
        <v>2.4383999219712025</v>
      </c>
      <c r="G66" s="64">
        <v>26.39</v>
      </c>
      <c r="H66" s="72">
        <v>1</v>
      </c>
      <c r="I66" s="79"/>
      <c r="K66" s="72" t="s">
        <v>19</v>
      </c>
      <c r="M66" t="s">
        <v>19</v>
      </c>
      <c r="N66" s="64"/>
      <c r="O66" s="73"/>
    </row>
    <row r="67" spans="1:16" x14ac:dyDescent="0.35">
      <c r="A67" s="68" t="s">
        <v>25</v>
      </c>
      <c r="B67" t="s">
        <v>45</v>
      </c>
      <c r="C67" s="72">
        <v>67</v>
      </c>
      <c r="D67" s="73" t="s">
        <v>42</v>
      </c>
      <c r="E67" s="78">
        <v>12.2</v>
      </c>
      <c r="F67" s="79">
        <f t="shared" si="2"/>
        <v>3.7185598810060836</v>
      </c>
      <c r="G67" s="64">
        <v>51.79</v>
      </c>
      <c r="H67" s="72">
        <v>1</v>
      </c>
      <c r="I67" s="79"/>
      <c r="K67" s="72" t="s">
        <v>19</v>
      </c>
      <c r="M67" t="s">
        <v>19</v>
      </c>
      <c r="N67" s="64"/>
      <c r="O67" s="73"/>
    </row>
    <row r="68" spans="1:16" x14ac:dyDescent="0.35">
      <c r="A68" s="68" t="s">
        <v>25</v>
      </c>
      <c r="B68" t="s">
        <v>45</v>
      </c>
      <c r="C68" s="72">
        <v>68</v>
      </c>
      <c r="D68" s="73" t="s">
        <v>42</v>
      </c>
      <c r="E68" s="78">
        <v>8</v>
      </c>
      <c r="F68" s="79">
        <f t="shared" si="2"/>
        <v>2.4383999219712025</v>
      </c>
      <c r="G68" s="64">
        <v>28.5</v>
      </c>
      <c r="H68" s="72">
        <v>1</v>
      </c>
      <c r="I68" s="79"/>
      <c r="K68" s="72" t="s">
        <v>20</v>
      </c>
      <c r="L68" t="s">
        <v>22</v>
      </c>
      <c r="M68" t="s">
        <v>19</v>
      </c>
      <c r="N68" s="64">
        <v>0.78</v>
      </c>
      <c r="O68" s="73">
        <v>0</v>
      </c>
    </row>
    <row r="69" spans="1:16" x14ac:dyDescent="0.35">
      <c r="A69" s="69" t="s">
        <v>25</v>
      </c>
      <c r="B69" s="1" t="s">
        <v>45</v>
      </c>
      <c r="C69" s="74">
        <v>69</v>
      </c>
      <c r="D69" s="75" t="s">
        <v>42</v>
      </c>
      <c r="E69" s="80">
        <v>9.1999999999999993</v>
      </c>
      <c r="F69" s="81">
        <f t="shared" si="2"/>
        <v>2.8041599102668826</v>
      </c>
      <c r="G69" s="66">
        <v>31.12</v>
      </c>
      <c r="H69" s="74">
        <v>1</v>
      </c>
      <c r="I69" s="81"/>
      <c r="J69" s="1"/>
      <c r="K69" s="74" t="s">
        <v>20</v>
      </c>
      <c r="L69" s="1" t="s">
        <v>21</v>
      </c>
      <c r="M69" s="1" t="s">
        <v>19</v>
      </c>
      <c r="N69" s="66">
        <v>0.97</v>
      </c>
      <c r="O69" s="75">
        <v>20</v>
      </c>
      <c r="P69" s="1"/>
    </row>
    <row r="70" spans="1:16" x14ac:dyDescent="0.35">
      <c r="A70" s="68" t="s">
        <v>110</v>
      </c>
      <c r="B70" s="68" t="s">
        <v>45</v>
      </c>
      <c r="C70" s="72">
        <v>50</v>
      </c>
      <c r="D70" s="73" t="s">
        <v>42</v>
      </c>
      <c r="E70" s="78">
        <v>11.9</v>
      </c>
      <c r="F70" s="79">
        <f t="shared" si="2"/>
        <v>3.6271198839321639</v>
      </c>
      <c r="G70" s="83">
        <v>50.83</v>
      </c>
      <c r="H70">
        <v>1</v>
      </c>
      <c r="I70" s="64"/>
      <c r="J70" s="68"/>
      <c r="K70" s="72" t="s">
        <v>20</v>
      </c>
      <c r="L70" t="s">
        <v>22</v>
      </c>
      <c r="M70" t="s">
        <v>19</v>
      </c>
      <c r="N70" s="64">
        <v>1.46</v>
      </c>
      <c r="O70" s="73">
        <v>0</v>
      </c>
    </row>
    <row r="71" spans="1:16" x14ac:dyDescent="0.35">
      <c r="A71" s="68" t="s">
        <v>110</v>
      </c>
      <c r="B71" s="68" t="s">
        <v>45</v>
      </c>
      <c r="C71" s="72">
        <v>51</v>
      </c>
      <c r="D71" s="73" t="s">
        <v>42</v>
      </c>
      <c r="E71" s="78">
        <v>10</v>
      </c>
      <c r="F71" s="79">
        <f t="shared" si="2"/>
        <v>3.047999902464003</v>
      </c>
      <c r="G71" s="83">
        <v>31.47</v>
      </c>
      <c r="H71">
        <v>1</v>
      </c>
      <c r="I71" s="64"/>
      <c r="J71" s="68"/>
      <c r="K71" s="72" t="s">
        <v>19</v>
      </c>
      <c r="M71" t="s">
        <v>19</v>
      </c>
      <c r="N71" s="64"/>
      <c r="O71" s="73"/>
    </row>
    <row r="72" spans="1:16" x14ac:dyDescent="0.35">
      <c r="A72" s="68" t="s">
        <v>110</v>
      </c>
      <c r="B72" s="68" t="s">
        <v>45</v>
      </c>
      <c r="C72" s="72">
        <v>52</v>
      </c>
      <c r="D72" s="73" t="s">
        <v>42</v>
      </c>
      <c r="E72" s="78">
        <v>6.9</v>
      </c>
      <c r="F72" s="79">
        <f t="shared" si="2"/>
        <v>2.1031199327001624</v>
      </c>
      <c r="G72" s="83">
        <v>13.44</v>
      </c>
      <c r="H72">
        <v>1</v>
      </c>
      <c r="I72" s="64"/>
      <c r="J72" s="68"/>
      <c r="K72" s="72" t="s">
        <v>19</v>
      </c>
      <c r="M72" t="s">
        <v>19</v>
      </c>
      <c r="N72" s="64"/>
      <c r="O72" s="73"/>
    </row>
    <row r="73" spans="1:16" x14ac:dyDescent="0.35">
      <c r="A73" s="68" t="s">
        <v>110</v>
      </c>
      <c r="B73" s="68" t="s">
        <v>45</v>
      </c>
      <c r="C73" s="72">
        <v>53</v>
      </c>
      <c r="D73" s="73" t="s">
        <v>42</v>
      </c>
      <c r="E73" s="78">
        <v>14</v>
      </c>
      <c r="F73" s="79">
        <f t="shared" si="2"/>
        <v>4.267199863449604</v>
      </c>
      <c r="G73" s="83">
        <v>61.44</v>
      </c>
      <c r="H73">
        <v>1</v>
      </c>
      <c r="I73" s="64"/>
      <c r="J73" s="68"/>
      <c r="K73" s="72" t="s">
        <v>19</v>
      </c>
      <c r="M73" t="s">
        <v>19</v>
      </c>
      <c r="N73" s="64"/>
      <c r="O73" s="73"/>
    </row>
    <row r="74" spans="1:16" x14ac:dyDescent="0.35">
      <c r="A74" s="68" t="s">
        <v>110</v>
      </c>
      <c r="B74" s="68" t="s">
        <v>45</v>
      </c>
      <c r="C74" s="72">
        <v>54</v>
      </c>
      <c r="D74" s="73" t="s">
        <v>42</v>
      </c>
      <c r="E74" s="78">
        <v>9.9</v>
      </c>
      <c r="F74" s="79">
        <f t="shared" si="2"/>
        <v>3.0175199034393634</v>
      </c>
      <c r="G74" s="83">
        <v>37.44</v>
      </c>
      <c r="H74">
        <v>1</v>
      </c>
      <c r="I74" s="64"/>
      <c r="J74" s="68"/>
      <c r="K74" s="72" t="s">
        <v>20</v>
      </c>
      <c r="L74" t="s">
        <v>21</v>
      </c>
      <c r="M74" t="s">
        <v>19</v>
      </c>
      <c r="N74" s="64">
        <v>0.2</v>
      </c>
      <c r="O74" s="73">
        <v>14</v>
      </c>
    </row>
    <row r="75" spans="1:16" x14ac:dyDescent="0.35">
      <c r="A75" s="68" t="s">
        <v>110</v>
      </c>
      <c r="B75" s="68" t="s">
        <v>45</v>
      </c>
      <c r="C75" s="72">
        <v>55</v>
      </c>
      <c r="D75" s="73" t="s">
        <v>42</v>
      </c>
      <c r="E75" s="78">
        <v>4.3</v>
      </c>
      <c r="F75" s="79">
        <f t="shared" si="2"/>
        <v>1.3106399580595214</v>
      </c>
      <c r="G75" s="83">
        <v>5.54</v>
      </c>
      <c r="H75">
        <v>1</v>
      </c>
      <c r="I75" s="64"/>
      <c r="J75" s="68"/>
      <c r="K75" s="72" t="s">
        <v>19</v>
      </c>
      <c r="M75" t="s">
        <v>19</v>
      </c>
      <c r="N75" s="64"/>
      <c r="O75" s="73"/>
    </row>
    <row r="76" spans="1:16" x14ac:dyDescent="0.35">
      <c r="A76" s="68" t="s">
        <v>110</v>
      </c>
      <c r="B76" s="68" t="s">
        <v>45</v>
      </c>
      <c r="C76" s="72">
        <v>56</v>
      </c>
      <c r="D76" s="73" t="s">
        <v>42</v>
      </c>
      <c r="E76" s="78">
        <v>8.3000000000000007</v>
      </c>
      <c r="F76" s="79">
        <f t="shared" si="2"/>
        <v>2.5298399190451226</v>
      </c>
      <c r="G76" s="83">
        <v>26.52</v>
      </c>
      <c r="H76">
        <v>1</v>
      </c>
      <c r="I76" s="64"/>
      <c r="J76" s="68"/>
      <c r="K76" s="72" t="s">
        <v>19</v>
      </c>
      <c r="M76" t="s">
        <v>19</v>
      </c>
      <c r="N76" s="64"/>
      <c r="O76" s="73"/>
    </row>
    <row r="77" spans="1:16" x14ac:dyDescent="0.35">
      <c r="A77" s="68" t="s">
        <v>110</v>
      </c>
      <c r="B77" s="68" t="s">
        <v>45</v>
      </c>
      <c r="C77" s="72">
        <v>57</v>
      </c>
      <c r="D77" s="73" t="s">
        <v>42</v>
      </c>
      <c r="E77" s="78">
        <v>7.7</v>
      </c>
      <c r="F77" s="79">
        <f t="shared" si="2"/>
        <v>2.3469599248972823</v>
      </c>
      <c r="G77" s="83">
        <v>18.68</v>
      </c>
      <c r="H77">
        <v>1</v>
      </c>
      <c r="I77" s="64"/>
      <c r="J77" s="68">
        <v>97</v>
      </c>
      <c r="K77" s="72" t="s">
        <v>19</v>
      </c>
      <c r="M77" t="s">
        <v>19</v>
      </c>
      <c r="N77" s="64"/>
      <c r="O77" s="73"/>
    </row>
    <row r="78" spans="1:16" x14ac:dyDescent="0.35">
      <c r="A78" s="68" t="s">
        <v>110</v>
      </c>
      <c r="B78" s="68" t="s">
        <v>45</v>
      </c>
      <c r="C78" s="72">
        <v>58</v>
      </c>
      <c r="D78" s="73" t="s">
        <v>42</v>
      </c>
      <c r="E78" s="78">
        <v>10.6</v>
      </c>
      <c r="F78" s="79">
        <f t="shared" si="2"/>
        <v>3.2308798966118433</v>
      </c>
      <c r="G78" s="83">
        <v>39.47</v>
      </c>
      <c r="H78">
        <v>1</v>
      </c>
      <c r="I78" s="64"/>
      <c r="J78" s="68"/>
      <c r="K78" s="72" t="s">
        <v>19</v>
      </c>
      <c r="M78" t="s">
        <v>19</v>
      </c>
      <c r="N78" s="64"/>
      <c r="O78" s="73"/>
    </row>
    <row r="79" spans="1:16" x14ac:dyDescent="0.35">
      <c r="A79" s="68" t="s">
        <v>110</v>
      </c>
      <c r="B79" s="68" t="s">
        <v>45</v>
      </c>
      <c r="C79" s="72">
        <v>59</v>
      </c>
      <c r="D79" s="73" t="s">
        <v>42</v>
      </c>
      <c r="E79" s="78">
        <v>9.8000000000000007</v>
      </c>
      <c r="F79" s="79">
        <f t="shared" si="2"/>
        <v>2.9870399044147233</v>
      </c>
      <c r="G79" s="83">
        <v>35.64</v>
      </c>
      <c r="H79">
        <v>1</v>
      </c>
      <c r="I79" s="64"/>
      <c r="J79" s="68"/>
      <c r="K79" s="72" t="s">
        <v>19</v>
      </c>
      <c r="M79" t="s">
        <v>19</v>
      </c>
      <c r="N79" s="64"/>
      <c r="O79" s="73"/>
    </row>
    <row r="80" spans="1:16" x14ac:dyDescent="0.35">
      <c r="A80" s="68" t="s">
        <v>110</v>
      </c>
      <c r="B80" s="68" t="s">
        <v>45</v>
      </c>
      <c r="C80" s="72">
        <v>60</v>
      </c>
      <c r="D80" s="73" t="s">
        <v>42</v>
      </c>
      <c r="E80" s="78">
        <v>11.9</v>
      </c>
      <c r="F80" s="79">
        <f t="shared" si="2"/>
        <v>3.6271198839321639</v>
      </c>
      <c r="G80" s="83">
        <v>58.19</v>
      </c>
      <c r="H80">
        <v>2</v>
      </c>
      <c r="I80" s="64">
        <v>3.23</v>
      </c>
      <c r="J80" s="68"/>
      <c r="K80" s="72" t="s">
        <v>19</v>
      </c>
      <c r="M80" t="s">
        <v>19</v>
      </c>
      <c r="N80" s="64"/>
      <c r="O80" s="73"/>
    </row>
    <row r="81" spans="1:16" x14ac:dyDescent="0.35">
      <c r="A81" s="68" t="s">
        <v>110</v>
      </c>
      <c r="B81" s="68" t="s">
        <v>45</v>
      </c>
      <c r="C81" s="72">
        <v>61</v>
      </c>
      <c r="D81" s="73" t="s">
        <v>42</v>
      </c>
      <c r="E81" s="78">
        <v>6.6</v>
      </c>
      <c r="F81" s="79">
        <f t="shared" si="2"/>
        <v>2.0116799356262418</v>
      </c>
      <c r="G81" s="83">
        <v>14.17</v>
      </c>
      <c r="H81">
        <v>2</v>
      </c>
      <c r="I81" s="64">
        <v>0.44</v>
      </c>
      <c r="J81" s="68"/>
      <c r="K81" s="72" t="s">
        <v>19</v>
      </c>
      <c r="M81" t="s">
        <v>19</v>
      </c>
      <c r="N81" s="64"/>
      <c r="O81" s="73"/>
    </row>
    <row r="82" spans="1:16" x14ac:dyDescent="0.35">
      <c r="A82" s="68" t="s">
        <v>110</v>
      </c>
      <c r="B82" s="68" t="s">
        <v>45</v>
      </c>
      <c r="C82" s="72">
        <v>62</v>
      </c>
      <c r="D82" s="73" t="s">
        <v>42</v>
      </c>
      <c r="E82" s="78">
        <v>10.1</v>
      </c>
      <c r="F82" s="79">
        <f t="shared" si="2"/>
        <v>3.078479901488643</v>
      </c>
      <c r="G82" s="83">
        <v>36.909999999999997</v>
      </c>
      <c r="H82">
        <v>1</v>
      </c>
      <c r="I82" s="64"/>
      <c r="J82" s="68"/>
      <c r="K82" s="72" t="s">
        <v>19</v>
      </c>
      <c r="M82" t="s">
        <v>19</v>
      </c>
      <c r="N82" s="64"/>
      <c r="O82" s="73"/>
    </row>
    <row r="83" spans="1:16" x14ac:dyDescent="0.35">
      <c r="A83" s="68" t="s">
        <v>110</v>
      </c>
      <c r="B83" s="68" t="s">
        <v>45</v>
      </c>
      <c r="C83" s="72">
        <v>63</v>
      </c>
      <c r="D83" s="73" t="s">
        <v>42</v>
      </c>
      <c r="E83" s="78">
        <v>11.1</v>
      </c>
      <c r="F83" s="79">
        <f t="shared" si="2"/>
        <v>3.3832798917350435</v>
      </c>
      <c r="G83" s="83">
        <v>44.86</v>
      </c>
      <c r="H83">
        <v>1</v>
      </c>
      <c r="I83" s="64"/>
      <c r="J83" s="68">
        <v>92</v>
      </c>
      <c r="K83" s="72" t="s">
        <v>19</v>
      </c>
      <c r="M83" t="s">
        <v>19</v>
      </c>
      <c r="N83" s="64"/>
      <c r="O83" s="73"/>
    </row>
    <row r="84" spans="1:16" x14ac:dyDescent="0.35">
      <c r="A84" s="68" t="s">
        <v>110</v>
      </c>
      <c r="B84" s="68" t="s">
        <v>45</v>
      </c>
      <c r="C84" s="72">
        <v>64</v>
      </c>
      <c r="D84" s="73" t="s">
        <v>42</v>
      </c>
      <c r="E84" s="78">
        <v>11.4</v>
      </c>
      <c r="F84" s="79">
        <f t="shared" si="2"/>
        <v>3.4747198888089637</v>
      </c>
      <c r="G84" s="83">
        <v>47.95</v>
      </c>
      <c r="H84">
        <v>1</v>
      </c>
      <c r="I84" s="64"/>
      <c r="J84" s="68"/>
      <c r="K84" s="72" t="s">
        <v>20</v>
      </c>
      <c r="L84" t="s">
        <v>22</v>
      </c>
      <c r="M84" t="s">
        <v>19</v>
      </c>
      <c r="N84" s="64">
        <v>0.78</v>
      </c>
      <c r="O84" s="73">
        <v>0</v>
      </c>
    </row>
    <row r="85" spans="1:16" x14ac:dyDescent="0.35">
      <c r="A85" s="68" t="s">
        <v>110</v>
      </c>
      <c r="B85" s="68" t="s">
        <v>45</v>
      </c>
      <c r="C85" s="72">
        <v>64</v>
      </c>
      <c r="D85" s="73"/>
      <c r="E85" s="78"/>
      <c r="F85" s="79" t="str">
        <f t="shared" ref="F85:F103" si="3">IF(E85 = 0, " ", IF(E85&lt;2, E85/1, E85/3.28084))</f>
        <v xml:space="preserve"> </v>
      </c>
      <c r="G85" s="83"/>
      <c r="I85" s="64"/>
      <c r="J85" s="68"/>
      <c r="K85" s="72" t="s">
        <v>20</v>
      </c>
      <c r="L85" t="s">
        <v>22</v>
      </c>
      <c r="M85" t="s">
        <v>19</v>
      </c>
      <c r="N85" s="64">
        <v>2.13</v>
      </c>
      <c r="O85" s="73">
        <v>0</v>
      </c>
    </row>
    <row r="86" spans="1:16" x14ac:dyDescent="0.35">
      <c r="A86" s="68" t="s">
        <v>110</v>
      </c>
      <c r="B86" s="68" t="s">
        <v>45</v>
      </c>
      <c r="C86" s="72">
        <v>65</v>
      </c>
      <c r="D86" s="73" t="s">
        <v>42</v>
      </c>
      <c r="E86" s="78">
        <v>9.3000000000000007</v>
      </c>
      <c r="F86" s="79">
        <f t="shared" si="3"/>
        <v>2.8346399092915231</v>
      </c>
      <c r="G86" s="83">
        <v>28.16</v>
      </c>
      <c r="H86">
        <v>1</v>
      </c>
      <c r="I86" s="64"/>
      <c r="J86" s="68"/>
      <c r="K86" s="72" t="s">
        <v>19</v>
      </c>
      <c r="M86" t="s">
        <v>19</v>
      </c>
      <c r="N86" s="64"/>
      <c r="O86" s="73"/>
    </row>
    <row r="87" spans="1:16" x14ac:dyDescent="0.35">
      <c r="A87" s="68" t="s">
        <v>110</v>
      </c>
      <c r="B87" s="68" t="s">
        <v>45</v>
      </c>
      <c r="C87" s="72">
        <v>66</v>
      </c>
      <c r="D87" s="73" t="s">
        <v>42</v>
      </c>
      <c r="E87" s="78">
        <v>10.199999999999999</v>
      </c>
      <c r="F87" s="79">
        <f t="shared" si="3"/>
        <v>3.1089599005132831</v>
      </c>
      <c r="G87" s="83">
        <v>27.85</v>
      </c>
      <c r="H87">
        <v>1</v>
      </c>
      <c r="I87" s="64"/>
      <c r="J87" s="68"/>
      <c r="K87" s="72" t="s">
        <v>19</v>
      </c>
      <c r="M87" t="s">
        <v>19</v>
      </c>
      <c r="N87" s="64"/>
      <c r="O87" s="73"/>
    </row>
    <row r="88" spans="1:16" x14ac:dyDescent="0.35">
      <c r="A88" s="69" t="s">
        <v>110</v>
      </c>
      <c r="B88" s="69" t="s">
        <v>45</v>
      </c>
      <c r="C88" s="74">
        <v>67</v>
      </c>
      <c r="D88" s="75" t="s">
        <v>42</v>
      </c>
      <c r="E88" s="80">
        <v>9.4</v>
      </c>
      <c r="F88" s="81">
        <f t="shared" si="3"/>
        <v>2.8651199083161631</v>
      </c>
      <c r="G88" s="84">
        <v>32.130000000000003</v>
      </c>
      <c r="H88" s="1">
        <v>1</v>
      </c>
      <c r="I88" s="66"/>
      <c r="J88" s="69"/>
      <c r="K88" s="74" t="s">
        <v>20</v>
      </c>
      <c r="L88" s="1" t="s">
        <v>22</v>
      </c>
      <c r="M88" s="1" t="s">
        <v>19</v>
      </c>
      <c r="N88" s="66">
        <v>0.4</v>
      </c>
      <c r="O88" s="75">
        <v>0</v>
      </c>
      <c r="P88" s="1"/>
    </row>
    <row r="89" spans="1:16" x14ac:dyDescent="0.35">
      <c r="A89" s="68" t="s">
        <v>126</v>
      </c>
      <c r="B89" s="68" t="s">
        <v>45</v>
      </c>
      <c r="C89" s="72">
        <v>51</v>
      </c>
      <c r="D89" s="73" t="s">
        <v>42</v>
      </c>
      <c r="E89" s="78">
        <v>4.5999999999999996</v>
      </c>
      <c r="F89" s="79">
        <f t="shared" si="3"/>
        <v>1.4020799551334413</v>
      </c>
      <c r="G89" s="83">
        <v>16.95</v>
      </c>
      <c r="H89">
        <v>1</v>
      </c>
      <c r="I89" s="64"/>
      <c r="J89" s="68">
        <v>117</v>
      </c>
      <c r="K89" s="72" t="s">
        <v>20</v>
      </c>
      <c r="L89" t="s">
        <v>21</v>
      </c>
      <c r="M89" t="s">
        <v>19</v>
      </c>
      <c r="N89" s="64">
        <v>0.9</v>
      </c>
      <c r="O89" s="73">
        <v>29</v>
      </c>
    </row>
    <row r="90" spans="1:16" x14ac:dyDescent="0.35">
      <c r="A90" s="68" t="s">
        <v>126</v>
      </c>
      <c r="B90" s="68" t="s">
        <v>45</v>
      </c>
      <c r="C90" s="72">
        <v>51</v>
      </c>
      <c r="D90" s="73"/>
      <c r="E90" s="78"/>
      <c r="F90" s="79" t="str">
        <f t="shared" si="3"/>
        <v xml:space="preserve"> </v>
      </c>
      <c r="G90" s="83"/>
      <c r="I90" s="64"/>
      <c r="J90" s="68"/>
      <c r="K90" s="72" t="s">
        <v>20</v>
      </c>
      <c r="L90" t="s">
        <v>22</v>
      </c>
      <c r="M90" t="s">
        <v>19</v>
      </c>
      <c r="N90" s="64">
        <v>1.02</v>
      </c>
      <c r="O90" s="73">
        <v>0</v>
      </c>
    </row>
    <row r="91" spans="1:16" x14ac:dyDescent="0.35">
      <c r="A91" s="68" t="s">
        <v>126</v>
      </c>
      <c r="B91" s="68" t="s">
        <v>45</v>
      </c>
      <c r="C91" s="72">
        <v>51</v>
      </c>
      <c r="D91" s="73"/>
      <c r="E91" s="78"/>
      <c r="F91" s="79" t="str">
        <f t="shared" si="3"/>
        <v xml:space="preserve"> </v>
      </c>
      <c r="G91" s="83"/>
      <c r="I91" s="64"/>
      <c r="J91" s="68"/>
      <c r="K91" s="72" t="s">
        <v>20</v>
      </c>
      <c r="L91" t="s">
        <v>22</v>
      </c>
      <c r="M91" t="s">
        <v>19</v>
      </c>
      <c r="N91" s="64">
        <v>0.24</v>
      </c>
      <c r="O91" s="73">
        <v>0</v>
      </c>
    </row>
    <row r="92" spans="1:16" x14ac:dyDescent="0.35">
      <c r="A92" s="68" t="s">
        <v>126</v>
      </c>
      <c r="B92" s="68" t="s">
        <v>45</v>
      </c>
      <c r="C92" s="72">
        <v>52</v>
      </c>
      <c r="D92" s="73" t="s">
        <v>42</v>
      </c>
      <c r="E92" s="78">
        <v>8.4</v>
      </c>
      <c r="F92" s="79">
        <f t="shared" si="3"/>
        <v>2.5603199180697627</v>
      </c>
      <c r="G92" s="83">
        <v>32.28</v>
      </c>
      <c r="H92">
        <v>1</v>
      </c>
      <c r="I92" s="64"/>
      <c r="J92" s="68"/>
      <c r="K92" s="72" t="s">
        <v>20</v>
      </c>
      <c r="L92" t="s">
        <v>22</v>
      </c>
      <c r="M92" t="s">
        <v>19</v>
      </c>
      <c r="N92" s="64">
        <v>1.07</v>
      </c>
      <c r="O92" s="73">
        <v>0</v>
      </c>
    </row>
    <row r="93" spans="1:16" x14ac:dyDescent="0.35">
      <c r="A93" s="68" t="s">
        <v>126</v>
      </c>
      <c r="B93" s="68" t="s">
        <v>45</v>
      </c>
      <c r="C93" s="72">
        <v>53</v>
      </c>
      <c r="D93" s="73" t="s">
        <v>42</v>
      </c>
      <c r="E93" s="78">
        <v>7</v>
      </c>
      <c r="F93" s="79">
        <f t="shared" si="3"/>
        <v>2.133599931724802</v>
      </c>
      <c r="G93" s="83">
        <v>20.58</v>
      </c>
      <c r="H93">
        <v>1</v>
      </c>
      <c r="I93" s="64"/>
      <c r="J93" s="68">
        <v>175</v>
      </c>
      <c r="K93" s="72" t="s">
        <v>20</v>
      </c>
      <c r="L93" t="s">
        <v>22</v>
      </c>
      <c r="M93" t="s">
        <v>19</v>
      </c>
      <c r="N93" s="64">
        <v>0.74</v>
      </c>
      <c r="O93" s="73">
        <v>0</v>
      </c>
    </row>
    <row r="94" spans="1:16" x14ac:dyDescent="0.35">
      <c r="A94" s="68" t="s">
        <v>126</v>
      </c>
      <c r="B94" s="68" t="s">
        <v>45</v>
      </c>
      <c r="C94" s="72">
        <v>54</v>
      </c>
      <c r="D94" s="73" t="s">
        <v>42</v>
      </c>
      <c r="E94" s="78">
        <v>8</v>
      </c>
      <c r="F94" s="79">
        <f t="shared" si="3"/>
        <v>2.4383999219712025</v>
      </c>
      <c r="G94" s="83">
        <v>33.840000000000003</v>
      </c>
      <c r="H94">
        <v>2</v>
      </c>
      <c r="I94" s="64">
        <v>1.1299999999999999</v>
      </c>
      <c r="J94" s="68"/>
      <c r="K94" s="72" t="s">
        <v>20</v>
      </c>
      <c r="L94" t="s">
        <v>22</v>
      </c>
      <c r="M94" t="s">
        <v>19</v>
      </c>
      <c r="N94" s="64">
        <v>3.9</v>
      </c>
      <c r="O94" s="73">
        <v>0</v>
      </c>
    </row>
    <row r="95" spans="1:16" x14ac:dyDescent="0.35">
      <c r="A95" s="68" t="s">
        <v>126</v>
      </c>
      <c r="B95" s="68" t="s">
        <v>45</v>
      </c>
      <c r="C95" s="72">
        <v>54</v>
      </c>
      <c r="D95" s="73"/>
      <c r="E95" s="78"/>
      <c r="F95" s="79" t="str">
        <f t="shared" si="3"/>
        <v xml:space="preserve"> </v>
      </c>
      <c r="G95" s="83"/>
      <c r="I95" s="64"/>
      <c r="J95" s="68"/>
      <c r="K95" s="72" t="s">
        <v>20</v>
      </c>
      <c r="L95" t="s">
        <v>22</v>
      </c>
      <c r="M95" t="s">
        <v>19</v>
      </c>
      <c r="N95" s="64">
        <v>1.02</v>
      </c>
      <c r="O95" s="73">
        <v>0</v>
      </c>
    </row>
    <row r="96" spans="1:16" x14ac:dyDescent="0.35">
      <c r="A96" s="68" t="s">
        <v>126</v>
      </c>
      <c r="B96" s="68" t="s">
        <v>45</v>
      </c>
      <c r="C96" s="72">
        <v>55</v>
      </c>
      <c r="D96" s="73" t="s">
        <v>42</v>
      </c>
      <c r="E96" s="78">
        <v>4.9000000000000004</v>
      </c>
      <c r="F96" s="79">
        <f t="shared" si="3"/>
        <v>1.4935199522073617</v>
      </c>
      <c r="G96" s="83">
        <v>12.38</v>
      </c>
      <c r="H96">
        <v>1</v>
      </c>
      <c r="I96" s="64"/>
      <c r="J96" s="68"/>
      <c r="K96" s="72" t="s">
        <v>20</v>
      </c>
      <c r="L96" t="s">
        <v>22</v>
      </c>
      <c r="M96" t="s">
        <v>19</v>
      </c>
      <c r="N96" s="64">
        <v>0.7</v>
      </c>
      <c r="O96" s="73">
        <v>10</v>
      </c>
    </row>
    <row r="97" spans="1:16" x14ac:dyDescent="0.35">
      <c r="A97" s="68" t="s">
        <v>126</v>
      </c>
      <c r="B97" s="68" t="s">
        <v>45</v>
      </c>
      <c r="C97" s="72">
        <v>55</v>
      </c>
      <c r="D97" s="73"/>
      <c r="E97" s="78"/>
      <c r="F97" s="79" t="str">
        <f t="shared" si="3"/>
        <v xml:space="preserve"> </v>
      </c>
      <c r="G97" s="83"/>
      <c r="I97" s="64"/>
      <c r="J97" s="68"/>
      <c r="K97" s="72" t="s">
        <v>20</v>
      </c>
      <c r="L97" t="s">
        <v>22</v>
      </c>
      <c r="M97" t="s">
        <v>19</v>
      </c>
      <c r="N97" s="64">
        <v>0.18</v>
      </c>
      <c r="O97" s="73">
        <v>0</v>
      </c>
    </row>
    <row r="98" spans="1:16" x14ac:dyDescent="0.35">
      <c r="A98" s="68" t="s">
        <v>126</v>
      </c>
      <c r="B98" s="68" t="s">
        <v>45</v>
      </c>
      <c r="C98" s="72">
        <v>56</v>
      </c>
      <c r="D98" s="73" t="s">
        <v>42</v>
      </c>
      <c r="E98" s="78">
        <v>10.3</v>
      </c>
      <c r="F98" s="79">
        <f t="shared" si="3"/>
        <v>3.1394398995379236</v>
      </c>
      <c r="G98" s="83">
        <v>35.36</v>
      </c>
      <c r="H98">
        <v>2</v>
      </c>
      <c r="I98" s="64">
        <v>0.9</v>
      </c>
      <c r="J98" s="68"/>
      <c r="K98" s="72" t="s">
        <v>20</v>
      </c>
      <c r="L98" t="s">
        <v>22</v>
      </c>
      <c r="M98" t="s">
        <v>19</v>
      </c>
      <c r="N98" s="64">
        <v>0.9</v>
      </c>
      <c r="O98" s="73">
        <v>0</v>
      </c>
    </row>
    <row r="99" spans="1:16" x14ac:dyDescent="0.35">
      <c r="A99" s="68" t="s">
        <v>126</v>
      </c>
      <c r="B99" s="68" t="s">
        <v>45</v>
      </c>
      <c r="C99" s="72">
        <v>57</v>
      </c>
      <c r="D99" s="73" t="s">
        <v>42</v>
      </c>
      <c r="E99" s="78">
        <v>5.7</v>
      </c>
      <c r="F99" s="79">
        <f t="shared" si="3"/>
        <v>1.7373599444044818</v>
      </c>
      <c r="G99" s="83">
        <v>8.98</v>
      </c>
      <c r="H99">
        <v>1</v>
      </c>
      <c r="I99" s="64"/>
      <c r="J99" s="68"/>
      <c r="K99" s="72" t="s">
        <v>20</v>
      </c>
      <c r="L99" t="s">
        <v>22</v>
      </c>
      <c r="M99" t="s">
        <v>19</v>
      </c>
      <c r="N99" s="64">
        <v>0.49</v>
      </c>
      <c r="O99" s="73">
        <v>0</v>
      </c>
    </row>
    <row r="100" spans="1:16" x14ac:dyDescent="0.35">
      <c r="A100" s="68" t="s">
        <v>126</v>
      </c>
      <c r="B100" s="68" t="s">
        <v>45</v>
      </c>
      <c r="C100" s="72">
        <v>58</v>
      </c>
      <c r="D100" s="73" t="s">
        <v>42</v>
      </c>
      <c r="E100" s="78">
        <v>4.8</v>
      </c>
      <c r="F100" s="79">
        <f t="shared" si="3"/>
        <v>1.4630399531827214</v>
      </c>
      <c r="G100" s="83">
        <v>9.41</v>
      </c>
      <c r="H100">
        <v>1</v>
      </c>
      <c r="I100" s="64"/>
      <c r="J100" s="68">
        <v>120</v>
      </c>
      <c r="K100" s="72" t="s">
        <v>20</v>
      </c>
      <c r="L100" t="s">
        <v>21</v>
      </c>
      <c r="M100" t="s">
        <v>19</v>
      </c>
      <c r="N100" s="64">
        <v>0.79</v>
      </c>
      <c r="O100" s="73">
        <v>27</v>
      </c>
      <c r="P100" t="s">
        <v>148</v>
      </c>
    </row>
    <row r="101" spans="1:16" x14ac:dyDescent="0.35">
      <c r="A101" s="68" t="s">
        <v>126</v>
      </c>
      <c r="B101" s="68" t="s">
        <v>45</v>
      </c>
      <c r="C101" s="72">
        <v>59</v>
      </c>
      <c r="D101" s="73" t="s">
        <v>42</v>
      </c>
      <c r="E101" s="78">
        <v>6.7</v>
      </c>
      <c r="F101" s="79">
        <f t="shared" si="3"/>
        <v>2.0421599346508823</v>
      </c>
      <c r="G101" s="83">
        <v>16.27</v>
      </c>
      <c r="H101">
        <v>1</v>
      </c>
      <c r="I101" s="64"/>
      <c r="J101" s="68"/>
      <c r="K101" s="72" t="s">
        <v>20</v>
      </c>
      <c r="L101" t="s">
        <v>22</v>
      </c>
      <c r="M101" t="s">
        <v>19</v>
      </c>
      <c r="N101" s="64">
        <v>0.42</v>
      </c>
      <c r="O101" s="73">
        <v>20</v>
      </c>
    </row>
    <row r="102" spans="1:16" x14ac:dyDescent="0.35">
      <c r="A102" s="68" t="s">
        <v>126</v>
      </c>
      <c r="B102" s="68" t="s">
        <v>45</v>
      </c>
      <c r="C102" s="72">
        <v>59</v>
      </c>
      <c r="D102" s="73"/>
      <c r="E102" s="78"/>
      <c r="F102" s="79" t="str">
        <f t="shared" si="3"/>
        <v xml:space="preserve"> </v>
      </c>
      <c r="G102" s="83"/>
      <c r="I102" s="64"/>
      <c r="J102" s="68"/>
      <c r="K102" s="72" t="s">
        <v>20</v>
      </c>
      <c r="L102" t="s">
        <v>22</v>
      </c>
      <c r="M102" t="s">
        <v>19</v>
      </c>
      <c r="N102" s="64">
        <v>0.76</v>
      </c>
      <c r="O102" s="73">
        <v>0</v>
      </c>
    </row>
    <row r="103" spans="1:16" x14ac:dyDescent="0.35">
      <c r="A103" s="68" t="s">
        <v>126</v>
      </c>
      <c r="B103" s="68" t="s">
        <v>45</v>
      </c>
      <c r="C103" s="72">
        <v>59</v>
      </c>
      <c r="D103" s="73"/>
      <c r="E103" s="78"/>
      <c r="F103" s="79" t="str">
        <f t="shared" si="3"/>
        <v xml:space="preserve"> </v>
      </c>
      <c r="G103" s="83"/>
      <c r="I103" s="64"/>
      <c r="J103" s="68"/>
      <c r="K103" s="72" t="s">
        <v>20</v>
      </c>
      <c r="L103" t="s">
        <v>23</v>
      </c>
      <c r="M103" t="s">
        <v>19</v>
      </c>
      <c r="N103" s="64">
        <v>0</v>
      </c>
      <c r="O103" s="73">
        <v>260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6971D-795C-4AD3-AA00-FEECCB5F5DA0}">
  <dimension ref="A1:H51"/>
  <sheetViews>
    <sheetView workbookViewId="0">
      <selection activeCell="H14" sqref="H14"/>
    </sheetView>
  </sheetViews>
  <sheetFormatPr defaultRowHeight="14.5" x14ac:dyDescent="0.35"/>
  <cols>
    <col min="1" max="1" width="10.08984375" bestFit="1" customWidth="1"/>
    <col min="2" max="2" width="9.36328125" bestFit="1" customWidth="1"/>
    <col min="3" max="3" width="5.7265625" bestFit="1" customWidth="1"/>
    <col min="4" max="4" width="7.453125" bestFit="1" customWidth="1"/>
    <col min="5" max="5" width="6.26953125" style="72" bestFit="1" customWidth="1"/>
    <col min="6" max="6" width="6.26953125" bestFit="1" customWidth="1"/>
    <col min="7" max="7" width="8.7265625" style="73"/>
    <col min="8" max="15" width="78.08984375" customWidth="1"/>
  </cols>
  <sheetData>
    <row r="1" spans="1:8" s="6" customFormat="1" ht="29.5" thickBot="1" x14ac:dyDescent="0.4">
      <c r="A1" s="67" t="s">
        <v>24</v>
      </c>
      <c r="B1" s="67" t="s">
        <v>2</v>
      </c>
      <c r="C1" s="70" t="s">
        <v>7</v>
      </c>
      <c r="D1" s="58" t="s">
        <v>41</v>
      </c>
      <c r="E1" s="76" t="s">
        <v>8</v>
      </c>
      <c r="F1" s="77" t="s">
        <v>9</v>
      </c>
      <c r="G1" s="82" t="s">
        <v>12</v>
      </c>
      <c r="H1" s="58" t="s">
        <v>5</v>
      </c>
    </row>
    <row r="2" spans="1:8" x14ac:dyDescent="0.35">
      <c r="A2" s="68" t="s">
        <v>25</v>
      </c>
      <c r="B2" t="s">
        <v>48</v>
      </c>
      <c r="C2" s="72">
        <v>19</v>
      </c>
      <c r="D2" t="s">
        <v>40</v>
      </c>
      <c r="E2" s="78">
        <v>18.899999999999999</v>
      </c>
      <c r="F2" s="79">
        <f t="shared" ref="F2:F51" si="0">IF(E2 = 0, " ", IF(E2&lt;2, E2/1, E2/3.28084))</f>
        <v>5.7607198156569659</v>
      </c>
      <c r="G2" s="79">
        <v>96.52</v>
      </c>
    </row>
    <row r="3" spans="1:8" x14ac:dyDescent="0.35">
      <c r="A3" s="68" t="s">
        <v>25</v>
      </c>
      <c r="B3" t="s">
        <v>48</v>
      </c>
      <c r="C3" s="72">
        <v>20</v>
      </c>
      <c r="D3" t="s">
        <v>40</v>
      </c>
      <c r="E3" s="78">
        <v>21.6</v>
      </c>
      <c r="F3" s="79">
        <f t="shared" si="0"/>
        <v>6.5836797893222476</v>
      </c>
      <c r="G3" s="79">
        <v>86.36</v>
      </c>
    </row>
    <row r="4" spans="1:8" x14ac:dyDescent="0.35">
      <c r="A4" s="68" t="s">
        <v>25</v>
      </c>
      <c r="B4" t="s">
        <v>48</v>
      </c>
      <c r="C4" s="72">
        <v>21</v>
      </c>
      <c r="D4" t="s">
        <v>40</v>
      </c>
      <c r="E4" s="78">
        <v>21.8</v>
      </c>
      <c r="F4" s="79">
        <f t="shared" si="0"/>
        <v>6.6446397873715268</v>
      </c>
      <c r="G4" s="79">
        <v>111.76</v>
      </c>
    </row>
    <row r="5" spans="1:8" x14ac:dyDescent="0.35">
      <c r="A5" s="68" t="s">
        <v>25</v>
      </c>
      <c r="B5" t="s">
        <v>48</v>
      </c>
      <c r="C5" s="72">
        <v>22</v>
      </c>
      <c r="D5" t="s">
        <v>40</v>
      </c>
      <c r="E5" s="78">
        <v>13.8</v>
      </c>
      <c r="F5" s="79">
        <f t="shared" si="0"/>
        <v>4.2062398654003248</v>
      </c>
      <c r="G5" s="79">
        <v>63.94</v>
      </c>
    </row>
    <row r="6" spans="1:8" x14ac:dyDescent="0.35">
      <c r="A6" s="68" t="s">
        <v>25</v>
      </c>
      <c r="B6" t="s">
        <v>48</v>
      </c>
      <c r="C6" s="72">
        <v>23</v>
      </c>
      <c r="D6" t="s">
        <v>40</v>
      </c>
      <c r="E6" s="78">
        <v>14.7</v>
      </c>
      <c r="F6" s="79">
        <f t="shared" si="0"/>
        <v>4.4805598566220848</v>
      </c>
      <c r="G6" s="79">
        <v>48.43</v>
      </c>
    </row>
    <row r="7" spans="1:8" x14ac:dyDescent="0.35">
      <c r="A7" s="68" t="s">
        <v>25</v>
      </c>
      <c r="B7" t="s">
        <v>48</v>
      </c>
      <c r="C7" s="72">
        <v>24</v>
      </c>
      <c r="D7" t="s">
        <v>40</v>
      </c>
      <c r="E7" s="78">
        <v>11.8</v>
      </c>
      <c r="F7" s="79">
        <f t="shared" si="0"/>
        <v>3.5966398849075238</v>
      </c>
      <c r="G7" s="79">
        <v>43.6</v>
      </c>
    </row>
    <row r="8" spans="1:8" x14ac:dyDescent="0.35">
      <c r="A8" s="68" t="s">
        <v>25</v>
      </c>
      <c r="B8" t="s">
        <v>48</v>
      </c>
      <c r="C8" s="72">
        <v>25</v>
      </c>
      <c r="D8" t="s">
        <v>40</v>
      </c>
      <c r="E8" s="78">
        <v>10.6</v>
      </c>
      <c r="F8" s="79">
        <f t="shared" si="0"/>
        <v>3.2308798966118433</v>
      </c>
      <c r="G8" s="79">
        <v>47.7</v>
      </c>
    </row>
    <row r="9" spans="1:8" x14ac:dyDescent="0.35">
      <c r="A9" s="68" t="s">
        <v>25</v>
      </c>
      <c r="B9" t="s">
        <v>48</v>
      </c>
      <c r="C9" s="72">
        <v>26</v>
      </c>
      <c r="D9" t="s">
        <v>40</v>
      </c>
      <c r="E9" s="78">
        <v>14.4</v>
      </c>
      <c r="F9" s="79">
        <f t="shared" si="0"/>
        <v>4.3891198595481642</v>
      </c>
      <c r="G9" s="79">
        <v>52.59</v>
      </c>
    </row>
    <row r="10" spans="1:8" x14ac:dyDescent="0.35">
      <c r="A10" s="68" t="s">
        <v>25</v>
      </c>
      <c r="B10" t="s">
        <v>48</v>
      </c>
      <c r="C10" s="72">
        <v>27</v>
      </c>
      <c r="D10" t="s">
        <v>40</v>
      </c>
      <c r="E10" s="78">
        <v>12.4</v>
      </c>
      <c r="F10" s="79">
        <f t="shared" si="0"/>
        <v>3.7795198790553641</v>
      </c>
      <c r="G10" s="79">
        <v>72.12</v>
      </c>
      <c r="H10" t="s">
        <v>39</v>
      </c>
    </row>
    <row r="11" spans="1:8" x14ac:dyDescent="0.35">
      <c r="A11" s="68" t="s">
        <v>25</v>
      </c>
      <c r="B11" t="s">
        <v>48</v>
      </c>
      <c r="C11" s="72">
        <v>28</v>
      </c>
      <c r="D11" t="s">
        <v>40</v>
      </c>
      <c r="E11" s="78">
        <v>16.5</v>
      </c>
      <c r="F11" s="79">
        <f t="shared" si="0"/>
        <v>5.0291998390656047</v>
      </c>
      <c r="G11" s="79">
        <v>57.74</v>
      </c>
    </row>
    <row r="12" spans="1:8" x14ac:dyDescent="0.35">
      <c r="A12" s="68" t="s">
        <v>25</v>
      </c>
      <c r="B12" t="s">
        <v>48</v>
      </c>
      <c r="C12" s="72">
        <v>29</v>
      </c>
      <c r="D12" t="s">
        <v>40</v>
      </c>
      <c r="E12" s="78">
        <v>16.600000000000001</v>
      </c>
      <c r="F12" s="79">
        <f t="shared" si="0"/>
        <v>5.0596798380902452</v>
      </c>
      <c r="G12" s="79">
        <v>64.02</v>
      </c>
    </row>
    <row r="13" spans="1:8" x14ac:dyDescent="0.35">
      <c r="A13" s="68" t="s">
        <v>25</v>
      </c>
      <c r="B13" t="s">
        <v>48</v>
      </c>
      <c r="C13" s="72">
        <v>30</v>
      </c>
      <c r="D13" t="s">
        <v>40</v>
      </c>
      <c r="E13" s="78">
        <v>15.9</v>
      </c>
      <c r="F13" s="79">
        <f t="shared" si="0"/>
        <v>4.8463198449177654</v>
      </c>
      <c r="G13" s="79">
        <v>48.62</v>
      </c>
    </row>
    <row r="14" spans="1:8" x14ac:dyDescent="0.35">
      <c r="A14" s="68" t="s">
        <v>25</v>
      </c>
      <c r="B14" t="s">
        <v>48</v>
      </c>
      <c r="C14" s="72">
        <v>31</v>
      </c>
      <c r="D14" t="s">
        <v>40</v>
      </c>
      <c r="E14" s="78">
        <v>16.899999999999999</v>
      </c>
      <c r="F14" s="79">
        <f t="shared" si="0"/>
        <v>5.1511198351641649</v>
      </c>
      <c r="G14" s="79">
        <v>57.94</v>
      </c>
    </row>
    <row r="15" spans="1:8" x14ac:dyDescent="0.35">
      <c r="A15" s="68" t="s">
        <v>25</v>
      </c>
      <c r="B15" t="s">
        <v>48</v>
      </c>
      <c r="C15" s="72">
        <v>32</v>
      </c>
      <c r="D15" t="s">
        <v>40</v>
      </c>
      <c r="E15" s="78">
        <v>12.2</v>
      </c>
      <c r="F15" s="79">
        <f t="shared" si="0"/>
        <v>3.7185598810060836</v>
      </c>
      <c r="G15" s="79">
        <v>42.55</v>
      </c>
    </row>
    <row r="16" spans="1:8" x14ac:dyDescent="0.35">
      <c r="A16" s="68" t="s">
        <v>25</v>
      </c>
      <c r="B16" t="s">
        <v>48</v>
      </c>
      <c r="C16" s="72">
        <v>33</v>
      </c>
      <c r="D16" t="s">
        <v>40</v>
      </c>
      <c r="E16" s="78">
        <v>13.1</v>
      </c>
      <c r="F16" s="79">
        <f t="shared" si="0"/>
        <v>3.992879872227844</v>
      </c>
      <c r="G16" s="79">
        <v>43</v>
      </c>
    </row>
    <row r="17" spans="1:7" x14ac:dyDescent="0.35">
      <c r="A17" s="68" t="s">
        <v>25</v>
      </c>
      <c r="B17" t="s">
        <v>48</v>
      </c>
      <c r="C17" s="72">
        <v>34</v>
      </c>
      <c r="D17" t="s">
        <v>40</v>
      </c>
      <c r="E17" s="78">
        <v>15.3</v>
      </c>
      <c r="F17" s="79">
        <f t="shared" si="0"/>
        <v>4.6634398507699251</v>
      </c>
      <c r="G17" s="79">
        <v>43.03</v>
      </c>
    </row>
    <row r="18" spans="1:7" x14ac:dyDescent="0.35">
      <c r="A18" s="68" t="s">
        <v>25</v>
      </c>
      <c r="B18" t="s">
        <v>48</v>
      </c>
      <c r="C18" s="72">
        <v>35</v>
      </c>
      <c r="D18" t="s">
        <v>40</v>
      </c>
      <c r="E18" s="78">
        <v>13.9</v>
      </c>
      <c r="F18" s="79">
        <f t="shared" si="0"/>
        <v>4.2367198644249644</v>
      </c>
      <c r="G18" s="79">
        <v>59.29</v>
      </c>
    </row>
    <row r="19" spans="1:7" x14ac:dyDescent="0.35">
      <c r="A19" s="68" t="s">
        <v>25</v>
      </c>
      <c r="B19" t="s">
        <v>48</v>
      </c>
      <c r="C19" s="72">
        <v>36</v>
      </c>
      <c r="D19" t="s">
        <v>40</v>
      </c>
      <c r="E19" s="78">
        <v>15.8</v>
      </c>
      <c r="F19" s="79">
        <f t="shared" si="0"/>
        <v>4.8158398458931249</v>
      </c>
      <c r="G19" s="79">
        <v>60.69</v>
      </c>
    </row>
    <row r="20" spans="1:7" s="1" customFormat="1" x14ac:dyDescent="0.35">
      <c r="A20" s="69" t="s">
        <v>25</v>
      </c>
      <c r="B20" s="1" t="s">
        <v>48</v>
      </c>
      <c r="C20" s="74">
        <v>37</v>
      </c>
      <c r="D20" s="1" t="s">
        <v>40</v>
      </c>
      <c r="E20" s="80">
        <v>17.399999999999999</v>
      </c>
      <c r="F20" s="81">
        <f t="shared" si="0"/>
        <v>5.3035198302873647</v>
      </c>
      <c r="G20" s="81">
        <v>76.290000000000006</v>
      </c>
    </row>
    <row r="21" spans="1:7" x14ac:dyDescent="0.35">
      <c r="A21" s="68" t="s">
        <v>110</v>
      </c>
      <c r="B21" s="68" t="s">
        <v>48</v>
      </c>
      <c r="C21" s="72">
        <v>106</v>
      </c>
      <c r="D21" t="s">
        <v>40</v>
      </c>
      <c r="E21" s="78">
        <v>15.8</v>
      </c>
      <c r="F21" s="79">
        <f t="shared" si="0"/>
        <v>4.8158398458931249</v>
      </c>
      <c r="G21" s="83">
        <v>56.8</v>
      </c>
    </row>
    <row r="22" spans="1:7" x14ac:dyDescent="0.35">
      <c r="A22" s="68" t="s">
        <v>110</v>
      </c>
      <c r="B22" s="68" t="s">
        <v>48</v>
      </c>
      <c r="C22" s="72">
        <v>107</v>
      </c>
      <c r="D22" t="s">
        <v>40</v>
      </c>
      <c r="E22" s="78">
        <v>14.5</v>
      </c>
      <c r="F22" s="79">
        <f t="shared" si="0"/>
        <v>4.4195998585728047</v>
      </c>
      <c r="G22" s="83">
        <v>12.98</v>
      </c>
    </row>
    <row r="23" spans="1:7" x14ac:dyDescent="0.35">
      <c r="A23" s="68" t="s">
        <v>110</v>
      </c>
      <c r="B23" s="68" t="s">
        <v>48</v>
      </c>
      <c r="C23" s="72">
        <v>108</v>
      </c>
      <c r="D23" t="s">
        <v>40</v>
      </c>
      <c r="E23" s="78">
        <v>13.3</v>
      </c>
      <c r="F23" s="79">
        <f t="shared" si="0"/>
        <v>4.0538398702771241</v>
      </c>
      <c r="G23" s="83">
        <v>62.26</v>
      </c>
    </row>
    <row r="24" spans="1:7" x14ac:dyDescent="0.35">
      <c r="A24" s="68" t="s">
        <v>110</v>
      </c>
      <c r="B24" s="68" t="s">
        <v>48</v>
      </c>
      <c r="C24" s="72">
        <v>109</v>
      </c>
      <c r="D24" t="s">
        <v>40</v>
      </c>
      <c r="E24" s="78">
        <v>11.2</v>
      </c>
      <c r="F24" s="79">
        <f t="shared" si="0"/>
        <v>3.4137598907596831</v>
      </c>
      <c r="G24" s="83">
        <v>50.43</v>
      </c>
    </row>
    <row r="25" spans="1:7" x14ac:dyDescent="0.35">
      <c r="A25" s="68" t="s">
        <v>110</v>
      </c>
      <c r="B25" s="68" t="s">
        <v>48</v>
      </c>
      <c r="C25" s="72">
        <v>110</v>
      </c>
      <c r="D25" t="s">
        <v>40</v>
      </c>
      <c r="E25" s="78">
        <v>9</v>
      </c>
      <c r="F25" s="79">
        <f t="shared" si="0"/>
        <v>2.743199912217603</v>
      </c>
      <c r="G25" s="83">
        <v>29.02</v>
      </c>
    </row>
    <row r="26" spans="1:7" x14ac:dyDescent="0.35">
      <c r="A26" s="68" t="s">
        <v>110</v>
      </c>
      <c r="B26" s="68" t="s">
        <v>48</v>
      </c>
      <c r="C26" s="72">
        <v>111</v>
      </c>
      <c r="D26" t="s">
        <v>40</v>
      </c>
      <c r="E26" s="78">
        <v>10.199999999999999</v>
      </c>
      <c r="F26" s="79">
        <f t="shared" si="0"/>
        <v>3.1089599005132831</v>
      </c>
      <c r="G26" s="83">
        <v>44.75</v>
      </c>
    </row>
    <row r="27" spans="1:7" x14ac:dyDescent="0.35">
      <c r="A27" s="68" t="s">
        <v>110</v>
      </c>
      <c r="B27" s="68" t="s">
        <v>48</v>
      </c>
      <c r="C27" s="72">
        <v>112</v>
      </c>
      <c r="D27" t="s">
        <v>40</v>
      </c>
      <c r="E27" s="78">
        <v>10.9</v>
      </c>
      <c r="F27" s="79">
        <f t="shared" si="0"/>
        <v>3.3223198936857634</v>
      </c>
      <c r="G27" s="83">
        <v>44.64</v>
      </c>
    </row>
    <row r="28" spans="1:7" x14ac:dyDescent="0.35">
      <c r="A28" s="68" t="s">
        <v>110</v>
      </c>
      <c r="B28" s="68" t="s">
        <v>48</v>
      </c>
      <c r="C28" s="72">
        <v>113</v>
      </c>
      <c r="D28" t="s">
        <v>40</v>
      </c>
      <c r="E28" s="78">
        <v>8.6999999999999993</v>
      </c>
      <c r="F28" s="79">
        <f t="shared" si="0"/>
        <v>2.6517599151436824</v>
      </c>
      <c r="G28" s="83">
        <v>36.94</v>
      </c>
    </row>
    <row r="29" spans="1:7" x14ac:dyDescent="0.35">
      <c r="A29" s="68" t="s">
        <v>110</v>
      </c>
      <c r="B29" s="68" t="s">
        <v>48</v>
      </c>
      <c r="C29" s="72">
        <v>114</v>
      </c>
      <c r="D29" t="s">
        <v>40</v>
      </c>
      <c r="E29" s="78">
        <v>11.8</v>
      </c>
      <c r="F29" s="79">
        <f t="shared" si="0"/>
        <v>3.5966398849075238</v>
      </c>
      <c r="G29" s="83">
        <v>39.880000000000003</v>
      </c>
    </row>
    <row r="30" spans="1:7" x14ac:dyDescent="0.35">
      <c r="A30" s="68" t="s">
        <v>110</v>
      </c>
      <c r="B30" s="68" t="s">
        <v>48</v>
      </c>
      <c r="C30" s="72">
        <v>115</v>
      </c>
      <c r="D30" t="s">
        <v>40</v>
      </c>
      <c r="E30" s="78">
        <v>7.9</v>
      </c>
      <c r="F30" s="79">
        <f t="shared" si="0"/>
        <v>2.4079199229465624</v>
      </c>
      <c r="G30" s="83">
        <v>28.68</v>
      </c>
    </row>
    <row r="31" spans="1:7" x14ac:dyDescent="0.35">
      <c r="A31" s="68" t="s">
        <v>110</v>
      </c>
      <c r="B31" s="68" t="s">
        <v>48</v>
      </c>
      <c r="C31" s="72">
        <v>116</v>
      </c>
      <c r="D31" t="s">
        <v>40</v>
      </c>
      <c r="E31" s="78">
        <v>9.4</v>
      </c>
      <c r="F31" s="79">
        <f t="shared" si="0"/>
        <v>2.8651199083161631</v>
      </c>
      <c r="G31" s="83">
        <v>35.56</v>
      </c>
    </row>
    <row r="32" spans="1:7" x14ac:dyDescent="0.35">
      <c r="A32" s="68" t="s">
        <v>110</v>
      </c>
      <c r="B32" s="68" t="s">
        <v>48</v>
      </c>
      <c r="C32" s="72">
        <v>117</v>
      </c>
      <c r="D32" t="s">
        <v>40</v>
      </c>
      <c r="E32" s="78">
        <v>10.5</v>
      </c>
      <c r="F32" s="79">
        <f t="shared" si="0"/>
        <v>3.2003998975872032</v>
      </c>
      <c r="G32" s="83">
        <v>34.840000000000003</v>
      </c>
    </row>
    <row r="33" spans="1:8" x14ac:dyDescent="0.35">
      <c r="A33" s="68" t="s">
        <v>110</v>
      </c>
      <c r="B33" s="68" t="s">
        <v>48</v>
      </c>
      <c r="C33" s="72">
        <v>118</v>
      </c>
      <c r="D33" t="s">
        <v>40</v>
      </c>
      <c r="E33" s="78">
        <v>12</v>
      </c>
      <c r="F33" s="79">
        <f t="shared" si="0"/>
        <v>3.6575998829568039</v>
      </c>
      <c r="G33" s="83">
        <v>45.74</v>
      </c>
    </row>
    <row r="34" spans="1:8" x14ac:dyDescent="0.35">
      <c r="A34" s="68" t="s">
        <v>110</v>
      </c>
      <c r="B34" s="68" t="s">
        <v>48</v>
      </c>
      <c r="C34" s="72">
        <v>119</v>
      </c>
      <c r="D34" t="s">
        <v>40</v>
      </c>
      <c r="E34" s="78">
        <v>9.8000000000000007</v>
      </c>
      <c r="F34" s="79">
        <f t="shared" si="0"/>
        <v>2.9870399044147233</v>
      </c>
      <c r="G34" s="83">
        <v>46.87</v>
      </c>
      <c r="H34" t="s">
        <v>123</v>
      </c>
    </row>
    <row r="35" spans="1:8" x14ac:dyDescent="0.35">
      <c r="A35" s="68" t="s">
        <v>110</v>
      </c>
      <c r="B35" s="68" t="s">
        <v>48</v>
      </c>
      <c r="C35" s="72">
        <v>120</v>
      </c>
      <c r="D35" t="s">
        <v>40</v>
      </c>
      <c r="E35" s="78">
        <v>10.3</v>
      </c>
      <c r="F35" s="79">
        <f t="shared" si="0"/>
        <v>3.1394398995379236</v>
      </c>
      <c r="G35" s="83">
        <v>36.299999999999997</v>
      </c>
    </row>
    <row r="36" spans="1:8" x14ac:dyDescent="0.35">
      <c r="A36" s="68" t="s">
        <v>110</v>
      </c>
      <c r="B36" s="68" t="s">
        <v>48</v>
      </c>
      <c r="C36" s="72">
        <v>121</v>
      </c>
      <c r="D36" t="s">
        <v>40</v>
      </c>
      <c r="E36" s="78">
        <v>8.9</v>
      </c>
      <c r="F36" s="79">
        <f t="shared" si="0"/>
        <v>2.7127199131929629</v>
      </c>
      <c r="G36" s="83">
        <v>37.700000000000003</v>
      </c>
    </row>
    <row r="37" spans="1:8" x14ac:dyDescent="0.35">
      <c r="A37" s="68" t="s">
        <v>110</v>
      </c>
      <c r="B37" s="68" t="s">
        <v>48</v>
      </c>
      <c r="C37" s="72">
        <v>122</v>
      </c>
      <c r="D37" t="s">
        <v>40</v>
      </c>
      <c r="E37" s="78">
        <v>7.5</v>
      </c>
      <c r="F37" s="79">
        <f t="shared" si="0"/>
        <v>2.2859999268480022</v>
      </c>
      <c r="G37" s="83">
        <v>30.4</v>
      </c>
    </row>
    <row r="38" spans="1:8" x14ac:dyDescent="0.35">
      <c r="A38" s="68" t="s">
        <v>110</v>
      </c>
      <c r="B38" s="68" t="s">
        <v>48</v>
      </c>
      <c r="C38" s="72">
        <v>123</v>
      </c>
      <c r="D38" t="s">
        <v>40</v>
      </c>
      <c r="E38" s="78">
        <v>6.6</v>
      </c>
      <c r="F38" s="79">
        <f t="shared" si="0"/>
        <v>2.0116799356262418</v>
      </c>
      <c r="G38" s="83">
        <v>20.68</v>
      </c>
    </row>
    <row r="39" spans="1:8" x14ac:dyDescent="0.35">
      <c r="A39" s="68" t="s">
        <v>110</v>
      </c>
      <c r="B39" s="68" t="s">
        <v>48</v>
      </c>
      <c r="C39" s="72">
        <v>124</v>
      </c>
      <c r="D39" t="s">
        <v>40</v>
      </c>
      <c r="E39" s="78">
        <v>8.6</v>
      </c>
      <c r="F39" s="79">
        <f t="shared" si="0"/>
        <v>2.6212799161190428</v>
      </c>
      <c r="G39" s="83">
        <v>37.33</v>
      </c>
      <c r="H39" t="s">
        <v>122</v>
      </c>
    </row>
    <row r="40" spans="1:8" x14ac:dyDescent="0.35">
      <c r="A40" s="69" t="s">
        <v>110</v>
      </c>
      <c r="B40" s="69" t="s">
        <v>48</v>
      </c>
      <c r="C40" s="74">
        <v>125</v>
      </c>
      <c r="D40" s="1" t="s">
        <v>40</v>
      </c>
      <c r="E40" s="80">
        <v>6.1</v>
      </c>
      <c r="F40" s="81">
        <f t="shared" si="0"/>
        <v>1.8592799405030418</v>
      </c>
      <c r="G40" s="84">
        <v>12.33</v>
      </c>
      <c r="H40" s="1"/>
    </row>
    <row r="41" spans="1:8" x14ac:dyDescent="0.35">
      <c r="A41" s="68" t="s">
        <v>126</v>
      </c>
      <c r="B41" s="68" t="s">
        <v>48</v>
      </c>
      <c r="C41" s="72">
        <v>60</v>
      </c>
      <c r="D41" t="s">
        <v>40</v>
      </c>
      <c r="E41" s="78">
        <v>12</v>
      </c>
      <c r="F41" s="79">
        <f t="shared" si="0"/>
        <v>3.6575998829568039</v>
      </c>
      <c r="G41" s="83">
        <v>61.99</v>
      </c>
    </row>
    <row r="42" spans="1:8" x14ac:dyDescent="0.35">
      <c r="A42" s="68" t="s">
        <v>126</v>
      </c>
      <c r="B42" s="68" t="s">
        <v>48</v>
      </c>
      <c r="C42" s="72">
        <v>61</v>
      </c>
      <c r="D42" t="s">
        <v>40</v>
      </c>
      <c r="E42" s="78">
        <v>9</v>
      </c>
      <c r="F42" s="79">
        <f t="shared" si="0"/>
        <v>2.743199912217603</v>
      </c>
      <c r="G42" s="83">
        <v>60.03</v>
      </c>
    </row>
    <row r="43" spans="1:8" x14ac:dyDescent="0.35">
      <c r="A43" s="68" t="s">
        <v>126</v>
      </c>
      <c r="B43" s="68" t="s">
        <v>48</v>
      </c>
      <c r="C43" s="72">
        <v>62</v>
      </c>
      <c r="D43" t="s">
        <v>40</v>
      </c>
      <c r="E43" s="78">
        <v>13.7</v>
      </c>
      <c r="F43" s="79">
        <f t="shared" si="0"/>
        <v>4.1757598663756843</v>
      </c>
      <c r="G43" s="83">
        <v>64.62</v>
      </c>
    </row>
    <row r="44" spans="1:8" x14ac:dyDescent="0.35">
      <c r="A44" s="68" t="s">
        <v>126</v>
      </c>
      <c r="B44" s="68" t="s">
        <v>48</v>
      </c>
      <c r="C44" s="72">
        <v>63</v>
      </c>
      <c r="D44" t="s">
        <v>40</v>
      </c>
      <c r="E44" s="78">
        <v>12.2</v>
      </c>
      <c r="F44" s="79">
        <f t="shared" si="0"/>
        <v>3.7185598810060836</v>
      </c>
      <c r="G44" s="83">
        <v>63.83</v>
      </c>
    </row>
    <row r="45" spans="1:8" x14ac:dyDescent="0.35">
      <c r="A45" s="68" t="s">
        <v>126</v>
      </c>
      <c r="B45" s="68" t="s">
        <v>48</v>
      </c>
      <c r="C45" s="72">
        <v>64</v>
      </c>
      <c r="D45" t="s">
        <v>40</v>
      </c>
      <c r="E45" s="78">
        <v>13.7</v>
      </c>
      <c r="F45" s="79">
        <f t="shared" si="0"/>
        <v>4.1757598663756843</v>
      </c>
      <c r="G45" s="83">
        <v>55.93</v>
      </c>
      <c r="H45" t="s">
        <v>149</v>
      </c>
    </row>
    <row r="46" spans="1:8" x14ac:dyDescent="0.35">
      <c r="A46" s="68" t="s">
        <v>126</v>
      </c>
      <c r="B46" s="68" t="s">
        <v>48</v>
      </c>
      <c r="C46" s="72">
        <v>65</v>
      </c>
      <c r="D46" t="s">
        <v>40</v>
      </c>
      <c r="E46" s="78">
        <v>11.2</v>
      </c>
      <c r="F46" s="79">
        <f t="shared" si="0"/>
        <v>3.4137598907596831</v>
      </c>
      <c r="G46" s="83">
        <v>39.64</v>
      </c>
    </row>
    <row r="47" spans="1:8" x14ac:dyDescent="0.35">
      <c r="A47" s="68" t="s">
        <v>126</v>
      </c>
      <c r="B47" s="68" t="s">
        <v>48</v>
      </c>
      <c r="C47" s="72">
        <v>66</v>
      </c>
      <c r="D47" t="s">
        <v>40</v>
      </c>
      <c r="E47" s="78">
        <v>11.8</v>
      </c>
      <c r="F47" s="79">
        <f t="shared" si="0"/>
        <v>3.5966398849075238</v>
      </c>
      <c r="G47" s="83">
        <v>53.85</v>
      </c>
    </row>
    <row r="48" spans="1:8" x14ac:dyDescent="0.35">
      <c r="A48" s="68" t="s">
        <v>126</v>
      </c>
      <c r="B48" s="68" t="s">
        <v>48</v>
      </c>
      <c r="C48" s="72">
        <v>67</v>
      </c>
      <c r="D48" t="s">
        <v>40</v>
      </c>
      <c r="E48" s="78">
        <v>9.3000000000000007</v>
      </c>
      <c r="F48" s="79">
        <f t="shared" si="0"/>
        <v>2.8346399092915231</v>
      </c>
      <c r="G48" s="83">
        <v>64.34</v>
      </c>
    </row>
    <row r="49" spans="1:8" x14ac:dyDescent="0.35">
      <c r="A49" s="68" t="s">
        <v>126</v>
      </c>
      <c r="B49" s="68" t="s">
        <v>48</v>
      </c>
      <c r="C49" s="72">
        <v>68</v>
      </c>
      <c r="D49" t="s">
        <v>40</v>
      </c>
      <c r="E49" s="78">
        <v>9.8000000000000007</v>
      </c>
      <c r="F49" s="79">
        <f t="shared" si="0"/>
        <v>2.9870399044147233</v>
      </c>
      <c r="G49" s="83">
        <v>53.07</v>
      </c>
    </row>
    <row r="50" spans="1:8" x14ac:dyDescent="0.35">
      <c r="A50" s="68" t="s">
        <v>126</v>
      </c>
      <c r="B50" s="68" t="s">
        <v>48</v>
      </c>
      <c r="C50" s="72">
        <v>69</v>
      </c>
      <c r="D50" t="s">
        <v>40</v>
      </c>
      <c r="E50" s="78">
        <v>8.8000000000000007</v>
      </c>
      <c r="F50" s="79">
        <f t="shared" si="0"/>
        <v>2.6822399141683229</v>
      </c>
      <c r="G50" s="83">
        <v>43.25</v>
      </c>
    </row>
    <row r="51" spans="1:8" x14ac:dyDescent="0.35">
      <c r="A51" s="69" t="s">
        <v>126</v>
      </c>
      <c r="B51" s="69" t="s">
        <v>48</v>
      </c>
      <c r="C51" s="74">
        <v>70</v>
      </c>
      <c r="D51" s="1" t="s">
        <v>40</v>
      </c>
      <c r="E51" s="80">
        <v>6.2</v>
      </c>
      <c r="F51" s="81">
        <f t="shared" si="0"/>
        <v>1.8897599395276821</v>
      </c>
      <c r="G51" s="84">
        <v>31.29</v>
      </c>
      <c r="H51"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40FD1-2D86-4A42-89F8-0651AB22C7EA}">
  <dimension ref="A1:P49"/>
  <sheetViews>
    <sheetView workbookViewId="0">
      <selection activeCell="P11" sqref="P11"/>
    </sheetView>
  </sheetViews>
  <sheetFormatPr defaultRowHeight="14.5" x14ac:dyDescent="0.35"/>
  <cols>
    <col min="1" max="1" width="10.08984375" bestFit="1" customWidth="1"/>
    <col min="2" max="2" width="9.36328125" bestFit="1" customWidth="1"/>
    <col min="3" max="3" width="5.7265625" bestFit="1" customWidth="1"/>
    <col min="4" max="4" width="7.453125" bestFit="1" customWidth="1"/>
    <col min="5" max="6" width="6.26953125" bestFit="1" customWidth="1"/>
    <col min="8" max="8" width="7" bestFit="1" customWidth="1"/>
    <col min="11" max="11" width="9.36328125" customWidth="1"/>
    <col min="12" max="12" width="9.81640625" customWidth="1"/>
    <col min="16" max="16" width="44.36328125" customWidth="1"/>
  </cols>
  <sheetData>
    <row r="1" spans="1:16" ht="44" thickBot="1" x14ac:dyDescent="0.4">
      <c r="A1" s="67" t="s">
        <v>24</v>
      </c>
      <c r="B1" s="86" t="s">
        <v>2</v>
      </c>
      <c r="C1" s="70" t="s">
        <v>7</v>
      </c>
      <c r="D1" s="71" t="s">
        <v>41</v>
      </c>
      <c r="E1" s="76" t="s">
        <v>8</v>
      </c>
      <c r="F1" s="77" t="s">
        <v>9</v>
      </c>
      <c r="G1" s="65" t="s">
        <v>12</v>
      </c>
      <c r="H1" s="70" t="s">
        <v>10</v>
      </c>
      <c r="I1" s="77" t="s">
        <v>11</v>
      </c>
      <c r="J1" s="58" t="s">
        <v>13</v>
      </c>
      <c r="K1" s="70" t="s">
        <v>14</v>
      </c>
      <c r="L1" s="58" t="s">
        <v>15</v>
      </c>
      <c r="M1" s="58" t="s">
        <v>16</v>
      </c>
      <c r="N1" s="65" t="s">
        <v>17</v>
      </c>
      <c r="O1" s="71" t="s">
        <v>18</v>
      </c>
      <c r="P1" s="58" t="s">
        <v>5</v>
      </c>
    </row>
    <row r="2" spans="1:16" x14ac:dyDescent="0.35">
      <c r="A2" s="68" t="s">
        <v>25</v>
      </c>
      <c r="B2" t="s">
        <v>61</v>
      </c>
      <c r="C2" s="72">
        <v>107</v>
      </c>
      <c r="D2" s="73" t="s">
        <v>42</v>
      </c>
      <c r="E2" s="78">
        <v>10.9</v>
      </c>
      <c r="F2" s="79">
        <f t="shared" ref="F2:F49" si="0">IF(E2 = 0, " ", IF(E2&lt;2, E2/1, E2/3.28084))</f>
        <v>3.3223198936857634</v>
      </c>
      <c r="G2" s="64">
        <v>38.36</v>
      </c>
      <c r="H2" s="72">
        <v>1</v>
      </c>
      <c r="I2" s="79"/>
      <c r="K2" s="72" t="s">
        <v>20</v>
      </c>
      <c r="L2" t="s">
        <v>22</v>
      </c>
      <c r="M2" t="s">
        <v>19</v>
      </c>
      <c r="N2" s="64">
        <v>1.1599999999999999</v>
      </c>
      <c r="O2" s="73">
        <v>0</v>
      </c>
    </row>
    <row r="3" spans="1:16" x14ac:dyDescent="0.35">
      <c r="A3" s="68" t="s">
        <v>25</v>
      </c>
      <c r="B3" t="s">
        <v>61</v>
      </c>
      <c r="C3" s="72">
        <v>108</v>
      </c>
      <c r="D3" s="73" t="s">
        <v>42</v>
      </c>
      <c r="E3" s="78">
        <v>10</v>
      </c>
      <c r="F3" s="79">
        <f t="shared" si="0"/>
        <v>3.047999902464003</v>
      </c>
      <c r="G3" s="64">
        <v>27.33</v>
      </c>
      <c r="H3" s="72">
        <v>1</v>
      </c>
      <c r="I3" s="79"/>
      <c r="J3">
        <v>35</v>
      </c>
      <c r="K3" s="72" t="s">
        <v>20</v>
      </c>
      <c r="L3" t="s">
        <v>22</v>
      </c>
      <c r="M3" t="s">
        <v>19</v>
      </c>
      <c r="N3" s="64">
        <v>0.73</v>
      </c>
      <c r="O3" s="73">
        <v>0</v>
      </c>
    </row>
    <row r="4" spans="1:16" x14ac:dyDescent="0.35">
      <c r="A4" s="68" t="s">
        <v>25</v>
      </c>
      <c r="B4" t="s">
        <v>61</v>
      </c>
      <c r="C4" s="72">
        <v>109</v>
      </c>
      <c r="D4" s="73" t="s">
        <v>42</v>
      </c>
      <c r="E4" s="78">
        <v>8.6999999999999993</v>
      </c>
      <c r="F4" s="79">
        <f t="shared" si="0"/>
        <v>2.6517599151436824</v>
      </c>
      <c r="G4" s="64">
        <v>25.97</v>
      </c>
      <c r="H4" s="72">
        <v>1</v>
      </c>
      <c r="I4" s="79"/>
      <c r="K4" s="72" t="s">
        <v>19</v>
      </c>
      <c r="M4" t="s">
        <v>19</v>
      </c>
      <c r="N4" s="64"/>
      <c r="O4" s="73"/>
      <c r="P4" t="s">
        <v>62</v>
      </c>
    </row>
    <row r="5" spans="1:16" x14ac:dyDescent="0.35">
      <c r="A5" s="68" t="s">
        <v>25</v>
      </c>
      <c r="B5" t="s">
        <v>61</v>
      </c>
      <c r="C5" s="72">
        <v>110</v>
      </c>
      <c r="D5" s="73" t="s">
        <v>42</v>
      </c>
      <c r="E5" s="78">
        <v>13.9</v>
      </c>
      <c r="F5" s="79">
        <f t="shared" si="0"/>
        <v>4.2367198644249644</v>
      </c>
      <c r="G5" s="64">
        <v>67.599999999999994</v>
      </c>
      <c r="H5" s="72">
        <v>1</v>
      </c>
      <c r="I5" s="79"/>
      <c r="K5" s="72" t="s">
        <v>20</v>
      </c>
      <c r="L5" t="s">
        <v>22</v>
      </c>
      <c r="M5" t="s">
        <v>19</v>
      </c>
      <c r="N5" s="64">
        <v>1.74</v>
      </c>
      <c r="O5" s="73">
        <v>0</v>
      </c>
    </row>
    <row r="6" spans="1:16" x14ac:dyDescent="0.35">
      <c r="A6" s="68" t="s">
        <v>25</v>
      </c>
      <c r="B6" t="s">
        <v>61</v>
      </c>
      <c r="C6" s="72">
        <v>111</v>
      </c>
      <c r="D6" s="73" t="s">
        <v>42</v>
      </c>
      <c r="E6" s="78">
        <v>7.4</v>
      </c>
      <c r="F6" s="79">
        <f t="shared" si="0"/>
        <v>2.2555199278233626</v>
      </c>
      <c r="G6" s="64">
        <v>25.44</v>
      </c>
      <c r="H6" s="72">
        <v>1</v>
      </c>
      <c r="I6" s="79"/>
      <c r="J6">
        <v>90</v>
      </c>
      <c r="K6" s="72" t="s">
        <v>20</v>
      </c>
      <c r="L6" t="s">
        <v>22</v>
      </c>
      <c r="M6" t="s">
        <v>19</v>
      </c>
      <c r="N6" s="64">
        <v>0.78</v>
      </c>
      <c r="O6" s="73">
        <v>0</v>
      </c>
    </row>
    <row r="7" spans="1:16" x14ac:dyDescent="0.35">
      <c r="A7" s="68" t="s">
        <v>25</v>
      </c>
      <c r="B7" t="s">
        <v>61</v>
      </c>
      <c r="C7" s="72">
        <v>112</v>
      </c>
      <c r="D7" s="73" t="s">
        <v>42</v>
      </c>
      <c r="E7" s="78">
        <v>10.199999999999999</v>
      </c>
      <c r="F7" s="79">
        <f t="shared" si="0"/>
        <v>3.1089599005132831</v>
      </c>
      <c r="G7" s="64">
        <v>28.98</v>
      </c>
      <c r="H7" s="72">
        <v>1</v>
      </c>
      <c r="I7" s="79"/>
      <c r="K7" s="72" t="s">
        <v>19</v>
      </c>
      <c r="M7" t="s">
        <v>19</v>
      </c>
      <c r="N7" s="64"/>
      <c r="O7" s="73"/>
      <c r="P7" t="s">
        <v>62</v>
      </c>
    </row>
    <row r="8" spans="1:16" x14ac:dyDescent="0.35">
      <c r="A8" s="68" t="s">
        <v>25</v>
      </c>
      <c r="B8" t="s">
        <v>61</v>
      </c>
      <c r="C8" s="72">
        <v>113</v>
      </c>
      <c r="D8" s="73" t="s">
        <v>42</v>
      </c>
      <c r="E8" s="78">
        <v>13.6</v>
      </c>
      <c r="F8" s="79">
        <f t="shared" si="0"/>
        <v>4.1452798673510438</v>
      </c>
      <c r="G8" s="64">
        <v>53.26</v>
      </c>
      <c r="H8" s="72">
        <v>1</v>
      </c>
      <c r="I8" s="79"/>
      <c r="K8" s="72" t="s">
        <v>19</v>
      </c>
      <c r="M8" t="s">
        <v>19</v>
      </c>
      <c r="N8" s="64"/>
      <c r="O8" s="73"/>
    </row>
    <row r="9" spans="1:16" x14ac:dyDescent="0.35">
      <c r="A9" s="68" t="s">
        <v>25</v>
      </c>
      <c r="B9" t="s">
        <v>61</v>
      </c>
      <c r="C9" s="72">
        <v>114</v>
      </c>
      <c r="D9" s="73" t="s">
        <v>42</v>
      </c>
      <c r="E9" s="78">
        <v>12.6</v>
      </c>
      <c r="F9" s="79">
        <f t="shared" si="0"/>
        <v>3.8404798771046438</v>
      </c>
      <c r="G9" s="64">
        <v>59.12</v>
      </c>
      <c r="H9" s="72">
        <v>1</v>
      </c>
      <c r="I9" s="79"/>
      <c r="K9" s="72" t="s">
        <v>19</v>
      </c>
      <c r="M9" t="s">
        <v>19</v>
      </c>
      <c r="N9" s="64"/>
      <c r="O9" s="73"/>
      <c r="P9" t="s">
        <v>63</v>
      </c>
    </row>
    <row r="10" spans="1:16" x14ac:dyDescent="0.35">
      <c r="A10" s="68" t="s">
        <v>25</v>
      </c>
      <c r="B10" t="s">
        <v>61</v>
      </c>
      <c r="C10" s="72">
        <v>115</v>
      </c>
      <c r="D10" s="73" t="s">
        <v>42</v>
      </c>
      <c r="E10" s="78">
        <v>9.9</v>
      </c>
      <c r="F10" s="79">
        <f t="shared" si="0"/>
        <v>3.0175199034393634</v>
      </c>
      <c r="G10" s="64">
        <v>31.82</v>
      </c>
      <c r="H10" s="72">
        <v>1</v>
      </c>
      <c r="I10" s="79"/>
      <c r="K10" s="72" t="s">
        <v>19</v>
      </c>
      <c r="M10" t="s">
        <v>19</v>
      </c>
      <c r="N10" s="64"/>
      <c r="O10" s="73"/>
    </row>
    <row r="11" spans="1:16" x14ac:dyDescent="0.35">
      <c r="A11" s="68" t="s">
        <v>25</v>
      </c>
      <c r="B11" t="s">
        <v>61</v>
      </c>
      <c r="C11" s="72">
        <v>116</v>
      </c>
      <c r="D11" s="73" t="s">
        <v>42</v>
      </c>
      <c r="E11" s="78">
        <v>10.1</v>
      </c>
      <c r="F11" s="79">
        <f t="shared" si="0"/>
        <v>3.078479901488643</v>
      </c>
      <c r="G11" s="64">
        <v>31.44</v>
      </c>
      <c r="H11" s="72">
        <v>1</v>
      </c>
      <c r="I11" s="79"/>
      <c r="K11" s="72" t="s">
        <v>19</v>
      </c>
      <c r="M11" t="s">
        <v>19</v>
      </c>
      <c r="N11" s="64"/>
      <c r="O11" s="73"/>
    </row>
    <row r="12" spans="1:16" x14ac:dyDescent="0.35">
      <c r="A12" s="68" t="s">
        <v>25</v>
      </c>
      <c r="B12" t="s">
        <v>61</v>
      </c>
      <c r="C12" s="72">
        <v>117</v>
      </c>
      <c r="D12" s="73" t="s">
        <v>42</v>
      </c>
      <c r="E12" s="78">
        <v>13.8</v>
      </c>
      <c r="F12" s="79">
        <f t="shared" si="0"/>
        <v>4.2062398654003248</v>
      </c>
      <c r="G12" s="64">
        <v>49.13</v>
      </c>
      <c r="H12" s="72">
        <v>1</v>
      </c>
      <c r="I12" s="79"/>
      <c r="K12" s="72" t="s">
        <v>20</v>
      </c>
      <c r="L12" t="s">
        <v>22</v>
      </c>
      <c r="M12" t="s">
        <v>19</v>
      </c>
      <c r="N12" s="64">
        <v>1.4</v>
      </c>
      <c r="O12" s="73">
        <v>0</v>
      </c>
    </row>
    <row r="13" spans="1:16" x14ac:dyDescent="0.35">
      <c r="A13" s="68" t="s">
        <v>25</v>
      </c>
      <c r="B13" t="s">
        <v>61</v>
      </c>
      <c r="C13" s="72">
        <v>118</v>
      </c>
      <c r="D13" s="73" t="s">
        <v>42</v>
      </c>
      <c r="E13" s="78">
        <v>9.9</v>
      </c>
      <c r="F13" s="79">
        <f t="shared" si="0"/>
        <v>3.0175199034393634</v>
      </c>
      <c r="G13" s="64">
        <v>31.95</v>
      </c>
      <c r="H13" s="72">
        <v>1</v>
      </c>
      <c r="I13" s="79"/>
      <c r="K13" s="72" t="s">
        <v>19</v>
      </c>
      <c r="M13" t="s">
        <v>19</v>
      </c>
      <c r="N13" s="64"/>
      <c r="O13" s="73"/>
    </row>
    <row r="14" spans="1:16" x14ac:dyDescent="0.35">
      <c r="A14" s="68" t="s">
        <v>25</v>
      </c>
      <c r="B14" t="s">
        <v>61</v>
      </c>
      <c r="C14" s="72">
        <v>119</v>
      </c>
      <c r="D14" s="73" t="s">
        <v>42</v>
      </c>
      <c r="E14" s="78">
        <v>13.2</v>
      </c>
      <c r="F14" s="79">
        <f t="shared" si="0"/>
        <v>4.0233598712524836</v>
      </c>
      <c r="G14" s="64">
        <v>49.82</v>
      </c>
      <c r="H14" s="72">
        <v>1</v>
      </c>
      <c r="I14" s="79"/>
      <c r="K14" s="72" t="s">
        <v>19</v>
      </c>
      <c r="M14" t="s">
        <v>19</v>
      </c>
      <c r="N14" s="64"/>
      <c r="O14" s="73"/>
    </row>
    <row r="15" spans="1:16" x14ac:dyDescent="0.35">
      <c r="A15" s="68" t="s">
        <v>25</v>
      </c>
      <c r="B15" t="s">
        <v>61</v>
      </c>
      <c r="C15" s="72">
        <v>120</v>
      </c>
      <c r="D15" s="73" t="s">
        <v>42</v>
      </c>
      <c r="E15" s="78">
        <v>14.9</v>
      </c>
      <c r="F15" s="79">
        <f t="shared" si="0"/>
        <v>4.5415198546713649</v>
      </c>
      <c r="G15" s="64">
        <v>56.59</v>
      </c>
      <c r="H15" s="72">
        <v>1</v>
      </c>
      <c r="I15" s="79"/>
      <c r="K15" s="72" t="s">
        <v>19</v>
      </c>
      <c r="M15" t="s">
        <v>19</v>
      </c>
      <c r="N15" s="64"/>
      <c r="O15" s="73"/>
    </row>
    <row r="16" spans="1:16" x14ac:dyDescent="0.35">
      <c r="A16" s="68" t="s">
        <v>25</v>
      </c>
      <c r="B16" t="s">
        <v>61</v>
      </c>
      <c r="C16" s="72">
        <v>121</v>
      </c>
      <c r="D16" s="73" t="s">
        <v>42</v>
      </c>
      <c r="E16" s="78">
        <v>15.6</v>
      </c>
      <c r="F16" s="79">
        <f t="shared" si="0"/>
        <v>4.7548798478438448</v>
      </c>
      <c r="G16" s="64">
        <v>85.03</v>
      </c>
      <c r="H16" s="72">
        <v>1</v>
      </c>
      <c r="I16" s="79"/>
      <c r="K16" s="72" t="s">
        <v>20</v>
      </c>
      <c r="L16" t="s">
        <v>22</v>
      </c>
      <c r="M16" t="s">
        <v>19</v>
      </c>
      <c r="N16" s="64">
        <v>0.2</v>
      </c>
      <c r="O16" s="73">
        <v>0</v>
      </c>
    </row>
    <row r="17" spans="1:16" x14ac:dyDescent="0.35">
      <c r="A17" s="68" t="s">
        <v>25</v>
      </c>
      <c r="B17" t="s">
        <v>61</v>
      </c>
      <c r="C17" s="72">
        <v>121</v>
      </c>
      <c r="D17" s="73"/>
      <c r="E17" s="78"/>
      <c r="F17" s="79" t="str">
        <f t="shared" si="0"/>
        <v xml:space="preserve"> </v>
      </c>
      <c r="G17" s="64"/>
      <c r="H17" s="72"/>
      <c r="I17" s="79"/>
      <c r="K17" s="72" t="s">
        <v>20</v>
      </c>
      <c r="L17" t="s">
        <v>22</v>
      </c>
      <c r="M17" t="s">
        <v>19</v>
      </c>
      <c r="N17" s="64">
        <v>0.73</v>
      </c>
      <c r="O17" s="73">
        <v>0</v>
      </c>
    </row>
    <row r="18" spans="1:16" x14ac:dyDescent="0.35">
      <c r="A18" s="68" t="s">
        <v>25</v>
      </c>
      <c r="B18" t="s">
        <v>61</v>
      </c>
      <c r="C18" s="72">
        <v>122</v>
      </c>
      <c r="D18" s="73" t="s">
        <v>42</v>
      </c>
      <c r="E18" s="78">
        <v>10.1</v>
      </c>
      <c r="F18" s="79">
        <f t="shared" si="0"/>
        <v>3.078479901488643</v>
      </c>
      <c r="G18" s="64">
        <v>38.85</v>
      </c>
      <c r="H18" s="72">
        <v>1</v>
      </c>
      <c r="I18" s="79"/>
      <c r="K18" s="72" t="s">
        <v>19</v>
      </c>
      <c r="M18" t="s">
        <v>19</v>
      </c>
      <c r="N18" s="64"/>
      <c r="O18" s="73"/>
    </row>
    <row r="19" spans="1:16" x14ac:dyDescent="0.35">
      <c r="A19" s="68" t="s">
        <v>25</v>
      </c>
      <c r="B19" t="s">
        <v>61</v>
      </c>
      <c r="C19" s="72">
        <v>123</v>
      </c>
      <c r="D19" s="73" t="s">
        <v>42</v>
      </c>
      <c r="E19" s="78">
        <v>6.8</v>
      </c>
      <c r="F19" s="79">
        <f t="shared" si="0"/>
        <v>2.0726399336755219</v>
      </c>
      <c r="G19" s="64">
        <v>23.79</v>
      </c>
      <c r="H19" s="72">
        <v>1</v>
      </c>
      <c r="I19" s="79"/>
      <c r="K19" s="72" t="s">
        <v>20</v>
      </c>
      <c r="L19" t="s">
        <v>22</v>
      </c>
      <c r="M19" t="s">
        <v>19</v>
      </c>
      <c r="N19" s="64">
        <v>1.26</v>
      </c>
      <c r="O19" s="73">
        <v>0</v>
      </c>
    </row>
    <row r="20" spans="1:16" x14ac:dyDescent="0.35">
      <c r="A20" s="68" t="s">
        <v>25</v>
      </c>
      <c r="B20" t="s">
        <v>61</v>
      </c>
      <c r="C20" s="72">
        <v>124</v>
      </c>
      <c r="D20" s="73" t="s">
        <v>42</v>
      </c>
      <c r="E20" s="78">
        <v>0.6</v>
      </c>
      <c r="F20" s="79">
        <f t="shared" si="0"/>
        <v>0.6</v>
      </c>
      <c r="G20" s="64">
        <v>16.05</v>
      </c>
      <c r="H20" s="72">
        <v>2</v>
      </c>
      <c r="I20" s="79">
        <v>0.31</v>
      </c>
      <c r="J20">
        <v>420</v>
      </c>
      <c r="K20" s="72" t="s">
        <v>20</v>
      </c>
      <c r="L20" t="s">
        <v>29</v>
      </c>
      <c r="M20" t="s">
        <v>20</v>
      </c>
      <c r="N20" s="64">
        <v>0</v>
      </c>
      <c r="O20" s="73">
        <v>420</v>
      </c>
      <c r="P20" t="s">
        <v>64</v>
      </c>
    </row>
    <row r="21" spans="1:16" x14ac:dyDescent="0.35">
      <c r="A21" s="68" t="s">
        <v>25</v>
      </c>
      <c r="B21" t="s">
        <v>61</v>
      </c>
      <c r="C21" s="72">
        <v>125</v>
      </c>
      <c r="D21" s="73" t="s">
        <v>42</v>
      </c>
      <c r="E21" s="78">
        <v>7.1</v>
      </c>
      <c r="F21" s="79">
        <f t="shared" si="0"/>
        <v>2.164079930749442</v>
      </c>
      <c r="G21" s="64">
        <v>19.55</v>
      </c>
      <c r="H21" s="72">
        <v>1</v>
      </c>
      <c r="I21" s="79"/>
      <c r="K21" s="72" t="s">
        <v>20</v>
      </c>
      <c r="L21" t="s">
        <v>21</v>
      </c>
      <c r="M21" t="s">
        <v>19</v>
      </c>
      <c r="N21" s="64">
        <v>0.25</v>
      </c>
      <c r="O21" s="73">
        <v>10</v>
      </c>
    </row>
    <row r="22" spans="1:16" x14ac:dyDescent="0.35">
      <c r="A22" s="68" t="s">
        <v>25</v>
      </c>
      <c r="B22" t="s">
        <v>61</v>
      </c>
      <c r="C22" s="72">
        <v>126</v>
      </c>
      <c r="D22" s="73" t="s">
        <v>42</v>
      </c>
      <c r="E22" s="78">
        <v>9.9</v>
      </c>
      <c r="F22" s="79">
        <f t="shared" si="0"/>
        <v>3.0175199034393634</v>
      </c>
      <c r="G22" s="64">
        <v>33.450000000000003</v>
      </c>
      <c r="H22" s="72">
        <v>1</v>
      </c>
      <c r="I22" s="79"/>
      <c r="K22" s="72" t="s">
        <v>20</v>
      </c>
      <c r="L22" t="s">
        <v>22</v>
      </c>
      <c r="M22" t="s">
        <v>19</v>
      </c>
      <c r="N22" s="64">
        <v>0.5</v>
      </c>
      <c r="O22" s="73">
        <v>0</v>
      </c>
    </row>
    <row r="23" spans="1:16" x14ac:dyDescent="0.35">
      <c r="A23" s="68" t="s">
        <v>25</v>
      </c>
      <c r="B23" t="s">
        <v>61</v>
      </c>
      <c r="C23" s="72">
        <v>126</v>
      </c>
      <c r="D23" s="73"/>
      <c r="E23" s="78"/>
      <c r="F23" s="79" t="str">
        <f t="shared" si="0"/>
        <v xml:space="preserve"> </v>
      </c>
      <c r="G23" s="64"/>
      <c r="H23" s="72"/>
      <c r="I23" s="79"/>
      <c r="K23" s="72" t="s">
        <v>20</v>
      </c>
      <c r="L23" t="s">
        <v>22</v>
      </c>
      <c r="M23" t="s">
        <v>19</v>
      </c>
      <c r="N23" s="64">
        <v>1.1200000000000001</v>
      </c>
      <c r="O23" s="73">
        <v>0</v>
      </c>
    </row>
    <row r="24" spans="1:16" x14ac:dyDescent="0.35">
      <c r="A24" s="69" t="s">
        <v>25</v>
      </c>
      <c r="B24" s="1" t="s">
        <v>61</v>
      </c>
      <c r="C24" s="74">
        <v>126</v>
      </c>
      <c r="D24" s="75"/>
      <c r="E24" s="80"/>
      <c r="F24" s="81" t="str">
        <f t="shared" si="0"/>
        <v xml:space="preserve"> </v>
      </c>
      <c r="G24" s="66"/>
      <c r="H24" s="74"/>
      <c r="I24" s="81"/>
      <c r="J24" s="1"/>
      <c r="K24" s="74" t="s">
        <v>20</v>
      </c>
      <c r="L24" s="1" t="s">
        <v>22</v>
      </c>
      <c r="M24" s="1" t="s">
        <v>19</v>
      </c>
      <c r="N24" s="66">
        <v>1.44</v>
      </c>
      <c r="O24" s="75">
        <v>0</v>
      </c>
      <c r="P24" s="1"/>
    </row>
    <row r="25" spans="1:16" x14ac:dyDescent="0.35">
      <c r="A25" s="68" t="s">
        <v>110</v>
      </c>
      <c r="B25" s="68" t="s">
        <v>61</v>
      </c>
      <c r="C25" s="72">
        <v>20</v>
      </c>
      <c r="D25" s="73" t="s">
        <v>42</v>
      </c>
      <c r="E25" s="78">
        <v>12.1</v>
      </c>
      <c r="F25" s="79">
        <f t="shared" si="0"/>
        <v>3.6880798819814435</v>
      </c>
      <c r="G25" s="83">
        <v>48.95</v>
      </c>
      <c r="H25">
        <v>1</v>
      </c>
      <c r="I25" s="64"/>
      <c r="J25" s="68"/>
      <c r="K25" s="72" t="s">
        <v>19</v>
      </c>
      <c r="M25" t="s">
        <v>19</v>
      </c>
      <c r="N25" s="64"/>
      <c r="O25" s="73"/>
      <c r="P25" t="s">
        <v>62</v>
      </c>
    </row>
    <row r="26" spans="1:16" x14ac:dyDescent="0.35">
      <c r="A26" s="68" t="s">
        <v>110</v>
      </c>
      <c r="B26" s="68" t="s">
        <v>61</v>
      </c>
      <c r="C26" s="72">
        <v>21</v>
      </c>
      <c r="D26" s="73" t="s">
        <v>42</v>
      </c>
      <c r="E26" s="78">
        <v>11</v>
      </c>
      <c r="F26" s="79">
        <f t="shared" si="0"/>
        <v>3.3527998927104035</v>
      </c>
      <c r="G26" s="83">
        <v>43.47</v>
      </c>
      <c r="H26">
        <v>1</v>
      </c>
      <c r="I26" s="64"/>
      <c r="J26" s="68"/>
      <c r="K26" s="72" t="s">
        <v>19</v>
      </c>
      <c r="M26" t="s">
        <v>19</v>
      </c>
      <c r="N26" s="64"/>
      <c r="O26" s="73"/>
    </row>
    <row r="27" spans="1:16" x14ac:dyDescent="0.35">
      <c r="A27" s="68" t="s">
        <v>110</v>
      </c>
      <c r="B27" s="68" t="s">
        <v>61</v>
      </c>
      <c r="C27" s="72">
        <v>22</v>
      </c>
      <c r="D27" s="73" t="s">
        <v>42</v>
      </c>
      <c r="E27" s="78">
        <v>13.1</v>
      </c>
      <c r="F27" s="79">
        <f t="shared" si="0"/>
        <v>3.992879872227844</v>
      </c>
      <c r="G27" s="83">
        <v>57.88</v>
      </c>
      <c r="H27">
        <v>1</v>
      </c>
      <c r="I27" s="64"/>
      <c r="J27" s="68">
        <v>407</v>
      </c>
      <c r="K27" s="72" t="s">
        <v>20</v>
      </c>
      <c r="L27" t="s">
        <v>66</v>
      </c>
      <c r="M27" t="s">
        <v>19</v>
      </c>
      <c r="N27" s="64">
        <v>0</v>
      </c>
      <c r="O27" s="73">
        <v>407</v>
      </c>
    </row>
    <row r="28" spans="1:16" x14ac:dyDescent="0.35">
      <c r="A28" s="68" t="s">
        <v>110</v>
      </c>
      <c r="B28" s="68" t="s">
        <v>61</v>
      </c>
      <c r="C28" s="72">
        <v>23</v>
      </c>
      <c r="D28" s="73" t="s">
        <v>42</v>
      </c>
      <c r="E28" s="78">
        <v>10.7</v>
      </c>
      <c r="F28" s="79">
        <f t="shared" si="0"/>
        <v>3.2613598956364833</v>
      </c>
      <c r="G28" s="83">
        <v>41.98</v>
      </c>
      <c r="H28">
        <v>1</v>
      </c>
      <c r="I28" s="64"/>
      <c r="J28" s="68"/>
      <c r="K28" s="72" t="s">
        <v>19</v>
      </c>
      <c r="M28" t="s">
        <v>19</v>
      </c>
      <c r="N28" s="64"/>
      <c r="O28" s="73"/>
    </row>
    <row r="29" spans="1:16" x14ac:dyDescent="0.35">
      <c r="A29" s="68" t="s">
        <v>110</v>
      </c>
      <c r="B29" s="68" t="s">
        <v>61</v>
      </c>
      <c r="C29" s="72">
        <v>24</v>
      </c>
      <c r="D29" s="73" t="s">
        <v>42</v>
      </c>
      <c r="E29" s="78">
        <v>12.5</v>
      </c>
      <c r="F29" s="79">
        <f t="shared" si="0"/>
        <v>3.8099998780800037</v>
      </c>
      <c r="G29" s="83">
        <v>52.37</v>
      </c>
      <c r="H29">
        <v>1</v>
      </c>
      <c r="I29" s="64"/>
      <c r="J29" s="68"/>
      <c r="K29" s="72" t="s">
        <v>19</v>
      </c>
      <c r="M29" t="s">
        <v>19</v>
      </c>
      <c r="N29" s="64"/>
      <c r="O29" s="73"/>
    </row>
    <row r="30" spans="1:16" x14ac:dyDescent="0.35">
      <c r="A30" s="68" t="s">
        <v>110</v>
      </c>
      <c r="B30" s="68" t="s">
        <v>61</v>
      </c>
      <c r="C30" s="72">
        <v>25</v>
      </c>
      <c r="D30" s="73" t="s">
        <v>42</v>
      </c>
      <c r="E30" s="78">
        <v>13.7</v>
      </c>
      <c r="F30" s="79">
        <f t="shared" si="0"/>
        <v>4.1757598663756843</v>
      </c>
      <c r="G30" s="83">
        <v>57.51</v>
      </c>
      <c r="H30">
        <v>1</v>
      </c>
      <c r="I30" s="64"/>
      <c r="J30" s="68"/>
      <c r="K30" s="72" t="s">
        <v>20</v>
      </c>
      <c r="L30" t="s">
        <v>22</v>
      </c>
      <c r="M30" t="s">
        <v>19</v>
      </c>
      <c r="N30" s="64">
        <v>2.4700000000000002</v>
      </c>
      <c r="O30" s="73">
        <v>0</v>
      </c>
    </row>
    <row r="31" spans="1:16" x14ac:dyDescent="0.35">
      <c r="A31" s="68" t="s">
        <v>110</v>
      </c>
      <c r="B31" s="68" t="s">
        <v>61</v>
      </c>
      <c r="C31" s="72">
        <v>26</v>
      </c>
      <c r="D31" s="73" t="s">
        <v>42</v>
      </c>
      <c r="E31" s="78">
        <v>7.7</v>
      </c>
      <c r="F31" s="79">
        <f t="shared" si="0"/>
        <v>2.3469599248972823</v>
      </c>
      <c r="G31" s="83">
        <v>23.74</v>
      </c>
      <c r="H31">
        <v>1</v>
      </c>
      <c r="I31" s="64"/>
      <c r="J31" s="68"/>
      <c r="K31" s="72" t="s">
        <v>19</v>
      </c>
      <c r="M31" t="s">
        <v>19</v>
      </c>
      <c r="N31" s="64"/>
      <c r="O31" s="73"/>
    </row>
    <row r="32" spans="1:16" x14ac:dyDescent="0.35">
      <c r="A32" s="68" t="s">
        <v>110</v>
      </c>
      <c r="B32" s="68" t="s">
        <v>61</v>
      </c>
      <c r="C32" s="72">
        <v>27</v>
      </c>
      <c r="D32" s="73" t="s">
        <v>42</v>
      </c>
      <c r="E32" s="78">
        <v>12.4</v>
      </c>
      <c r="F32" s="79">
        <f t="shared" si="0"/>
        <v>3.7795198790553641</v>
      </c>
      <c r="G32" s="83">
        <v>50.45</v>
      </c>
      <c r="H32">
        <v>1</v>
      </c>
      <c r="I32" s="64"/>
      <c r="J32" s="68"/>
      <c r="K32" s="72" t="s">
        <v>20</v>
      </c>
      <c r="L32" t="s">
        <v>22</v>
      </c>
      <c r="M32" t="s">
        <v>19</v>
      </c>
      <c r="N32" s="64">
        <v>0.48</v>
      </c>
      <c r="O32" s="73">
        <v>0</v>
      </c>
    </row>
    <row r="33" spans="1:15" x14ac:dyDescent="0.35">
      <c r="A33" s="68" t="s">
        <v>110</v>
      </c>
      <c r="B33" s="68" t="s">
        <v>61</v>
      </c>
      <c r="C33" s="72">
        <v>27</v>
      </c>
      <c r="D33" s="73"/>
      <c r="E33" s="78"/>
      <c r="F33" s="79" t="str">
        <f t="shared" si="0"/>
        <v xml:space="preserve"> </v>
      </c>
      <c r="G33" s="83"/>
      <c r="I33" s="64"/>
      <c r="J33" s="68"/>
      <c r="K33" s="72" t="s">
        <v>20</v>
      </c>
      <c r="L33" t="s">
        <v>22</v>
      </c>
      <c r="M33" t="s">
        <v>19</v>
      </c>
      <c r="N33" s="64">
        <v>1.25</v>
      </c>
      <c r="O33" s="73">
        <v>0</v>
      </c>
    </row>
    <row r="34" spans="1:15" x14ac:dyDescent="0.35">
      <c r="A34" s="68" t="s">
        <v>110</v>
      </c>
      <c r="B34" s="68" t="s">
        <v>61</v>
      </c>
      <c r="C34" s="72">
        <v>28</v>
      </c>
      <c r="D34" s="73" t="s">
        <v>42</v>
      </c>
      <c r="E34" s="78">
        <v>11.8</v>
      </c>
      <c r="F34" s="79">
        <f t="shared" si="0"/>
        <v>3.5966398849075238</v>
      </c>
      <c r="G34" s="83">
        <v>39.619999999999997</v>
      </c>
      <c r="H34">
        <v>1</v>
      </c>
      <c r="I34" s="64"/>
      <c r="J34" s="68"/>
      <c r="K34" s="72" t="s">
        <v>20</v>
      </c>
      <c r="L34" t="s">
        <v>22</v>
      </c>
      <c r="M34" t="s">
        <v>19</v>
      </c>
      <c r="N34" s="64">
        <v>1.05</v>
      </c>
      <c r="O34" s="73">
        <v>0</v>
      </c>
    </row>
    <row r="35" spans="1:15" x14ac:dyDescent="0.35">
      <c r="A35" s="68" t="s">
        <v>110</v>
      </c>
      <c r="B35" s="68" t="s">
        <v>61</v>
      </c>
      <c r="C35" s="72">
        <v>29</v>
      </c>
      <c r="D35" s="73" t="s">
        <v>42</v>
      </c>
      <c r="E35" s="78">
        <v>11</v>
      </c>
      <c r="F35" s="79">
        <f t="shared" si="0"/>
        <v>3.3527998927104035</v>
      </c>
      <c r="G35" s="83">
        <v>33.25</v>
      </c>
      <c r="H35">
        <v>1</v>
      </c>
      <c r="I35" s="64"/>
      <c r="J35" s="68"/>
      <c r="K35" s="72" t="s">
        <v>19</v>
      </c>
      <c r="M35" t="s">
        <v>19</v>
      </c>
      <c r="N35" s="64"/>
      <c r="O35" s="73"/>
    </row>
    <row r="36" spans="1:15" x14ac:dyDescent="0.35">
      <c r="A36" s="68" t="s">
        <v>110</v>
      </c>
      <c r="B36" s="68" t="s">
        <v>61</v>
      </c>
      <c r="C36" s="72">
        <v>30</v>
      </c>
      <c r="D36" s="73" t="s">
        <v>42</v>
      </c>
      <c r="E36" s="78">
        <v>10.7</v>
      </c>
      <c r="F36" s="79">
        <f t="shared" si="0"/>
        <v>3.2613598956364833</v>
      </c>
      <c r="G36" s="83">
        <v>36.15</v>
      </c>
      <c r="H36">
        <v>1</v>
      </c>
      <c r="I36" s="64"/>
      <c r="J36" s="68">
        <v>78</v>
      </c>
      <c r="K36" s="72" t="s">
        <v>19</v>
      </c>
      <c r="M36" t="s">
        <v>19</v>
      </c>
      <c r="N36" s="64"/>
      <c r="O36" s="73"/>
    </row>
    <row r="37" spans="1:15" x14ac:dyDescent="0.35">
      <c r="A37" s="68" t="s">
        <v>110</v>
      </c>
      <c r="B37" s="68" t="s">
        <v>61</v>
      </c>
      <c r="C37" s="72">
        <v>31</v>
      </c>
      <c r="D37" s="73" t="s">
        <v>42</v>
      </c>
      <c r="E37" s="78">
        <v>8.4</v>
      </c>
      <c r="F37" s="79">
        <f t="shared" si="0"/>
        <v>2.5603199180697627</v>
      </c>
      <c r="G37" s="83">
        <v>23.48</v>
      </c>
      <c r="H37">
        <v>1</v>
      </c>
      <c r="I37" s="64"/>
      <c r="J37" s="68"/>
      <c r="K37" s="72" t="s">
        <v>19</v>
      </c>
      <c r="M37" t="s">
        <v>19</v>
      </c>
      <c r="N37" s="64"/>
      <c r="O37" s="73"/>
    </row>
    <row r="38" spans="1:15" x14ac:dyDescent="0.35">
      <c r="A38" s="68" t="s">
        <v>110</v>
      </c>
      <c r="B38" s="68" t="s">
        <v>61</v>
      </c>
      <c r="C38" s="72">
        <v>32</v>
      </c>
      <c r="D38" s="73" t="s">
        <v>42</v>
      </c>
      <c r="E38" s="78">
        <v>12.3</v>
      </c>
      <c r="F38" s="79">
        <f t="shared" si="0"/>
        <v>3.7490398800307241</v>
      </c>
      <c r="G38" s="83">
        <v>52.73</v>
      </c>
      <c r="H38">
        <v>1</v>
      </c>
      <c r="I38" s="64"/>
      <c r="J38" s="68"/>
      <c r="K38" s="72" t="s">
        <v>20</v>
      </c>
      <c r="L38" t="s">
        <v>22</v>
      </c>
      <c r="M38" t="s">
        <v>19</v>
      </c>
      <c r="N38" s="64">
        <v>0.37</v>
      </c>
      <c r="O38" s="73">
        <v>0</v>
      </c>
    </row>
    <row r="39" spans="1:15" s="1" customFormat="1" x14ac:dyDescent="0.35">
      <c r="A39" s="69" t="s">
        <v>110</v>
      </c>
      <c r="B39" s="69" t="s">
        <v>61</v>
      </c>
      <c r="C39" s="74">
        <v>33</v>
      </c>
      <c r="D39" s="75" t="s">
        <v>42</v>
      </c>
      <c r="E39" s="80">
        <v>11.4</v>
      </c>
      <c r="F39" s="81">
        <f t="shared" si="0"/>
        <v>3.4747198888089637</v>
      </c>
      <c r="G39" s="84">
        <v>49.25</v>
      </c>
      <c r="H39" s="1">
        <v>1</v>
      </c>
      <c r="I39" s="66"/>
      <c r="J39" s="69">
        <v>155</v>
      </c>
      <c r="K39" s="74" t="s">
        <v>19</v>
      </c>
      <c r="M39" s="1" t="s">
        <v>19</v>
      </c>
      <c r="N39" s="66"/>
      <c r="O39" s="75"/>
    </row>
    <row r="40" spans="1:15" x14ac:dyDescent="0.35">
      <c r="A40" s="68" t="s">
        <v>126</v>
      </c>
      <c r="B40" s="68" t="s">
        <v>61</v>
      </c>
      <c r="C40" s="72">
        <v>15</v>
      </c>
      <c r="D40" s="73" t="s">
        <v>42</v>
      </c>
      <c r="E40" s="78">
        <v>8.5</v>
      </c>
      <c r="F40" s="79">
        <f t="shared" si="0"/>
        <v>2.5907999170944027</v>
      </c>
      <c r="G40" s="83">
        <v>38.25</v>
      </c>
      <c r="H40">
        <v>2</v>
      </c>
      <c r="I40" s="64">
        <v>0.38</v>
      </c>
      <c r="J40" s="68"/>
      <c r="K40" s="72" t="s">
        <v>20</v>
      </c>
      <c r="L40" t="s">
        <v>21</v>
      </c>
      <c r="M40" t="s">
        <v>19</v>
      </c>
      <c r="N40" s="64">
        <v>1.06</v>
      </c>
      <c r="O40" s="73">
        <v>35</v>
      </c>
    </row>
    <row r="41" spans="1:15" x14ac:dyDescent="0.35">
      <c r="A41" s="68" t="s">
        <v>126</v>
      </c>
      <c r="B41" s="68" t="s">
        <v>61</v>
      </c>
      <c r="C41" s="72">
        <v>16</v>
      </c>
      <c r="D41" s="73" t="s">
        <v>42</v>
      </c>
      <c r="E41" s="78">
        <v>9.1</v>
      </c>
      <c r="F41" s="79">
        <f t="shared" si="0"/>
        <v>2.7736799112422426</v>
      </c>
      <c r="G41" s="83">
        <v>42.33</v>
      </c>
      <c r="H41">
        <v>1</v>
      </c>
      <c r="I41" s="64"/>
      <c r="J41" s="68">
        <v>55</v>
      </c>
      <c r="K41" s="72" t="s">
        <v>20</v>
      </c>
      <c r="L41" t="s">
        <v>21</v>
      </c>
      <c r="M41" t="s">
        <v>19</v>
      </c>
      <c r="N41" s="64">
        <v>1.29</v>
      </c>
      <c r="O41" s="73">
        <v>60</v>
      </c>
    </row>
    <row r="42" spans="1:15" x14ac:dyDescent="0.35">
      <c r="A42" s="68" t="s">
        <v>126</v>
      </c>
      <c r="B42" s="68" t="s">
        <v>61</v>
      </c>
      <c r="C42" s="72">
        <v>17</v>
      </c>
      <c r="D42" s="73" t="s">
        <v>42</v>
      </c>
      <c r="E42" s="78">
        <v>14.7</v>
      </c>
      <c r="F42" s="79">
        <f t="shared" si="0"/>
        <v>4.4805598566220848</v>
      </c>
      <c r="G42" s="83">
        <v>93.76</v>
      </c>
      <c r="H42">
        <v>1</v>
      </c>
      <c r="I42" s="64"/>
      <c r="J42" s="68">
        <v>50</v>
      </c>
      <c r="K42" s="72" t="s">
        <v>19</v>
      </c>
      <c r="M42" t="s">
        <v>19</v>
      </c>
      <c r="N42" s="64"/>
      <c r="O42" s="73"/>
    </row>
    <row r="43" spans="1:15" x14ac:dyDescent="0.35">
      <c r="A43" s="68" t="s">
        <v>126</v>
      </c>
      <c r="B43" s="68" t="s">
        <v>61</v>
      </c>
      <c r="C43" s="72">
        <v>18</v>
      </c>
      <c r="D43" s="73" t="s">
        <v>42</v>
      </c>
      <c r="E43" s="78">
        <v>7.3</v>
      </c>
      <c r="F43" s="79">
        <f t="shared" si="0"/>
        <v>2.2250399287987221</v>
      </c>
      <c r="G43" s="83">
        <v>24.37</v>
      </c>
      <c r="H43">
        <v>3</v>
      </c>
      <c r="I43" s="64">
        <v>0.27</v>
      </c>
      <c r="J43" s="68"/>
      <c r="K43" s="72" t="s">
        <v>20</v>
      </c>
      <c r="L43" t="s">
        <v>22</v>
      </c>
      <c r="M43" t="s">
        <v>19</v>
      </c>
      <c r="N43" s="64">
        <v>0.22</v>
      </c>
      <c r="O43" s="73">
        <v>0</v>
      </c>
    </row>
    <row r="44" spans="1:15" x14ac:dyDescent="0.35">
      <c r="A44" s="68" t="s">
        <v>126</v>
      </c>
      <c r="B44" s="68" t="s">
        <v>61</v>
      </c>
      <c r="C44" s="72">
        <v>18</v>
      </c>
      <c r="D44" s="73"/>
      <c r="E44" s="78"/>
      <c r="F44" s="79" t="str">
        <f t="shared" si="0"/>
        <v xml:space="preserve"> </v>
      </c>
      <c r="G44" s="83"/>
      <c r="I44" s="64">
        <v>0.16</v>
      </c>
      <c r="J44" s="68"/>
      <c r="K44" s="72" t="s">
        <v>20</v>
      </c>
      <c r="L44" t="s">
        <v>21</v>
      </c>
      <c r="M44" t="s">
        <v>19</v>
      </c>
      <c r="N44" s="64">
        <v>0</v>
      </c>
      <c r="O44" s="73">
        <v>170</v>
      </c>
    </row>
    <row r="45" spans="1:15" x14ac:dyDescent="0.35">
      <c r="A45" s="68" t="s">
        <v>126</v>
      </c>
      <c r="B45" s="68" t="s">
        <v>61</v>
      </c>
      <c r="C45" s="72">
        <v>19</v>
      </c>
      <c r="D45" s="73" t="s">
        <v>42</v>
      </c>
      <c r="E45" s="78">
        <v>12.5</v>
      </c>
      <c r="F45" s="79">
        <f t="shared" si="0"/>
        <v>3.8099998780800037</v>
      </c>
      <c r="G45" s="83">
        <v>61.8</v>
      </c>
      <c r="H45">
        <v>1</v>
      </c>
      <c r="I45" s="64"/>
      <c r="J45" s="68">
        <v>80</v>
      </c>
      <c r="K45" s="72" t="s">
        <v>19</v>
      </c>
      <c r="M45" t="s">
        <v>19</v>
      </c>
      <c r="N45" s="64"/>
      <c r="O45" s="73"/>
    </row>
    <row r="46" spans="1:15" x14ac:dyDescent="0.35">
      <c r="A46" s="68" t="s">
        <v>126</v>
      </c>
      <c r="B46" s="68" t="s">
        <v>61</v>
      </c>
      <c r="C46" s="72">
        <v>20</v>
      </c>
      <c r="D46" s="73" t="s">
        <v>42</v>
      </c>
      <c r="E46" s="78">
        <v>9.8000000000000007</v>
      </c>
      <c r="F46" s="79">
        <f t="shared" si="0"/>
        <v>2.9870399044147233</v>
      </c>
      <c r="G46" s="83">
        <v>42.4</v>
      </c>
      <c r="H46">
        <v>1</v>
      </c>
      <c r="I46" s="64"/>
      <c r="J46" s="68"/>
      <c r="K46" s="72" t="s">
        <v>20</v>
      </c>
      <c r="L46" t="s">
        <v>66</v>
      </c>
      <c r="M46" t="s">
        <v>19</v>
      </c>
      <c r="N46" s="64">
        <v>0</v>
      </c>
      <c r="O46" s="73">
        <v>213</v>
      </c>
    </row>
    <row r="47" spans="1:15" x14ac:dyDescent="0.35">
      <c r="A47" s="68" t="s">
        <v>126</v>
      </c>
      <c r="B47" s="68" t="s">
        <v>61</v>
      </c>
      <c r="C47" s="72">
        <v>21</v>
      </c>
      <c r="D47" s="73" t="s">
        <v>42</v>
      </c>
      <c r="E47" s="78">
        <v>5.7</v>
      </c>
      <c r="F47" s="79">
        <f t="shared" si="0"/>
        <v>1.7373599444044818</v>
      </c>
      <c r="G47" s="83">
        <v>12.07</v>
      </c>
      <c r="H47">
        <v>1</v>
      </c>
      <c r="I47" s="64"/>
      <c r="J47" s="68"/>
      <c r="K47" s="72" t="s">
        <v>19</v>
      </c>
      <c r="M47" t="s">
        <v>19</v>
      </c>
      <c r="N47" s="64"/>
      <c r="O47" s="73"/>
    </row>
    <row r="48" spans="1:15" x14ac:dyDescent="0.35">
      <c r="A48" s="68" t="s">
        <v>126</v>
      </c>
      <c r="B48" s="68" t="s">
        <v>61</v>
      </c>
      <c r="C48" s="72">
        <v>22</v>
      </c>
      <c r="D48" s="73" t="s">
        <v>42</v>
      </c>
      <c r="E48" s="78">
        <v>6.9</v>
      </c>
      <c r="F48" s="79">
        <f t="shared" si="0"/>
        <v>2.1031199327001624</v>
      </c>
      <c r="G48" s="83">
        <v>22.18</v>
      </c>
      <c r="H48">
        <v>2</v>
      </c>
      <c r="I48" s="64">
        <v>1.25</v>
      </c>
      <c r="J48" s="68"/>
      <c r="K48" s="72" t="s">
        <v>20</v>
      </c>
      <c r="L48" t="s">
        <v>22</v>
      </c>
      <c r="M48" t="s">
        <v>19</v>
      </c>
      <c r="N48" s="64">
        <v>0.94</v>
      </c>
      <c r="O48" s="73">
        <v>21</v>
      </c>
    </row>
    <row r="49" spans="1:15" x14ac:dyDescent="0.35">
      <c r="A49" s="68" t="s">
        <v>126</v>
      </c>
      <c r="B49" s="68" t="s">
        <v>61</v>
      </c>
      <c r="C49" s="72">
        <v>22</v>
      </c>
      <c r="D49" s="73"/>
      <c r="E49" s="78"/>
      <c r="F49" s="79" t="str">
        <f t="shared" si="0"/>
        <v xml:space="preserve"> </v>
      </c>
      <c r="G49" s="83"/>
      <c r="I49" s="64"/>
      <c r="J49" s="68"/>
      <c r="K49" s="72" t="s">
        <v>20</v>
      </c>
      <c r="L49" t="s">
        <v>21</v>
      </c>
      <c r="M49" t="s">
        <v>19</v>
      </c>
      <c r="N49" s="64">
        <v>0.14000000000000001</v>
      </c>
      <c r="O49" s="73">
        <v>180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91B7-8267-422C-BA3C-3195FBC54AAE}">
  <dimension ref="A1:M59"/>
  <sheetViews>
    <sheetView workbookViewId="0">
      <selection activeCell="A2" sqref="A2:M2"/>
    </sheetView>
  </sheetViews>
  <sheetFormatPr defaultColWidth="8.81640625" defaultRowHeight="14.5" x14ac:dyDescent="0.35"/>
  <cols>
    <col min="1" max="1" width="10.1796875" customWidth="1"/>
    <col min="13" max="13" width="27.6328125" customWidth="1"/>
  </cols>
  <sheetData>
    <row r="1" spans="1:13" ht="15" thickBot="1" x14ac:dyDescent="0.4">
      <c r="A1" t="s">
        <v>49</v>
      </c>
      <c r="D1" t="s">
        <v>50</v>
      </c>
      <c r="G1" t="s">
        <v>51</v>
      </c>
      <c r="J1" t="s">
        <v>52</v>
      </c>
      <c r="M1" t="s">
        <v>53</v>
      </c>
    </row>
    <row r="2" spans="1:13" ht="60.5" customHeight="1" thickBot="1" x14ac:dyDescent="0.4">
      <c r="A2" s="95" t="s">
        <v>59</v>
      </c>
      <c r="B2" s="96"/>
      <c r="C2" s="96"/>
      <c r="D2" s="96"/>
      <c r="E2" s="96"/>
      <c r="F2" s="96"/>
      <c r="G2" s="96"/>
      <c r="H2" s="96"/>
      <c r="I2" s="96"/>
      <c r="J2" s="96"/>
      <c r="K2" s="96"/>
      <c r="L2" s="96"/>
      <c r="M2" s="97"/>
    </row>
    <row r="3" spans="1:13" x14ac:dyDescent="0.35">
      <c r="A3" s="11" t="s">
        <v>54</v>
      </c>
      <c r="B3" s="12"/>
      <c r="C3" s="12"/>
      <c r="D3" s="12"/>
      <c r="E3" s="12"/>
      <c r="F3" s="12"/>
      <c r="G3" s="12"/>
      <c r="H3" s="12"/>
      <c r="I3" s="12"/>
      <c r="J3" s="12"/>
      <c r="K3" s="12"/>
      <c r="L3" s="12"/>
      <c r="M3" s="13"/>
    </row>
    <row r="4" spans="1:13" x14ac:dyDescent="0.35">
      <c r="A4" s="7"/>
      <c r="B4" s="8"/>
      <c r="C4" s="8"/>
      <c r="D4" s="8"/>
      <c r="E4" s="8"/>
      <c r="F4" s="8"/>
      <c r="G4" s="8"/>
      <c r="H4" s="8"/>
      <c r="I4" s="8"/>
      <c r="J4" s="8"/>
      <c r="K4" s="8"/>
      <c r="L4" s="8"/>
      <c r="M4" s="9"/>
    </row>
    <row r="5" spans="1:13" ht="15" thickBot="1" x14ac:dyDescent="0.4">
      <c r="A5" s="14"/>
      <c r="B5" s="10"/>
      <c r="C5" s="10"/>
      <c r="D5" s="10"/>
      <c r="E5" s="10"/>
      <c r="F5" s="10"/>
      <c r="G5" s="10"/>
      <c r="H5" s="10"/>
      <c r="I5" s="10"/>
      <c r="J5" s="10"/>
      <c r="K5" s="10"/>
      <c r="L5" s="10"/>
      <c r="M5" s="15"/>
    </row>
    <row r="6" spans="1:13" ht="29.5" thickBot="1" x14ac:dyDescent="0.4">
      <c r="A6" s="17" t="s">
        <v>2</v>
      </c>
      <c r="B6" s="17" t="s">
        <v>55</v>
      </c>
      <c r="C6" s="17" t="s">
        <v>8</v>
      </c>
      <c r="D6" s="17" t="s">
        <v>12</v>
      </c>
      <c r="E6" s="18" t="s">
        <v>10</v>
      </c>
      <c r="F6" s="16" t="s">
        <v>11</v>
      </c>
      <c r="G6" s="17" t="s">
        <v>56</v>
      </c>
      <c r="H6" s="20" t="s">
        <v>14</v>
      </c>
      <c r="I6" s="40" t="s">
        <v>15</v>
      </c>
      <c r="J6" s="41" t="s">
        <v>16</v>
      </c>
      <c r="K6" s="40" t="s">
        <v>57</v>
      </c>
      <c r="L6" s="16" t="s">
        <v>58</v>
      </c>
      <c r="M6" s="19" t="s">
        <v>5</v>
      </c>
    </row>
    <row r="7" spans="1:13" x14ac:dyDescent="0.35">
      <c r="A7" s="31"/>
      <c r="B7" s="31"/>
      <c r="C7" s="45"/>
      <c r="D7" s="33"/>
      <c r="E7" s="32"/>
      <c r="F7" s="33"/>
      <c r="G7" s="45"/>
      <c r="H7" s="32"/>
      <c r="I7" s="34"/>
      <c r="J7" s="34"/>
      <c r="K7" s="34"/>
      <c r="L7" s="42"/>
      <c r="M7" s="35"/>
    </row>
    <row r="8" spans="1:13" x14ac:dyDescent="0.35">
      <c r="A8" s="22"/>
      <c r="B8" s="22"/>
      <c r="C8" s="38"/>
      <c r="D8" s="25"/>
      <c r="E8" s="24"/>
      <c r="F8" s="25"/>
      <c r="G8" s="38"/>
      <c r="H8" s="24"/>
      <c r="I8" s="21"/>
      <c r="J8" s="21"/>
      <c r="K8" s="21"/>
      <c r="L8" s="43"/>
      <c r="M8" s="29"/>
    </row>
    <row r="9" spans="1:13" x14ac:dyDescent="0.35">
      <c r="A9" s="22"/>
      <c r="B9" s="22"/>
      <c r="C9" s="38"/>
      <c r="D9" s="25"/>
      <c r="E9" s="24"/>
      <c r="F9" s="25"/>
      <c r="G9" s="38"/>
      <c r="H9" s="24"/>
      <c r="I9" s="21"/>
      <c r="J9" s="21"/>
      <c r="K9" s="21"/>
      <c r="L9" s="43"/>
      <c r="M9" s="29"/>
    </row>
    <row r="10" spans="1:13" x14ac:dyDescent="0.35">
      <c r="A10" s="22"/>
      <c r="B10" s="22"/>
      <c r="C10" s="38"/>
      <c r="D10" s="25"/>
      <c r="E10" s="24"/>
      <c r="F10" s="25"/>
      <c r="G10" s="38"/>
      <c r="H10" s="24"/>
      <c r="I10" s="21"/>
      <c r="J10" s="21"/>
      <c r="K10" s="21"/>
      <c r="L10" s="43"/>
      <c r="M10" s="29"/>
    </row>
    <row r="11" spans="1:13" x14ac:dyDescent="0.35">
      <c r="A11" s="22"/>
      <c r="B11" s="22"/>
      <c r="C11" s="38"/>
      <c r="D11" s="25"/>
      <c r="E11" s="24"/>
      <c r="F11" s="25"/>
      <c r="G11" s="38"/>
      <c r="H11" s="24"/>
      <c r="I11" s="21"/>
      <c r="J11" s="21"/>
      <c r="K11" s="21"/>
      <c r="L11" s="43"/>
      <c r="M11" s="29"/>
    </row>
    <row r="12" spans="1:13" x14ac:dyDescent="0.35">
      <c r="A12" s="22"/>
      <c r="B12" s="22"/>
      <c r="C12" s="38"/>
      <c r="D12" s="25"/>
      <c r="E12" s="24"/>
      <c r="F12" s="25"/>
      <c r="G12" s="38"/>
      <c r="H12" s="24"/>
      <c r="I12" s="21"/>
      <c r="J12" s="21"/>
      <c r="K12" s="21"/>
      <c r="L12" s="43"/>
      <c r="M12" s="29"/>
    </row>
    <row r="13" spans="1:13" x14ac:dyDescent="0.35">
      <c r="A13" s="22"/>
      <c r="B13" s="22"/>
      <c r="C13" s="38"/>
      <c r="D13" s="25"/>
      <c r="E13" s="24"/>
      <c r="F13" s="25"/>
      <c r="G13" s="38"/>
      <c r="H13" s="24"/>
      <c r="I13" s="21"/>
      <c r="J13" s="21"/>
      <c r="K13" s="21"/>
      <c r="L13" s="43"/>
      <c r="M13" s="29"/>
    </row>
    <row r="14" spans="1:13" x14ac:dyDescent="0.35">
      <c r="A14" s="22"/>
      <c r="B14" s="22"/>
      <c r="C14" s="38"/>
      <c r="D14" s="25"/>
      <c r="E14" s="24"/>
      <c r="F14" s="25"/>
      <c r="G14" s="38"/>
      <c r="H14" s="24"/>
      <c r="I14" s="21"/>
      <c r="J14" s="21"/>
      <c r="K14" s="21"/>
      <c r="L14" s="43"/>
      <c r="M14" s="29"/>
    </row>
    <row r="15" spans="1:13" x14ac:dyDescent="0.35">
      <c r="A15" s="22"/>
      <c r="B15" s="22"/>
      <c r="C15" s="38"/>
      <c r="D15" s="25"/>
      <c r="E15" s="24"/>
      <c r="F15" s="25"/>
      <c r="G15" s="38"/>
      <c r="H15" s="24"/>
      <c r="I15" s="21"/>
      <c r="J15" s="21"/>
      <c r="K15" s="21"/>
      <c r="L15" s="43"/>
      <c r="M15" s="29"/>
    </row>
    <row r="16" spans="1:13" x14ac:dyDescent="0.35">
      <c r="A16" s="22"/>
      <c r="B16" s="22"/>
      <c r="C16" s="38"/>
      <c r="D16" s="25"/>
      <c r="E16" s="24"/>
      <c r="F16" s="25"/>
      <c r="G16" s="38"/>
      <c r="H16" s="24"/>
      <c r="I16" s="21"/>
      <c r="J16" s="21"/>
      <c r="K16" s="21"/>
      <c r="L16" s="43"/>
      <c r="M16" s="29"/>
    </row>
    <row r="17" spans="1:13" x14ac:dyDescent="0.35">
      <c r="A17" s="22"/>
      <c r="B17" s="22"/>
      <c r="C17" s="38"/>
      <c r="D17" s="25"/>
      <c r="E17" s="24"/>
      <c r="F17" s="25"/>
      <c r="G17" s="38"/>
      <c r="H17" s="24"/>
      <c r="I17" s="21"/>
      <c r="J17" s="21"/>
      <c r="K17" s="21"/>
      <c r="L17" s="43"/>
      <c r="M17" s="29"/>
    </row>
    <row r="18" spans="1:13" x14ac:dyDescent="0.35">
      <c r="A18" s="22"/>
      <c r="B18" s="22"/>
      <c r="C18" s="38"/>
      <c r="D18" s="25"/>
      <c r="E18" s="24"/>
      <c r="F18" s="25"/>
      <c r="G18" s="38"/>
      <c r="H18" s="24"/>
      <c r="I18" s="21"/>
      <c r="J18" s="21"/>
      <c r="K18" s="21"/>
      <c r="L18" s="43"/>
      <c r="M18" s="29"/>
    </row>
    <row r="19" spans="1:13" x14ac:dyDescent="0.35">
      <c r="A19" s="22"/>
      <c r="B19" s="22"/>
      <c r="C19" s="38"/>
      <c r="D19" s="25"/>
      <c r="E19" s="24"/>
      <c r="F19" s="25"/>
      <c r="G19" s="38"/>
      <c r="H19" s="24"/>
      <c r="I19" s="21"/>
      <c r="J19" s="21"/>
      <c r="K19" s="21"/>
      <c r="L19" s="43"/>
      <c r="M19" s="29"/>
    </row>
    <row r="20" spans="1:13" x14ac:dyDescent="0.35">
      <c r="A20" s="22"/>
      <c r="B20" s="22"/>
      <c r="C20" s="38"/>
      <c r="D20" s="25"/>
      <c r="E20" s="24"/>
      <c r="F20" s="25"/>
      <c r="G20" s="38"/>
      <c r="H20" s="24"/>
      <c r="I20" s="21"/>
      <c r="J20" s="21"/>
      <c r="K20" s="21"/>
      <c r="L20" s="43"/>
      <c r="M20" s="29"/>
    </row>
    <row r="21" spans="1:13" x14ac:dyDescent="0.35">
      <c r="A21" s="22"/>
      <c r="B21" s="22"/>
      <c r="C21" s="38"/>
      <c r="D21" s="25"/>
      <c r="E21" s="24"/>
      <c r="F21" s="25"/>
      <c r="G21" s="38"/>
      <c r="H21" s="24"/>
      <c r="I21" s="21"/>
      <c r="J21" s="21"/>
      <c r="K21" s="21"/>
      <c r="L21" s="43"/>
      <c r="M21" s="29"/>
    </row>
    <row r="22" spans="1:13" x14ac:dyDescent="0.35">
      <c r="A22" s="22"/>
      <c r="B22" s="22"/>
      <c r="C22" s="38"/>
      <c r="D22" s="25"/>
      <c r="E22" s="24"/>
      <c r="F22" s="25"/>
      <c r="G22" s="38"/>
      <c r="H22" s="24"/>
      <c r="I22" s="21"/>
      <c r="J22" s="21"/>
      <c r="K22" s="21"/>
      <c r="L22" s="43"/>
      <c r="M22" s="29"/>
    </row>
    <row r="23" spans="1:13" x14ac:dyDescent="0.35">
      <c r="A23" s="22"/>
      <c r="B23" s="22"/>
      <c r="C23" s="38"/>
      <c r="D23" s="25"/>
      <c r="E23" s="24"/>
      <c r="F23" s="25"/>
      <c r="G23" s="38"/>
      <c r="H23" s="24"/>
      <c r="I23" s="21"/>
      <c r="J23" s="21"/>
      <c r="K23" s="21"/>
      <c r="L23" s="43"/>
      <c r="M23" s="29"/>
    </row>
    <row r="24" spans="1:13" x14ac:dyDescent="0.35">
      <c r="A24" s="22"/>
      <c r="B24" s="22"/>
      <c r="C24" s="38"/>
      <c r="D24" s="25"/>
      <c r="E24" s="24"/>
      <c r="F24" s="25"/>
      <c r="G24" s="38"/>
      <c r="H24" s="24"/>
      <c r="I24" s="21"/>
      <c r="J24" s="21"/>
      <c r="K24" s="21"/>
      <c r="L24" s="43"/>
      <c r="M24" s="29"/>
    </row>
    <row r="25" spans="1:13" x14ac:dyDescent="0.35">
      <c r="A25" s="22"/>
      <c r="B25" s="22"/>
      <c r="C25" s="38"/>
      <c r="D25" s="25"/>
      <c r="E25" s="24"/>
      <c r="F25" s="25"/>
      <c r="G25" s="38"/>
      <c r="H25" s="24"/>
      <c r="I25" s="21"/>
      <c r="J25" s="21"/>
      <c r="K25" s="21"/>
      <c r="L25" s="43"/>
      <c r="M25" s="29"/>
    </row>
    <row r="26" spans="1:13" x14ac:dyDescent="0.35">
      <c r="A26" s="22"/>
      <c r="B26" s="22"/>
      <c r="C26" s="38"/>
      <c r="D26" s="25"/>
      <c r="E26" s="24"/>
      <c r="F26" s="25"/>
      <c r="G26" s="38"/>
      <c r="H26" s="24"/>
      <c r="I26" s="21"/>
      <c r="J26" s="21"/>
      <c r="K26" s="21"/>
      <c r="L26" s="43"/>
      <c r="M26" s="29"/>
    </row>
    <row r="27" spans="1:13" x14ac:dyDescent="0.35">
      <c r="A27" s="22"/>
      <c r="B27" s="22"/>
      <c r="C27" s="38"/>
      <c r="D27" s="25"/>
      <c r="E27" s="24"/>
      <c r="F27" s="25"/>
      <c r="G27" s="38"/>
      <c r="H27" s="24"/>
      <c r="I27" s="21"/>
      <c r="J27" s="21"/>
      <c r="K27" s="21"/>
      <c r="L27" s="43"/>
      <c r="M27" s="29"/>
    </row>
    <row r="28" spans="1:13" ht="15" thickBot="1" x14ac:dyDescent="0.4">
      <c r="A28" s="23"/>
      <c r="B28" s="23"/>
      <c r="C28" s="39"/>
      <c r="D28" s="27"/>
      <c r="E28" s="26"/>
      <c r="F28" s="27"/>
      <c r="G28" s="39"/>
      <c r="H28" s="26"/>
      <c r="I28" s="28"/>
      <c r="J28" s="28"/>
      <c r="K28" s="28"/>
      <c r="L28" s="44"/>
      <c r="M28" s="30"/>
    </row>
    <row r="29" spans="1:13" ht="29.5" thickBot="1" x14ac:dyDescent="0.4">
      <c r="A29" s="19" t="s">
        <v>2</v>
      </c>
      <c r="B29" s="17" t="s">
        <v>7</v>
      </c>
      <c r="C29" s="17" t="s">
        <v>8</v>
      </c>
      <c r="D29" s="17" t="s">
        <v>12</v>
      </c>
      <c r="E29" s="18" t="s">
        <v>10</v>
      </c>
      <c r="F29" s="16" t="s">
        <v>11</v>
      </c>
      <c r="G29" s="17" t="s">
        <v>56</v>
      </c>
      <c r="H29" s="20" t="s">
        <v>14</v>
      </c>
      <c r="I29" s="40" t="s">
        <v>15</v>
      </c>
      <c r="J29" s="41" t="s">
        <v>16</v>
      </c>
      <c r="K29" s="40" t="s">
        <v>57</v>
      </c>
      <c r="L29" s="16" t="s">
        <v>58</v>
      </c>
      <c r="M29" s="19" t="s">
        <v>5</v>
      </c>
    </row>
    <row r="30" spans="1:13" x14ac:dyDescent="0.35">
      <c r="A30" s="31"/>
      <c r="B30" s="37"/>
      <c r="C30" s="45"/>
      <c r="D30" s="33"/>
      <c r="E30" s="32"/>
      <c r="F30" s="33"/>
      <c r="G30" s="45"/>
      <c r="H30" s="32"/>
      <c r="I30" s="34"/>
      <c r="J30" s="34"/>
      <c r="K30" s="34"/>
      <c r="L30" s="42"/>
      <c r="M30" s="35"/>
    </row>
    <row r="31" spans="1:13" x14ac:dyDescent="0.35">
      <c r="A31" s="22"/>
      <c r="B31" s="36"/>
      <c r="C31" s="38"/>
      <c r="D31" s="25"/>
      <c r="E31" s="24"/>
      <c r="F31" s="25"/>
      <c r="G31" s="38"/>
      <c r="H31" s="24"/>
      <c r="I31" s="21"/>
      <c r="J31" s="21"/>
      <c r="K31" s="21"/>
      <c r="L31" s="43"/>
      <c r="M31" s="29"/>
    </row>
    <row r="32" spans="1:13" x14ac:dyDescent="0.35">
      <c r="A32" s="22"/>
      <c r="B32" s="36"/>
      <c r="C32" s="38"/>
      <c r="D32" s="25"/>
      <c r="E32" s="24"/>
      <c r="F32" s="25"/>
      <c r="G32" s="38"/>
      <c r="H32" s="24"/>
      <c r="I32" s="21"/>
      <c r="J32" s="21"/>
      <c r="K32" s="21"/>
      <c r="L32" s="43"/>
      <c r="M32" s="29"/>
    </row>
    <row r="33" spans="1:13" x14ac:dyDescent="0.35">
      <c r="A33" s="22"/>
      <c r="B33" s="36"/>
      <c r="C33" s="38"/>
      <c r="D33" s="25"/>
      <c r="E33" s="24"/>
      <c r="F33" s="25"/>
      <c r="G33" s="38"/>
      <c r="H33" s="24"/>
      <c r="I33" s="21"/>
      <c r="J33" s="21"/>
      <c r="K33" s="21"/>
      <c r="L33" s="43"/>
      <c r="M33" s="29"/>
    </row>
    <row r="34" spans="1:13" x14ac:dyDescent="0.35">
      <c r="A34" s="22"/>
      <c r="B34" s="36"/>
      <c r="C34" s="38"/>
      <c r="D34" s="25"/>
      <c r="E34" s="24"/>
      <c r="F34" s="25"/>
      <c r="G34" s="38"/>
      <c r="H34" s="24"/>
      <c r="I34" s="21"/>
      <c r="J34" s="21"/>
      <c r="K34" s="21"/>
      <c r="L34" s="43"/>
      <c r="M34" s="29"/>
    </row>
    <row r="35" spans="1:13" x14ac:dyDescent="0.35">
      <c r="A35" s="22"/>
      <c r="B35" s="36"/>
      <c r="C35" s="38"/>
      <c r="D35" s="25"/>
      <c r="E35" s="24"/>
      <c r="F35" s="25"/>
      <c r="G35" s="38"/>
      <c r="H35" s="24"/>
      <c r="I35" s="21"/>
      <c r="J35" s="21"/>
      <c r="K35" s="21"/>
      <c r="L35" s="43"/>
      <c r="M35" s="29"/>
    </row>
    <row r="36" spans="1:13" x14ac:dyDescent="0.35">
      <c r="A36" s="22"/>
      <c r="B36" s="36"/>
      <c r="C36" s="38"/>
      <c r="D36" s="25"/>
      <c r="E36" s="24"/>
      <c r="F36" s="25"/>
      <c r="G36" s="38"/>
      <c r="H36" s="24"/>
      <c r="I36" s="21"/>
      <c r="J36" s="21"/>
      <c r="K36" s="21"/>
      <c r="L36" s="43"/>
      <c r="M36" s="29"/>
    </row>
    <row r="37" spans="1:13" x14ac:dyDescent="0.35">
      <c r="A37" s="22"/>
      <c r="B37" s="36"/>
      <c r="C37" s="38"/>
      <c r="D37" s="25"/>
      <c r="E37" s="24"/>
      <c r="F37" s="25"/>
      <c r="G37" s="38"/>
      <c r="H37" s="24"/>
      <c r="I37" s="21"/>
      <c r="J37" s="21"/>
      <c r="K37" s="21"/>
      <c r="L37" s="43"/>
      <c r="M37" s="29"/>
    </row>
    <row r="38" spans="1:13" x14ac:dyDescent="0.35">
      <c r="A38" s="22"/>
      <c r="B38" s="36"/>
      <c r="C38" s="38"/>
      <c r="D38" s="25"/>
      <c r="E38" s="24"/>
      <c r="F38" s="25"/>
      <c r="G38" s="38"/>
      <c r="H38" s="24"/>
      <c r="I38" s="21"/>
      <c r="J38" s="21"/>
      <c r="K38" s="21"/>
      <c r="L38" s="43"/>
      <c r="M38" s="29"/>
    </row>
    <row r="39" spans="1:13" x14ac:dyDescent="0.35">
      <c r="A39" s="22"/>
      <c r="B39" s="36"/>
      <c r="C39" s="38"/>
      <c r="D39" s="25"/>
      <c r="E39" s="24"/>
      <c r="F39" s="25"/>
      <c r="G39" s="38"/>
      <c r="H39" s="24"/>
      <c r="I39" s="21"/>
      <c r="J39" s="21"/>
      <c r="K39" s="21"/>
      <c r="L39" s="43"/>
      <c r="M39" s="29"/>
    </row>
    <row r="40" spans="1:13" x14ac:dyDescent="0.35">
      <c r="A40" s="22"/>
      <c r="B40" s="36"/>
      <c r="C40" s="38"/>
      <c r="D40" s="25"/>
      <c r="E40" s="24"/>
      <c r="F40" s="25"/>
      <c r="G40" s="38"/>
      <c r="H40" s="24"/>
      <c r="I40" s="21"/>
      <c r="J40" s="21"/>
      <c r="K40" s="21"/>
      <c r="L40" s="43"/>
      <c r="M40" s="29"/>
    </row>
    <row r="41" spans="1:13" x14ac:dyDescent="0.35">
      <c r="A41" s="22"/>
      <c r="B41" s="36"/>
      <c r="C41" s="38"/>
      <c r="D41" s="25"/>
      <c r="E41" s="24"/>
      <c r="F41" s="25"/>
      <c r="G41" s="38"/>
      <c r="H41" s="24"/>
      <c r="I41" s="21"/>
      <c r="J41" s="21"/>
      <c r="K41" s="21"/>
      <c r="L41" s="43"/>
      <c r="M41" s="29"/>
    </row>
    <row r="42" spans="1:13" x14ac:dyDescent="0.35">
      <c r="A42" s="22"/>
      <c r="B42" s="36"/>
      <c r="C42" s="38"/>
      <c r="D42" s="25"/>
      <c r="E42" s="24"/>
      <c r="F42" s="25"/>
      <c r="G42" s="38"/>
      <c r="H42" s="24"/>
      <c r="I42" s="21"/>
      <c r="J42" s="21"/>
      <c r="K42" s="21"/>
      <c r="L42" s="43"/>
      <c r="M42" s="29"/>
    </row>
    <row r="43" spans="1:13" x14ac:dyDescent="0.35">
      <c r="A43" s="22"/>
      <c r="B43" s="36"/>
      <c r="C43" s="38"/>
      <c r="D43" s="25"/>
      <c r="E43" s="24"/>
      <c r="F43" s="25"/>
      <c r="G43" s="38"/>
      <c r="H43" s="24"/>
      <c r="I43" s="21"/>
      <c r="J43" s="21"/>
      <c r="K43" s="21"/>
      <c r="L43" s="43"/>
      <c r="M43" s="29"/>
    </row>
    <row r="44" spans="1:13" x14ac:dyDescent="0.35">
      <c r="A44" s="22"/>
      <c r="B44" s="36"/>
      <c r="C44" s="38"/>
      <c r="D44" s="25"/>
      <c r="E44" s="24"/>
      <c r="F44" s="25"/>
      <c r="G44" s="38"/>
      <c r="H44" s="24"/>
      <c r="I44" s="21"/>
      <c r="J44" s="21"/>
      <c r="K44" s="21"/>
      <c r="L44" s="43"/>
      <c r="M44" s="29"/>
    </row>
    <row r="45" spans="1:13" x14ac:dyDescent="0.35">
      <c r="A45" s="22"/>
      <c r="B45" s="36"/>
      <c r="C45" s="38"/>
      <c r="D45" s="25"/>
      <c r="E45" s="24"/>
      <c r="F45" s="25"/>
      <c r="G45" s="38"/>
      <c r="H45" s="24"/>
      <c r="I45" s="21"/>
      <c r="J45" s="21"/>
      <c r="K45" s="21"/>
      <c r="L45" s="43"/>
      <c r="M45" s="29"/>
    </row>
    <row r="46" spans="1:13" x14ac:dyDescent="0.35">
      <c r="A46" s="22"/>
      <c r="B46" s="36"/>
      <c r="C46" s="38"/>
      <c r="D46" s="25"/>
      <c r="E46" s="24"/>
      <c r="F46" s="25"/>
      <c r="G46" s="38"/>
      <c r="H46" s="24"/>
      <c r="I46" s="21"/>
      <c r="J46" s="21"/>
      <c r="K46" s="21"/>
      <c r="L46" s="43"/>
      <c r="M46" s="29"/>
    </row>
    <row r="47" spans="1:13" x14ac:dyDescent="0.35">
      <c r="A47" s="22"/>
      <c r="B47" s="36"/>
      <c r="C47" s="38"/>
      <c r="D47" s="25"/>
      <c r="E47" s="24"/>
      <c r="F47" s="25"/>
      <c r="G47" s="38"/>
      <c r="H47" s="24"/>
      <c r="I47" s="21"/>
      <c r="J47" s="21"/>
      <c r="K47" s="21"/>
      <c r="L47" s="43"/>
      <c r="M47" s="29"/>
    </row>
    <row r="48" spans="1:13" x14ac:dyDescent="0.35">
      <c r="A48" s="22"/>
      <c r="B48" s="36"/>
      <c r="C48" s="38"/>
      <c r="D48" s="25"/>
      <c r="E48" s="24"/>
      <c r="F48" s="25"/>
      <c r="G48" s="38"/>
      <c r="H48" s="24"/>
      <c r="I48" s="21"/>
      <c r="J48" s="21"/>
      <c r="K48" s="21"/>
      <c r="L48" s="43"/>
      <c r="M48" s="29"/>
    </row>
    <row r="49" spans="1:13" x14ac:dyDescent="0.35">
      <c r="A49" s="22"/>
      <c r="B49" s="36"/>
      <c r="C49" s="38"/>
      <c r="D49" s="25"/>
      <c r="E49" s="24"/>
      <c r="F49" s="25"/>
      <c r="G49" s="38"/>
      <c r="H49" s="24"/>
      <c r="I49" s="21"/>
      <c r="J49" s="21"/>
      <c r="K49" s="21"/>
      <c r="L49" s="43"/>
      <c r="M49" s="29"/>
    </row>
    <row r="50" spans="1:13" x14ac:dyDescent="0.35">
      <c r="A50" s="22"/>
      <c r="B50" s="36"/>
      <c r="C50" s="38"/>
      <c r="D50" s="25"/>
      <c r="E50" s="24"/>
      <c r="F50" s="25"/>
      <c r="G50" s="38"/>
      <c r="H50" s="24"/>
      <c r="I50" s="21"/>
      <c r="J50" s="21"/>
      <c r="K50" s="21"/>
      <c r="L50" s="43"/>
      <c r="M50" s="29"/>
    </row>
    <row r="51" spans="1:13" x14ac:dyDescent="0.35">
      <c r="A51" s="22"/>
      <c r="B51" s="36"/>
      <c r="C51" s="38"/>
      <c r="D51" s="25"/>
      <c r="E51" s="24"/>
      <c r="F51" s="25"/>
      <c r="G51" s="38"/>
      <c r="H51" s="24"/>
      <c r="I51" s="21"/>
      <c r="J51" s="21"/>
      <c r="K51" s="21"/>
      <c r="L51" s="43"/>
      <c r="M51" s="29"/>
    </row>
    <row r="52" spans="1:13" x14ac:dyDescent="0.35">
      <c r="A52" s="22"/>
      <c r="B52" s="22"/>
      <c r="C52" s="38"/>
      <c r="D52" s="25"/>
      <c r="E52" s="24"/>
      <c r="F52" s="25"/>
      <c r="G52" s="38"/>
      <c r="H52" s="24"/>
      <c r="I52" s="21"/>
      <c r="J52" s="21"/>
      <c r="K52" s="21"/>
      <c r="L52" s="43"/>
      <c r="M52" s="29"/>
    </row>
    <row r="53" spans="1:13" x14ac:dyDescent="0.35">
      <c r="A53" s="22"/>
      <c r="B53" s="22"/>
      <c r="C53" s="38"/>
      <c r="D53" s="25"/>
      <c r="E53" s="24"/>
      <c r="F53" s="25"/>
      <c r="G53" s="38"/>
      <c r="H53" s="24"/>
      <c r="I53" s="21"/>
      <c r="J53" s="21"/>
      <c r="K53" s="21"/>
      <c r="L53" s="43"/>
      <c r="M53" s="29"/>
    </row>
    <row r="54" spans="1:13" x14ac:dyDescent="0.35">
      <c r="A54" s="22"/>
      <c r="B54" s="22"/>
      <c r="C54" s="38"/>
      <c r="D54" s="25"/>
      <c r="E54" s="24"/>
      <c r="F54" s="25"/>
      <c r="G54" s="38"/>
      <c r="H54" s="24"/>
      <c r="I54" s="21"/>
      <c r="J54" s="21"/>
      <c r="K54" s="21"/>
      <c r="L54" s="43"/>
      <c r="M54" s="29"/>
    </row>
    <row r="55" spans="1:13" x14ac:dyDescent="0.35">
      <c r="A55" s="22"/>
      <c r="B55" s="22"/>
      <c r="C55" s="38"/>
      <c r="D55" s="25"/>
      <c r="E55" s="24"/>
      <c r="F55" s="25"/>
      <c r="G55" s="38"/>
      <c r="H55" s="24"/>
      <c r="I55" s="21"/>
      <c r="J55" s="21"/>
      <c r="K55" s="21"/>
      <c r="L55" s="43"/>
      <c r="M55" s="29"/>
    </row>
    <row r="56" spans="1:13" x14ac:dyDescent="0.35">
      <c r="A56" s="22"/>
      <c r="B56" s="22"/>
      <c r="C56" s="38"/>
      <c r="D56" s="25"/>
      <c r="E56" s="24"/>
      <c r="F56" s="25"/>
      <c r="G56" s="38"/>
      <c r="H56" s="24"/>
      <c r="I56" s="21"/>
      <c r="J56" s="21"/>
      <c r="K56" s="21"/>
      <c r="L56" s="43"/>
      <c r="M56" s="29"/>
    </row>
    <row r="57" spans="1:13" x14ac:dyDescent="0.35">
      <c r="A57" s="22"/>
      <c r="B57" s="22"/>
      <c r="C57" s="38"/>
      <c r="D57" s="25"/>
      <c r="E57" s="24"/>
      <c r="F57" s="25"/>
      <c r="G57" s="38"/>
      <c r="H57" s="24"/>
      <c r="I57" s="21"/>
      <c r="J57" s="21"/>
      <c r="K57" s="21"/>
      <c r="L57" s="43"/>
      <c r="M57" s="29"/>
    </row>
    <row r="58" spans="1:13" x14ac:dyDescent="0.35">
      <c r="A58" s="22"/>
      <c r="B58" s="22"/>
      <c r="C58" s="38"/>
      <c r="D58" s="25"/>
      <c r="E58" s="24"/>
      <c r="F58" s="25"/>
      <c r="G58" s="38"/>
      <c r="H58" s="24"/>
      <c r="I58" s="21"/>
      <c r="J58" s="21"/>
      <c r="K58" s="21"/>
      <c r="L58" s="43"/>
      <c r="M58" s="29"/>
    </row>
    <row r="59" spans="1:13" ht="15" thickBot="1" x14ac:dyDescent="0.4">
      <c r="A59" s="23"/>
      <c r="B59" s="23"/>
      <c r="C59" s="39"/>
      <c r="D59" s="27"/>
      <c r="E59" s="26"/>
      <c r="F59" s="27"/>
      <c r="G59" s="39"/>
      <c r="H59" s="26"/>
      <c r="I59" s="28"/>
      <c r="J59" s="28"/>
      <c r="K59" s="28"/>
      <c r="L59" s="44"/>
      <c r="M59" s="30"/>
    </row>
  </sheetData>
  <mergeCells count="1">
    <mergeCell ref="A2:M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Metadata</vt:lpstr>
      <vt:lpstr>Plot Notes</vt:lpstr>
      <vt:lpstr>All Data</vt:lpstr>
      <vt:lpstr>Century Data</vt:lpstr>
      <vt:lpstr>Switchback Data</vt:lpstr>
      <vt:lpstr>RR Thin Data</vt:lpstr>
      <vt:lpstr>FC Data</vt:lpstr>
      <vt:lpstr>CP Data</vt:lpstr>
      <vt:lpstr>P or CC Data</vt:lpstr>
      <vt:lpstr>SC Data</vt:lpstr>
      <vt:lpstr>Vexar Data</vt:lpstr>
      <vt:lpstr>Blank Datasheet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Harris, Violet M</dc:creator>
  <cp:lastModifiedBy>Violet Harris</cp:lastModifiedBy>
  <dcterms:created xsi:type="dcterms:W3CDTF">2024-06-13T03:09:21Z</dcterms:created>
  <dcterms:modified xsi:type="dcterms:W3CDTF">2024-08-27T22:54:58Z</dcterms:modified>
</cp:coreProperties>
</file>